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rum\Downloads\"/>
    </mc:Choice>
  </mc:AlternateContent>
  <xr:revisionPtr revIDLastSave="0" documentId="13_ncr:1_{D3559FF8-B22A-44D3-BF87-2D2CFCD1498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F" sheetId="1" r:id="rId1"/>
    <sheet name="ST" sheetId="2" r:id="rId2"/>
    <sheet name="FS-SF當日溪水" sheetId="3" r:id="rId3"/>
    <sheet name="FS-Well" sheetId="4" r:id="rId4"/>
    <sheet name="FS-Soil" sheetId="5" r:id="rId5"/>
    <sheet name="FS-OR" sheetId="6" r:id="rId6"/>
    <sheet name="FS-TF" sheetId="7" r:id="rId7"/>
  </sheets>
  <externalReferences>
    <externalReference r:id="rId8"/>
  </externalReferences>
  <definedNames>
    <definedName name="_xlnm._FilterDatabase" localSheetId="5" hidden="1">'FS-OR'!$E$1:$E$1000</definedName>
    <definedName name="_xlnm._FilterDatabase" localSheetId="2" hidden="1">'FS-SF當日溪水'!$E$1:$E$1000</definedName>
    <definedName name="_xlnm._FilterDatabase" localSheetId="4" hidden="1">'FS-Soil'!$A$2:$AJ$518</definedName>
    <definedName name="_xlnm._FilterDatabase" localSheetId="6" hidden="1">'FS-TF'!$E$1:$E$1000</definedName>
    <definedName name="_xlnm._FilterDatabase" localSheetId="3" hidden="1">'FS-Well'!$A$2:$AJ$348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5" i="7" l="1"/>
  <c r="Y73" i="7"/>
  <c r="Y30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RiverLab-J</author>
  </authors>
  <commentList>
    <comment ref="W15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analyzed 5 months later</t>
        </r>
      </text>
    </comment>
    <comment ref="W16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analyzed 4 months later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RiverLab-J</author>
  </authors>
  <commentList>
    <comment ref="W3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analyzed 5 months later</t>
        </r>
      </text>
    </comment>
    <comment ref="W32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analyzed 4 months later</t>
        </r>
      </text>
    </comment>
    <comment ref="W32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analyzed 4 months later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RiverLab-J</author>
  </authors>
  <commentList>
    <comment ref="W48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analyzed 4 months later</t>
        </r>
      </text>
    </comment>
  </commentList>
</comments>
</file>

<file path=xl/sharedStrings.xml><?xml version="1.0" encoding="utf-8"?>
<sst xmlns="http://schemas.openxmlformats.org/spreadsheetml/2006/main" count="6796" uniqueCount="201">
  <si>
    <t>濾紙重</t>
  </si>
  <si>
    <t>過濾體積</t>
  </si>
  <si>
    <t>℃</t>
  </si>
  <si>
    <t>μmho / cm</t>
  </si>
  <si>
    <t>mg-CaCO3/L</t>
  </si>
  <si>
    <t>g/L</t>
  </si>
  <si>
    <t>ppm-F</t>
  </si>
  <si>
    <t>ppm-Cl</t>
  </si>
  <si>
    <t>ppm-NO2</t>
  </si>
  <si>
    <t>ppm-NO3</t>
  </si>
  <si>
    <t>ppm-SO4</t>
  </si>
  <si>
    <t>ppm</t>
  </si>
  <si>
    <t>ppm-NH4_IC</t>
  </si>
  <si>
    <t>ppm-N</t>
  </si>
  <si>
    <t>‰</t>
  </si>
  <si>
    <t>EndTime</t>
  </si>
  <si>
    <t>SiteID</t>
  </si>
  <si>
    <t>Name</t>
  </si>
  <si>
    <t>echo</t>
  </si>
  <si>
    <t>StartDay</t>
  </si>
  <si>
    <t>EndDay</t>
  </si>
  <si>
    <t>Typhoon</t>
  </si>
  <si>
    <t>WT</t>
  </si>
  <si>
    <t>pH</t>
  </si>
  <si>
    <t>Cond.</t>
  </si>
  <si>
    <t>Alkalinity</t>
  </si>
  <si>
    <t>Turbidity</t>
  </si>
  <si>
    <t>TSM</t>
  </si>
  <si>
    <t>F</t>
  </si>
  <si>
    <t>Cl</t>
  </si>
  <si>
    <t>NO2</t>
  </si>
  <si>
    <t>NO3</t>
  </si>
  <si>
    <t>SO4</t>
  </si>
  <si>
    <t>PO4</t>
  </si>
  <si>
    <t>NH4</t>
  </si>
  <si>
    <t>DOC</t>
  </si>
  <si>
    <t>TDN</t>
  </si>
  <si>
    <t>d18O</t>
  </si>
  <si>
    <t>d2H</t>
  </si>
  <si>
    <t>Na</t>
  </si>
  <si>
    <t>Mg</t>
  </si>
  <si>
    <t>K</t>
  </si>
  <si>
    <t>Ca</t>
  </si>
  <si>
    <t>Sr</t>
  </si>
  <si>
    <t>Ba</t>
  </si>
  <si>
    <t>Si</t>
  </si>
  <si>
    <t>Note</t>
  </si>
  <si>
    <t>People</t>
  </si>
  <si>
    <t>FS-RF</t>
  </si>
  <si>
    <t>雨水</t>
  </si>
  <si>
    <t>n.a.</t>
  </si>
  <si>
    <t>N.D.</t>
  </si>
  <si>
    <t>n.a</t>
  </si>
  <si>
    <t>水樣特異</t>
  </si>
  <si>
    <t>?outlier?</t>
  </si>
  <si>
    <t>凍破了</t>
  </si>
  <si>
    <t>離心管漏光了</t>
  </si>
  <si>
    <t>缺</t>
  </si>
  <si>
    <t>凍破 漏水</t>
  </si>
  <si>
    <t>Gaemi 7/24-26</t>
  </si>
  <si>
    <t>g</t>
  </si>
  <si>
    <t>ml</t>
  </si>
  <si>
    <t>FS-ST</t>
  </si>
  <si>
    <t>溪水</t>
  </si>
  <si>
    <t xml:space="preserve"> </t>
  </si>
  <si>
    <t>離心管無水</t>
  </si>
  <si>
    <t>Gaemi</t>
  </si>
  <si>
    <t>FS-SF</t>
  </si>
  <si>
    <t>當日溪水</t>
  </si>
  <si>
    <t>不測</t>
  </si>
  <si>
    <t>2023-12.26</t>
  </si>
  <si>
    <t>FS-W1</t>
  </si>
  <si>
    <t>FS淺井</t>
  </si>
  <si>
    <t>FS-W2</t>
  </si>
  <si>
    <t>FS深井</t>
  </si>
  <si>
    <t>FS-Soil_10</t>
  </si>
  <si>
    <t>Soil water</t>
  </si>
  <si>
    <t>FS-Soil_30</t>
  </si>
  <si>
    <t>FS-Soil_50</t>
  </si>
  <si>
    <t>FS-OR</t>
  </si>
  <si>
    <t>林外雨水</t>
  </si>
  <si>
    <t>FS-OR-林試所</t>
  </si>
  <si>
    <t>機器故障</t>
  </si>
  <si>
    <t>FSTF</t>
  </si>
  <si>
    <t>林內雨水</t>
  </si>
  <si>
    <t>14.9</t>
  </si>
  <si>
    <t>16.7</t>
  </si>
  <si>
    <t>17.6</t>
  </si>
  <si>
    <t>15.4</t>
  </si>
  <si>
    <t>18.6</t>
  </si>
  <si>
    <t>17.4</t>
  </si>
  <si>
    <t>20.7</t>
  </si>
  <si>
    <t>17.0</t>
  </si>
  <si>
    <t>21.4</t>
  </si>
  <si>
    <t>29.4</t>
  </si>
  <si>
    <t>22.2</t>
  </si>
  <si>
    <t>23.7</t>
  </si>
  <si>
    <t>26</t>
  </si>
  <si>
    <t>18.9</t>
  </si>
  <si>
    <t>21.1</t>
  </si>
  <si>
    <t>17.7</t>
  </si>
  <si>
    <t>18.8</t>
  </si>
  <si>
    <t>16.3</t>
  </si>
  <si>
    <t>採樣器故障水樣異常</t>
  </si>
  <si>
    <t>18.7</t>
  </si>
  <si>
    <t>20.4</t>
  </si>
  <si>
    <t>14</t>
  </si>
  <si>
    <t>13.6</t>
  </si>
  <si>
    <t>15.5</t>
  </si>
  <si>
    <t>16.5</t>
  </si>
  <si>
    <t>14.3</t>
  </si>
  <si>
    <t>19.4</t>
  </si>
  <si>
    <t>21.9</t>
  </si>
  <si>
    <t>19.9</t>
  </si>
  <si>
    <t>21.0</t>
  </si>
  <si>
    <t>18</t>
  </si>
  <si>
    <t>20.3</t>
  </si>
  <si>
    <t>18.1</t>
  </si>
  <si>
    <t>23.4</t>
  </si>
  <si>
    <t>23.5</t>
  </si>
  <si>
    <t>22</t>
  </si>
  <si>
    <t>19.6</t>
  </si>
  <si>
    <t>22.5</t>
  </si>
  <si>
    <t>22.8</t>
  </si>
  <si>
    <t>19</t>
  </si>
  <si>
    <t>20.8</t>
  </si>
  <si>
    <t>15.2</t>
  </si>
  <si>
    <t>16.2</t>
  </si>
  <si>
    <t>15.3</t>
  </si>
  <si>
    <t>21.5</t>
  </si>
  <si>
    <t>18.5</t>
  </si>
  <si>
    <t>16</t>
  </si>
  <si>
    <t>16.1</t>
  </si>
  <si>
    <t>17.2</t>
  </si>
  <si>
    <t>10.6</t>
  </si>
  <si>
    <t>10.5</t>
  </si>
  <si>
    <t>13.5</t>
  </si>
  <si>
    <t>‰</t>
    <phoneticPr fontId="1" type="noConversion"/>
  </si>
  <si>
    <t>ppm</t>
    <phoneticPr fontId="1" type="noConversion"/>
  </si>
  <si>
    <t>People</t>
    <phoneticPr fontId="1" type="noConversion"/>
  </si>
  <si>
    <t>ppm</t>
    <phoneticPr fontId="1" type="noConversion"/>
  </si>
  <si>
    <t>‰</t>
    <phoneticPr fontId="1" type="noConversion"/>
  </si>
  <si>
    <t>FNU</t>
    <phoneticPr fontId="3" type="noConversion"/>
  </si>
  <si>
    <t>ppm</t>
    <phoneticPr fontId="4" type="noConversion"/>
  </si>
  <si>
    <t>DIC</t>
    <phoneticPr fontId="4" type="noConversion"/>
  </si>
  <si>
    <t>FS-ST</t>
    <phoneticPr fontId="3" type="noConversion"/>
  </si>
  <si>
    <t>FS-ST</t>
    <phoneticPr fontId="4" type="noConversion"/>
  </si>
  <si>
    <t>溪水</t>
    <phoneticPr fontId="4" type="noConversion"/>
  </si>
  <si>
    <t>陰離子不夠上樣</t>
    <phoneticPr fontId="4" type="noConversion"/>
  </si>
  <si>
    <t>NTU</t>
    <phoneticPr fontId="3" type="noConversion"/>
  </si>
  <si>
    <t>ppm-PO4</t>
    <phoneticPr fontId="4" type="noConversion"/>
  </si>
  <si>
    <t>FS-RF</t>
    <phoneticPr fontId="3" type="noConversion"/>
  </si>
  <si>
    <t>FS-RF</t>
    <phoneticPr fontId="4" type="noConversion"/>
  </si>
  <si>
    <t>雨水</t>
    <phoneticPr fontId="4" type="noConversion"/>
  </si>
  <si>
    <t>N.D.</t>
    <phoneticPr fontId="4" type="noConversion"/>
  </si>
  <si>
    <t>FS-SF</t>
    <phoneticPr fontId="3" type="noConversion"/>
  </si>
  <si>
    <t>FS-SF</t>
    <phoneticPr fontId="4" type="noConversion"/>
  </si>
  <si>
    <t>當日溪水</t>
    <phoneticPr fontId="4" type="noConversion"/>
  </si>
  <si>
    <t>FS-W1</t>
    <phoneticPr fontId="3" type="noConversion"/>
  </si>
  <si>
    <t>FS-W2</t>
    <phoneticPr fontId="3" type="noConversion"/>
  </si>
  <si>
    <t xml:space="preserve">sample rather peculiar! </t>
    <phoneticPr fontId="4" type="noConversion"/>
  </si>
  <si>
    <t>FS-W2</t>
    <phoneticPr fontId="4" type="noConversion"/>
  </si>
  <si>
    <t>FS-W1</t>
    <phoneticPr fontId="4" type="noConversion"/>
  </si>
  <si>
    <t>FS淺井</t>
    <phoneticPr fontId="4" type="noConversion"/>
  </si>
  <si>
    <t>FS深井</t>
    <phoneticPr fontId="4" type="noConversion"/>
  </si>
  <si>
    <t>ppm.1</t>
    <phoneticPr fontId="4" type="noConversion"/>
  </si>
  <si>
    <t>FS-Soil_10</t>
    <phoneticPr fontId="3" type="noConversion"/>
  </si>
  <si>
    <t>FS-Soil_30</t>
    <phoneticPr fontId="3" type="noConversion"/>
  </si>
  <si>
    <t>FS-Soil_50</t>
    <phoneticPr fontId="3" type="noConversion"/>
  </si>
  <si>
    <t>FS-Soil_50</t>
    <phoneticPr fontId="4" type="noConversion"/>
  </si>
  <si>
    <t>FS-Soil_10</t>
    <phoneticPr fontId="4" type="noConversion"/>
  </si>
  <si>
    <t>Soil water</t>
    <phoneticPr fontId="4" type="noConversion"/>
  </si>
  <si>
    <t>FS-Soil_30</t>
    <phoneticPr fontId="4" type="noConversion"/>
  </si>
  <si>
    <t>FS-OR</t>
    <phoneticPr fontId="3" type="noConversion"/>
  </si>
  <si>
    <t>FS-OR</t>
    <phoneticPr fontId="4" type="noConversion"/>
  </si>
  <si>
    <t>林外雨水</t>
    <phoneticPr fontId="4" type="noConversion"/>
  </si>
  <si>
    <t>補林試所採水器</t>
    <phoneticPr fontId="4" type="noConversion"/>
  </si>
  <si>
    <t>FSTF</t>
    <phoneticPr fontId="3" type="noConversion"/>
  </si>
  <si>
    <t>FSTF</t>
    <phoneticPr fontId="4" type="noConversion"/>
  </si>
  <si>
    <t>FS-Soil_30</t>
    <phoneticPr fontId="4" type="noConversion"/>
  </si>
  <si>
    <r>
      <t>FS</t>
    </r>
    <r>
      <rPr>
        <sz val="12"/>
        <color indexed="8"/>
        <rFont val="細明體"/>
        <family val="3"/>
        <charset val="136"/>
      </rPr>
      <t>淺井</t>
    </r>
  </si>
  <si>
    <r>
      <t>FS</t>
    </r>
    <r>
      <rPr>
        <sz val="12"/>
        <color indexed="8"/>
        <rFont val="細明體"/>
        <family val="3"/>
        <charset val="136"/>
      </rPr>
      <t>深井</t>
    </r>
  </si>
  <si>
    <t>FS-W1</t>
    <phoneticPr fontId="4" type="noConversion"/>
  </si>
  <si>
    <t>FS-W2</t>
    <phoneticPr fontId="4" type="noConversion"/>
  </si>
  <si>
    <r>
      <rPr>
        <sz val="12"/>
        <color rgb="FF000000"/>
        <rFont val="新細明體"/>
        <family val="1"/>
        <charset val="136"/>
      </rPr>
      <t>林內雨水</t>
    </r>
    <phoneticPr fontId="4" type="noConversion"/>
  </si>
  <si>
    <t>FS-SF</t>
    <phoneticPr fontId="4" type="noConversion"/>
  </si>
  <si>
    <t>當日溪水</t>
    <phoneticPr fontId="4" type="noConversion"/>
  </si>
  <si>
    <t>FS-W1</t>
    <phoneticPr fontId="4" type="noConversion"/>
  </si>
  <si>
    <r>
      <t>FS</t>
    </r>
    <r>
      <rPr>
        <sz val="12"/>
        <color indexed="8"/>
        <rFont val="細明體"/>
        <family val="3"/>
        <charset val="136"/>
      </rPr>
      <t>淺井</t>
    </r>
    <phoneticPr fontId="4" type="noConversion"/>
  </si>
  <si>
    <r>
      <t>FS</t>
    </r>
    <r>
      <rPr>
        <sz val="12"/>
        <color rgb="FF000000"/>
        <rFont val="細明體"/>
        <family val="1"/>
        <charset val="136"/>
      </rPr>
      <t>淺井</t>
    </r>
    <phoneticPr fontId="4" type="noConversion"/>
  </si>
  <si>
    <t>FS-W2</t>
    <phoneticPr fontId="4" type="noConversion"/>
  </si>
  <si>
    <r>
      <t>FS</t>
    </r>
    <r>
      <rPr>
        <sz val="12"/>
        <color indexed="8"/>
        <rFont val="細明體"/>
        <family val="3"/>
        <charset val="136"/>
      </rPr>
      <t>深井</t>
    </r>
    <phoneticPr fontId="4" type="noConversion"/>
  </si>
  <si>
    <r>
      <t>FS</t>
    </r>
    <r>
      <rPr>
        <sz val="12"/>
        <color rgb="FF000000"/>
        <rFont val="Microsoft JhengHei"/>
        <family val="1"/>
      </rPr>
      <t>淺</t>
    </r>
    <r>
      <rPr>
        <sz val="12"/>
        <color indexed="8"/>
        <rFont val="細明體"/>
        <family val="3"/>
        <charset val="136"/>
      </rPr>
      <t>井</t>
    </r>
    <phoneticPr fontId="4" type="noConversion"/>
  </si>
  <si>
    <t>FS-Soil_50</t>
    <phoneticPr fontId="4" type="noConversion"/>
  </si>
  <si>
    <t>FS-OR</t>
    <phoneticPr fontId="4" type="noConversion"/>
  </si>
  <si>
    <t>FS-Soil_30</t>
    <phoneticPr fontId="4" type="noConversion"/>
  </si>
  <si>
    <t>FS-Soil_50</t>
    <phoneticPr fontId="4" type="noConversion"/>
  </si>
  <si>
    <r>
      <rPr>
        <sz val="12"/>
        <color rgb="FF000000"/>
        <rFont val="新細明體"/>
        <family val="1"/>
        <charset val="136"/>
      </rPr>
      <t>無</t>
    </r>
    <r>
      <rPr>
        <sz val="12"/>
        <color indexed="8"/>
        <rFont val="Times New Roman"/>
        <family val="1"/>
      </rPr>
      <t>DOC</t>
    </r>
    <phoneticPr fontId="4" type="noConversion"/>
  </si>
  <si>
    <t>ech+C2o</t>
  </si>
  <si>
    <t>FS-W1</t>
    <phoneticPr fontId="4" type="noConversion"/>
  </si>
  <si>
    <t>FS-Soil_30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</si>
</sst>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_ "/>
    <numFmt numFmtId="166" formatCode="0.00_);[Red]\(0.00\)"/>
    <numFmt numFmtId="167" formatCode="0.0_ "/>
    <numFmt numFmtId="168" formatCode="0.000_);[Red]\(0.000\)"/>
  </numFmts>
  <fonts count="22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9"/>
      <name val="Calibri"/>
      <family val="2"/>
      <charset val="136"/>
      <scheme val="minor"/>
    </font>
    <font>
      <sz val="12"/>
      <color indexed="8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Times New Roman"/>
      <family val="1"/>
      <charset val="136"/>
    </font>
    <font>
      <sz val="12"/>
      <color rgb="FF000000"/>
      <name val="細明體"/>
      <family val="1"/>
      <charset val="136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Arial"/>
      <family val="2"/>
    </font>
    <font>
      <sz val="12"/>
      <color theme="1"/>
      <name val="PMingLiu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Microsoft JhengHei"/>
      <family val="1"/>
    </font>
    <font>
      <sz val="12"/>
      <color indexed="8"/>
      <name val="Times New Roman"/>
      <family val="1"/>
      <charset val="136"/>
    </font>
    <font>
      <sz val="12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EECE1"/>
        <bgColor rgb="FFEEECE1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BD4B4"/>
        <bgColor rgb="FFFBD4B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2" borderId="0" xfId="0" applyNumberFormat="1" applyFont="1" applyFill="1"/>
    <xf numFmtId="166" fontId="2" fillId="0" borderId="0" xfId="0" applyNumberFormat="1" applyFont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2" fillId="4" borderId="0" xfId="0" applyFont="1" applyFill="1"/>
    <xf numFmtId="165" fontId="2" fillId="4" borderId="0" xfId="0" applyNumberFormat="1" applyFont="1" applyFill="1"/>
    <xf numFmtId="166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 vertical="center"/>
    </xf>
    <xf numFmtId="166" fontId="2" fillId="4" borderId="0" xfId="0" applyNumberFormat="1" applyFont="1" applyFill="1"/>
    <xf numFmtId="165" fontId="5" fillId="4" borderId="0" xfId="0" applyNumberFormat="1" applyFont="1" applyFill="1"/>
    <xf numFmtId="0" fontId="6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166" fontId="0" fillId="0" borderId="0" xfId="0" applyNumberFormat="1" applyAlignment="1">
      <alignment vertical="center"/>
    </xf>
    <xf numFmtId="165" fontId="7" fillId="0" borderId="0" xfId="0" applyNumberFormat="1" applyFont="1"/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0" fontId="2" fillId="5" borderId="0" xfId="0" applyFont="1" applyFill="1"/>
    <xf numFmtId="165" fontId="2" fillId="5" borderId="0" xfId="0" applyNumberFormat="1" applyFont="1" applyFill="1"/>
    <xf numFmtId="166" fontId="2" fillId="5" borderId="0" xfId="0" applyNumberFormat="1" applyFont="1" applyFill="1" applyAlignment="1">
      <alignment horizontal="center"/>
    </xf>
    <xf numFmtId="166" fontId="2" fillId="5" borderId="0" xfId="0" applyNumberFormat="1" applyFont="1" applyFill="1"/>
    <xf numFmtId="165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/>
    </xf>
    <xf numFmtId="165" fontId="6" fillId="0" borderId="0" xfId="0" applyNumberFormat="1" applyFont="1"/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166" fontId="2" fillId="2" borderId="0" xfId="0" applyNumberFormat="1" applyFont="1" applyFill="1"/>
    <xf numFmtId="165" fontId="2" fillId="2" borderId="0" xfId="0" applyNumberFormat="1" applyFont="1" applyFill="1" applyAlignment="1">
      <alignment horizontal="center"/>
    </xf>
    <xf numFmtId="165" fontId="8" fillId="2" borderId="0" xfId="0" applyNumberFormat="1" applyFont="1" applyFill="1"/>
    <xf numFmtId="0" fontId="2" fillId="6" borderId="0" xfId="0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0" fontId="6" fillId="6" borderId="0" xfId="0" applyFont="1" applyFill="1"/>
    <xf numFmtId="0" fontId="2" fillId="6" borderId="0" xfId="0" applyFont="1" applyFill="1"/>
    <xf numFmtId="165" fontId="2" fillId="6" borderId="0" xfId="0" applyNumberFormat="1" applyFont="1" applyFill="1"/>
    <xf numFmtId="166" fontId="2" fillId="6" borderId="0" xfId="0" applyNumberFormat="1" applyFont="1" applyFill="1" applyAlignment="1">
      <alignment horizontal="center"/>
    </xf>
    <xf numFmtId="166" fontId="2" fillId="6" borderId="0" xfId="0" applyNumberFormat="1" applyFont="1" applyFill="1"/>
    <xf numFmtId="165" fontId="2" fillId="6" borderId="0" xfId="0" applyNumberFormat="1" applyFont="1" applyFill="1" applyAlignment="1">
      <alignment horizontal="center"/>
    </xf>
    <xf numFmtId="165" fontId="2" fillId="6" borderId="0" xfId="0" applyNumberFormat="1" applyFont="1" applyFill="1" applyAlignment="1">
      <alignment horizontal="center" vertical="center"/>
    </xf>
    <xf numFmtId="165" fontId="6" fillId="6" borderId="0" xfId="0" applyNumberFormat="1" applyFont="1" applyFill="1"/>
    <xf numFmtId="0" fontId="2" fillId="7" borderId="0" xfId="0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49" fontId="2" fillId="7" borderId="0" xfId="0" applyNumberFormat="1" applyFont="1" applyFill="1" applyAlignment="1">
      <alignment horizontal="center"/>
    </xf>
    <xf numFmtId="0" fontId="2" fillId="7" borderId="0" xfId="0" applyFont="1" applyFill="1"/>
    <xf numFmtId="165" fontId="2" fillId="7" borderId="0" xfId="0" applyNumberFormat="1" applyFont="1" applyFill="1"/>
    <xf numFmtId="166" fontId="2" fillId="7" borderId="0" xfId="0" applyNumberFormat="1" applyFont="1" applyFill="1" applyAlignment="1">
      <alignment horizontal="center"/>
    </xf>
    <xf numFmtId="166" fontId="2" fillId="7" borderId="0" xfId="0" applyNumberFormat="1" applyFont="1" applyFill="1"/>
    <xf numFmtId="165" fontId="2" fillId="7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 vertical="center"/>
    </xf>
    <xf numFmtId="165" fontId="6" fillId="7" borderId="0" xfId="0" applyNumberFormat="1" applyFont="1" applyFill="1"/>
    <xf numFmtId="0" fontId="6" fillId="0" borderId="0" xfId="0" applyFont="1"/>
    <xf numFmtId="0" fontId="9" fillId="0" borderId="0" xfId="0" applyFont="1"/>
    <xf numFmtId="166" fontId="10" fillId="0" borderId="0" xfId="0" applyNumberFormat="1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166" fontId="14" fillId="0" borderId="0" xfId="0" applyNumberFormat="1" applyFont="1" applyAlignment="1">
      <alignment vertical="center"/>
    </xf>
    <xf numFmtId="165" fontId="13" fillId="0" borderId="0" xfId="0" applyNumberFormat="1" applyFont="1"/>
    <xf numFmtId="165" fontId="13" fillId="5" borderId="0" xfId="0" applyNumberFormat="1" applyFont="1" applyFill="1" applyAlignment="1">
      <alignment horizontal="center"/>
    </xf>
    <xf numFmtId="165" fontId="13" fillId="2" borderId="0" xfId="0" applyNumberFormat="1" applyFont="1" applyFill="1"/>
    <xf numFmtId="0" fontId="13" fillId="6" borderId="0" xfId="0" applyFont="1" applyFill="1"/>
    <xf numFmtId="165" fontId="13" fillId="6" borderId="0" xfId="0" applyNumberFormat="1" applyFont="1" applyFill="1"/>
    <xf numFmtId="165" fontId="13" fillId="7" borderId="0" xfId="0" applyNumberFormat="1" applyFont="1" applyFill="1"/>
    <xf numFmtId="0" fontId="13" fillId="0" borderId="0" xfId="0" applyFont="1"/>
    <xf numFmtId="0" fontId="10" fillId="0" borderId="0" xfId="0" applyFont="1"/>
    <xf numFmtId="166" fontId="11" fillId="0" borderId="0" xfId="0" applyNumberFormat="1" applyFont="1" applyAlignment="1">
      <alignment vertical="center"/>
    </xf>
    <xf numFmtId="166" fontId="15" fillId="0" borderId="0" xfId="0" applyNumberFormat="1" applyFont="1" applyAlignment="1">
      <alignment vertical="center"/>
    </xf>
    <xf numFmtId="168" fontId="15" fillId="0" borderId="0" xfId="0" applyNumberFormat="1" applyFont="1" applyAlignment="1">
      <alignment vertical="center"/>
    </xf>
    <xf numFmtId="166" fontId="13" fillId="8" borderId="0" xfId="0" applyNumberFormat="1" applyFont="1" applyFill="1" applyAlignment="1">
      <alignment horizontal="center" vertical="center"/>
    </xf>
    <xf numFmtId="166" fontId="13" fillId="8" borderId="0" xfId="0" applyNumberFormat="1" applyFont="1" applyFill="1" applyAlignment="1">
      <alignment horizontal="center"/>
    </xf>
    <xf numFmtId="166" fontId="13" fillId="0" borderId="0" xfId="0" applyNumberFormat="1" applyFont="1" applyAlignment="1">
      <alignment horizontal="center"/>
    </xf>
    <xf numFmtId="166" fontId="13" fillId="9" borderId="0" xfId="0" applyNumberFormat="1" applyFont="1" applyFill="1" applyAlignment="1">
      <alignment horizontal="center"/>
    </xf>
    <xf numFmtId="166" fontId="16" fillId="0" borderId="0" xfId="0" applyNumberFormat="1" applyFont="1" applyAlignment="1">
      <alignment horizontal="center" vertical="center"/>
    </xf>
    <xf numFmtId="166" fontId="16" fillId="10" borderId="0" xfId="0" applyNumberFormat="1" applyFont="1" applyFill="1" applyAlignment="1">
      <alignment horizontal="center" vertical="center"/>
    </xf>
    <xf numFmtId="166" fontId="13" fillId="10" borderId="0" xfId="0" applyNumberFormat="1" applyFont="1" applyFill="1" applyAlignment="1">
      <alignment horizontal="center"/>
    </xf>
    <xf numFmtId="166" fontId="13" fillId="11" borderId="0" xfId="0" applyNumberFormat="1" applyFont="1" applyFill="1" applyAlignment="1">
      <alignment horizontal="center"/>
    </xf>
    <xf numFmtId="166" fontId="13" fillId="12" borderId="0" xfId="0" applyNumberFormat="1" applyFont="1" applyFill="1" applyAlignment="1">
      <alignment horizontal="center"/>
    </xf>
    <xf numFmtId="166" fontId="2" fillId="13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167" fontId="2" fillId="6" borderId="0" xfId="0" applyNumberFormat="1" applyFont="1" applyFill="1" applyAlignment="1">
      <alignment horizontal="center"/>
    </xf>
    <xf numFmtId="165" fontId="20" fillId="0" borderId="0" xfId="0" applyNumberFormat="1" applyFont="1"/>
    <xf numFmtId="166" fontId="2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'FS-SF當日溪水'!$AA$2</c:f>
              <c:strCache>
                <c:ptCount val="1"/>
                <c:pt idx="0">
                  <c:v>d2H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013342082239719E-2"/>
                  <c:y val="-8.8289224263633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'FS-SF當日溪水'!$Z$3:$Z$171</c:f>
              <c:numCache>
                <c:formatCode>0.00_ </c:formatCode>
                <c:ptCount val="169"/>
                <c:pt idx="0">
                  <c:v>-6.4519851831486204</c:v>
                </c:pt>
                <c:pt idx="1">
                  <c:v>-6.5001804192261208</c:v>
                </c:pt>
                <c:pt idx="2">
                  <c:v>-6.3096944861579036</c:v>
                </c:pt>
                <c:pt idx="3">
                  <c:v>-6.5860794114186731</c:v>
                </c:pt>
                <c:pt idx="4">
                  <c:v>-6.4916560917566306</c:v>
                </c:pt>
                <c:pt idx="5">
                  <c:v>-6.5890301401581119</c:v>
                </c:pt>
                <c:pt idx="6">
                  <c:v>-6.47755816555709</c:v>
                </c:pt>
                <c:pt idx="7">
                  <c:v>-6.3811676934020882</c:v>
                </c:pt>
                <c:pt idx="8">
                  <c:v>-6.4621488043622426</c:v>
                </c:pt>
                <c:pt idx="9">
                  <c:v>-6.521819096648672</c:v>
                </c:pt>
                <c:pt idx="10">
                  <c:v>-6.7334746375200556</c:v>
                </c:pt>
                <c:pt idx="11">
                  <c:v>-6.7561627912412847</c:v>
                </c:pt>
                <c:pt idx="12">
                  <c:v>-6.5085949962243328</c:v>
                </c:pt>
                <c:pt idx="13">
                  <c:v>-6.7605002323938734</c:v>
                </c:pt>
                <c:pt idx="14">
                  <c:v>-6.6714158641061019</c:v>
                </c:pt>
                <c:pt idx="15">
                  <c:v>-6.6974405110216306</c:v>
                </c:pt>
                <c:pt idx="16">
                  <c:v>-6.7411485718669413</c:v>
                </c:pt>
                <c:pt idx="17">
                  <c:v>-6.7864112620951742</c:v>
                </c:pt>
                <c:pt idx="18">
                  <c:v>-6.7175397461049151</c:v>
                </c:pt>
                <c:pt idx="19">
                  <c:v>-6.7610493415319484</c:v>
                </c:pt>
                <c:pt idx="20">
                  <c:v>-6.7696217007576642</c:v>
                </c:pt>
                <c:pt idx="21">
                  <c:v>-6.8975054008091279</c:v>
                </c:pt>
                <c:pt idx="22">
                  <c:v>-6.8422676769649087</c:v>
                </c:pt>
                <c:pt idx="23">
                  <c:v>-6.8459501918878578</c:v>
                </c:pt>
                <c:pt idx="24">
                  <c:v>-6.7350032504117312</c:v>
                </c:pt>
                <c:pt idx="25">
                  <c:v>-6.9045560644828052</c:v>
                </c:pt>
                <c:pt idx="26">
                  <c:v>-6.8019582909388152</c:v>
                </c:pt>
                <c:pt idx="27">
                  <c:v>-6.8146164578046324</c:v>
                </c:pt>
                <c:pt idx="28">
                  <c:v>-6.815282677113359</c:v>
                </c:pt>
                <c:pt idx="29">
                  <c:v>-6.7787474286885061</c:v>
                </c:pt>
                <c:pt idx="30">
                  <c:v>-6.7834992507641338</c:v>
                </c:pt>
                <c:pt idx="31">
                  <c:v>-7.0163385324698924</c:v>
                </c:pt>
                <c:pt idx="32">
                  <c:v>-6.7685649528121621</c:v>
                </c:pt>
                <c:pt idx="33">
                  <c:v>-6.8537583343109159</c:v>
                </c:pt>
                <c:pt idx="34">
                  <c:v>-6.764801634131385</c:v>
                </c:pt>
                <c:pt idx="35">
                  <c:v>-6.7692560607935706</c:v>
                </c:pt>
                <c:pt idx="36">
                  <c:v>-6.8778755417099147</c:v>
                </c:pt>
                <c:pt idx="37">
                  <c:v>-6.7901576012853591</c:v>
                </c:pt>
                <c:pt idx="38">
                  <c:v>-6.6732532317897491</c:v>
                </c:pt>
                <c:pt idx="39">
                  <c:v>-6.6662465205215886</c:v>
                </c:pt>
                <c:pt idx="40">
                  <c:v>-6.7456559148940736</c:v>
                </c:pt>
                <c:pt idx="41">
                  <c:v>-6.5514699168907704</c:v>
                </c:pt>
                <c:pt idx="42">
                  <c:v>-6.5988476233981306</c:v>
                </c:pt>
                <c:pt idx="43">
                  <c:v>-6.4909516757181764</c:v>
                </c:pt>
                <c:pt idx="44">
                  <c:v>-6.3716801169409756</c:v>
                </c:pt>
                <c:pt idx="45">
                  <c:v>-6.4357971976709161</c:v>
                </c:pt>
                <c:pt idx="46">
                  <c:v>-6.4868150898646313</c:v>
                </c:pt>
                <c:pt idx="47">
                  <c:v>-6.1827760296291094</c:v>
                </c:pt>
                <c:pt idx="48">
                  <c:v>-6.4188048773528434</c:v>
                </c:pt>
                <c:pt idx="49">
                  <c:v>-6.545327556105808</c:v>
                </c:pt>
                <c:pt idx="50">
                  <c:v>-6.5619661549555133</c:v>
                </c:pt>
                <c:pt idx="51">
                  <c:v>-6.4747830983205761</c:v>
                </c:pt>
                <c:pt idx="52">
                  <c:v>-6.4357243021595183</c:v>
                </c:pt>
                <c:pt idx="53">
                  <c:v>-6.3726024976492361</c:v>
                </c:pt>
                <c:pt idx="54">
                  <c:v>-6.3994554200099643</c:v>
                </c:pt>
                <c:pt idx="55">
                  <c:v>-6.4228209498563116</c:v>
                </c:pt>
                <c:pt idx="56">
                  <c:v>-6.5545214547862241</c:v>
                </c:pt>
                <c:pt idx="57">
                  <c:v>-6.6342838787692866</c:v>
                </c:pt>
                <c:pt idx="58">
                  <c:v>-6.4145018284054753</c:v>
                </c:pt>
                <c:pt idx="59">
                  <c:v>-6.564274065578914</c:v>
                </c:pt>
                <c:pt idx="60">
                  <c:v>-6.6186100399953238</c:v>
                </c:pt>
                <c:pt idx="61">
                  <c:v>-6.6786633221393163</c:v>
                </c:pt>
                <c:pt idx="62">
                  <c:v>-6.6139726343652328</c:v>
                </c:pt>
                <c:pt idx="63">
                  <c:v>-6.6241133367730622</c:v>
                </c:pt>
                <c:pt idx="64">
                  <c:v>-6.5482329084110296</c:v>
                </c:pt>
                <c:pt idx="65">
                  <c:v>-6.604531290744152</c:v>
                </c:pt>
                <c:pt idx="66">
                  <c:v>-5.8204356680338707</c:v>
                </c:pt>
                <c:pt idx="67">
                  <c:v>-6.0584697016859872</c:v>
                </c:pt>
                <c:pt idx="68">
                  <c:v>-5.8680424747642936</c:v>
                </c:pt>
                <c:pt idx="69">
                  <c:v>-5.9809783301466846</c:v>
                </c:pt>
                <c:pt idx="70">
                  <c:v>-6.1929502433259431</c:v>
                </c:pt>
                <c:pt idx="71">
                  <c:v>-6.1957302028430474</c:v>
                </c:pt>
                <c:pt idx="72">
                  <c:v>-6.303453634130868</c:v>
                </c:pt>
                <c:pt idx="73">
                  <c:v>-6.2666191705292258</c:v>
                </c:pt>
                <c:pt idx="74">
                  <c:v>-6.3792075309719776</c:v>
                </c:pt>
                <c:pt idx="75">
                  <c:v>-6.2134524447645916</c:v>
                </c:pt>
                <c:pt idx="76">
                  <c:v>-6.1741855165854842</c:v>
                </c:pt>
                <c:pt idx="77">
                  <c:v>-6.1870045048832418</c:v>
                </c:pt>
                <c:pt idx="78">
                  <c:v>-6.2231737473921642</c:v>
                </c:pt>
                <c:pt idx="79">
                  <c:v>-6.2024032912979292</c:v>
                </c:pt>
                <c:pt idx="80">
                  <c:v>-6.2310521962554937</c:v>
                </c:pt>
                <c:pt idx="81">
                  <c:v>-6.0691858832452601</c:v>
                </c:pt>
                <c:pt idx="82">
                  <c:v>-6.022750876900492</c:v>
                </c:pt>
                <c:pt idx="83">
                  <c:v>-6.0847898520908128</c:v>
                </c:pt>
                <c:pt idx="84">
                  <c:v>-6.1099931857618808</c:v>
                </c:pt>
                <c:pt idx="85">
                  <c:v>-6.1452778529013763</c:v>
                </c:pt>
                <c:pt idx="86">
                  <c:v>-6.1669914942179869</c:v>
                </c:pt>
                <c:pt idx="87">
                  <c:v>-6.1417881605469207</c:v>
                </c:pt>
                <c:pt idx="88">
                  <c:v>-6.1724199045471417</c:v>
                </c:pt>
                <c:pt idx="89">
                  <c:v>-5.9176723626718868</c:v>
                </c:pt>
                <c:pt idx="90">
                  <c:v>-6.0844021084958744</c:v>
                </c:pt>
                <c:pt idx="91">
                  <c:v>-6.0859530828756334</c:v>
                </c:pt>
                <c:pt idx="92">
                  <c:v>-6.1154215960910339</c:v>
                </c:pt>
                <c:pt idx="93">
                  <c:v>-6.0661781595337159</c:v>
                </c:pt>
                <c:pt idx="94">
                  <c:v>-6.045240005406983</c:v>
                </c:pt>
                <c:pt idx="95">
                  <c:v>-6.5791259034724137</c:v>
                </c:pt>
                <c:pt idx="96">
                  <c:v>-6.5422620895482062</c:v>
                </c:pt>
                <c:pt idx="97">
                  <c:v>-6.5245391020846473</c:v>
                </c:pt>
                <c:pt idx="98">
                  <c:v>-6.5401353310525803</c:v>
                </c:pt>
                <c:pt idx="99">
                  <c:v>-6.5677831914957343</c:v>
                </c:pt>
                <c:pt idx="100">
                  <c:v>-6.3129266317697352</c:v>
                </c:pt>
                <c:pt idx="101">
                  <c:v>-6.4820039321721019</c:v>
                </c:pt>
                <c:pt idx="102">
                  <c:v>-6.5404897908018524</c:v>
                </c:pt>
                <c:pt idx="103">
                  <c:v>-6.4695978409476096</c:v>
                </c:pt>
                <c:pt idx="105">
                  <c:v>-6.5511235832799883</c:v>
                </c:pt>
                <c:pt idx="106">
                  <c:v>-6.5011447586327469</c:v>
                </c:pt>
                <c:pt idx="107">
                  <c:v>-6.5546681807727012</c:v>
                </c:pt>
                <c:pt idx="108">
                  <c:v>-6.594014841034106</c:v>
                </c:pt>
                <c:pt idx="109">
                  <c:v>-6.6246112169136158</c:v>
                </c:pt>
                <c:pt idx="110">
                  <c:v>-6.6929194049236864</c:v>
                </c:pt>
                <c:pt idx="111">
                  <c:v>-6.6249669887261691</c:v>
                </c:pt>
                <c:pt idx="112">
                  <c:v>-6.6327939686023223</c:v>
                </c:pt>
                <c:pt idx="113">
                  <c:v>-6.695054035799</c:v>
                </c:pt>
                <c:pt idx="114">
                  <c:v>-6.6363516867278456</c:v>
                </c:pt>
                <c:pt idx="115">
                  <c:v>-6.6342170558525329</c:v>
                </c:pt>
                <c:pt idx="116">
                  <c:v>-6.6192746397253304</c:v>
                </c:pt>
                <c:pt idx="117">
                  <c:v>-6.6235439014759594</c:v>
                </c:pt>
                <c:pt idx="118">
                  <c:v>-6.6616114854190709</c:v>
                </c:pt>
                <c:pt idx="119">
                  <c:v>-6.6669480626073572</c:v>
                </c:pt>
                <c:pt idx="120">
                  <c:v>-6.5847647739077422</c:v>
                </c:pt>
                <c:pt idx="121">
                  <c:v>-6.6850924250475332</c:v>
                </c:pt>
                <c:pt idx="122">
                  <c:v>-6.6601883981688612</c:v>
                </c:pt>
                <c:pt idx="123">
                  <c:v>-6.8198594944742892</c:v>
                </c:pt>
                <c:pt idx="124">
                  <c:v>-6.7942910003564254</c:v>
                </c:pt>
                <c:pt idx="125">
                  <c:v>-6.7416929553139591</c:v>
                </c:pt>
                <c:pt idx="126">
                  <c:v>-6.7216034242213496</c:v>
                </c:pt>
                <c:pt idx="127">
                  <c:v>-7.3319599052349584</c:v>
                </c:pt>
                <c:pt idx="128">
                  <c:v>-6.973635723383163</c:v>
                </c:pt>
                <c:pt idx="129">
                  <c:v>-7.7976717623817864</c:v>
                </c:pt>
                <c:pt idx="130">
                  <c:v>-7.1774531479227166</c:v>
                </c:pt>
                <c:pt idx="131">
                  <c:v>-7.1431183129644404</c:v>
                </c:pt>
                <c:pt idx="132">
                  <c:v>-7.1807405257378703</c:v>
                </c:pt>
                <c:pt idx="133">
                  <c:v>-7.0339043166609878</c:v>
                </c:pt>
                <c:pt idx="134">
                  <c:v>-6.985689442038729</c:v>
                </c:pt>
                <c:pt idx="135">
                  <c:v>-7.0558278567214492</c:v>
                </c:pt>
                <c:pt idx="136">
                  <c:v>-8.4057373576402803</c:v>
                </c:pt>
                <c:pt idx="137">
                  <c:v>-8.3869484673705319</c:v>
                </c:pt>
                <c:pt idx="138">
                  <c:v>-7.569270415823607</c:v>
                </c:pt>
                <c:pt idx="139">
                  <c:v>-7.4825524607324612</c:v>
                </c:pt>
                <c:pt idx="140">
                  <c:v>-7.7278920086778262</c:v>
                </c:pt>
                <c:pt idx="141">
                  <c:v>-7.585530032403196</c:v>
                </c:pt>
                <c:pt idx="142">
                  <c:v>-7.6169652911237362</c:v>
                </c:pt>
                <c:pt idx="143">
                  <c:v>-7.815156428543931</c:v>
                </c:pt>
                <c:pt idx="144">
                  <c:v>-7.5064119445166551</c:v>
                </c:pt>
                <c:pt idx="145">
                  <c:v>-7.7477374202736975</c:v>
                </c:pt>
                <c:pt idx="146">
                  <c:v>-7.5281934702655011</c:v>
                </c:pt>
                <c:pt idx="147">
                  <c:v>-7.381600344590737</c:v>
                </c:pt>
                <c:pt idx="148">
                  <c:v>-7.4459077063254213</c:v>
                </c:pt>
                <c:pt idx="149">
                  <c:v>-7.0116601453643268</c:v>
                </c:pt>
                <c:pt idx="150">
                  <c:v>-7.3567071723063426</c:v>
                </c:pt>
                <c:pt idx="151">
                  <c:v>-7.3020804886822557</c:v>
                </c:pt>
                <c:pt idx="152">
                  <c:v>-7.231549833876473</c:v>
                </c:pt>
                <c:pt idx="153">
                  <c:v>-7.217720293718477</c:v>
                </c:pt>
                <c:pt idx="154">
                  <c:v>-6.9905700966233821</c:v>
                </c:pt>
                <c:pt idx="155">
                  <c:v>-7.1471896389126934</c:v>
                </c:pt>
                <c:pt idx="156">
                  <c:v>-7.2374273884436233</c:v>
                </c:pt>
                <c:pt idx="157">
                  <c:v>-7.1451152078889946</c:v>
                </c:pt>
                <c:pt idx="158">
                  <c:v>-7.25297947300459</c:v>
                </c:pt>
                <c:pt idx="159">
                  <c:v>-7.2186034641843921</c:v>
                </c:pt>
                <c:pt idx="160">
                  <c:v>-7.0780956999775668</c:v>
                </c:pt>
                <c:pt idx="161">
                  <c:v>-7.1959086234098937</c:v>
                </c:pt>
                <c:pt idx="162">
                  <c:v>-6.7550279665994006</c:v>
                </c:pt>
                <c:pt idx="163">
                  <c:v>-7.1752162685860847</c:v>
                </c:pt>
                <c:pt idx="164">
                  <c:v>-7.1268228581110504</c:v>
                </c:pt>
                <c:pt idx="165">
                  <c:v>-7.2259459126702605</c:v>
                </c:pt>
                <c:pt idx="166">
                  <c:v>-7.0844369054880874</c:v>
                </c:pt>
                <c:pt idx="167">
                  <c:v>-7.1104692228470734</c:v>
                </c:pt>
                <c:pt idx="168">
                  <c:v>-7.0400484669144356</c:v>
                </c:pt>
              </c:numCache>
            </c:numRef>
          </c:xVal>
          <c:yVal>
            <c:numRef>
              <c:f>'FS-SF當日溪水'!$AA$3:$AA$171</c:f>
              <c:numCache>
                <c:formatCode>0.00_ </c:formatCode>
                <c:ptCount val="169"/>
                <c:pt idx="0">
                  <c:v>-31.192483339134721</c:v>
                </c:pt>
                <c:pt idx="1">
                  <c:v>-31.603555773292459</c:v>
                </c:pt>
                <c:pt idx="2">
                  <c:v>-28.16000851731232</c:v>
                </c:pt>
                <c:pt idx="3">
                  <c:v>-32.403842028045588</c:v>
                </c:pt>
                <c:pt idx="4">
                  <c:v>-32.235824326782698</c:v>
                </c:pt>
                <c:pt idx="5">
                  <c:v>-32.75847356449755</c:v>
                </c:pt>
                <c:pt idx="6">
                  <c:v>-32.957158574340461</c:v>
                </c:pt>
                <c:pt idx="7">
                  <c:v>-29.699246409658539</c:v>
                </c:pt>
                <c:pt idx="8">
                  <c:v>-31.029685605289711</c:v>
                </c:pt>
                <c:pt idx="9">
                  <c:v>-31.859007928804768</c:v>
                </c:pt>
                <c:pt idx="10">
                  <c:v>-35.343983231598529</c:v>
                </c:pt>
                <c:pt idx="11">
                  <c:v>-35.193929039595467</c:v>
                </c:pt>
                <c:pt idx="12">
                  <c:v>-32.246506963561863</c:v>
                </c:pt>
                <c:pt idx="13">
                  <c:v>-34.636774180988077</c:v>
                </c:pt>
                <c:pt idx="14">
                  <c:v>-32.695013312286228</c:v>
                </c:pt>
                <c:pt idx="15">
                  <c:v>-33.3584979625779</c:v>
                </c:pt>
                <c:pt idx="16">
                  <c:v>-33.607263300755157</c:v>
                </c:pt>
                <c:pt idx="17">
                  <c:v>-33.692588442030377</c:v>
                </c:pt>
                <c:pt idx="18">
                  <c:v>-32.156818302011366</c:v>
                </c:pt>
                <c:pt idx="19">
                  <c:v>-33.685310290441748</c:v>
                </c:pt>
                <c:pt idx="20">
                  <c:v>-33.485373687553619</c:v>
                </c:pt>
                <c:pt idx="21">
                  <c:v>-34.430669406526214</c:v>
                </c:pt>
                <c:pt idx="22">
                  <c:v>-33.998686595599388</c:v>
                </c:pt>
                <c:pt idx="23">
                  <c:v>-34.175679552854128</c:v>
                </c:pt>
                <c:pt idx="24">
                  <c:v>-33.24621491596298</c:v>
                </c:pt>
                <c:pt idx="25">
                  <c:v>-36.176746139904949</c:v>
                </c:pt>
                <c:pt idx="26">
                  <c:v>-34.134375011385323</c:v>
                </c:pt>
                <c:pt idx="27">
                  <c:v>-33.831924069799619</c:v>
                </c:pt>
                <c:pt idx="28">
                  <c:v>-33.521531309178847</c:v>
                </c:pt>
                <c:pt idx="29">
                  <c:v>-33.779309302721323</c:v>
                </c:pt>
                <c:pt idx="30">
                  <c:v>-33.258418487202398</c:v>
                </c:pt>
                <c:pt idx="31">
                  <c:v>-36.585693131526909</c:v>
                </c:pt>
                <c:pt idx="32">
                  <c:v>-33.196182181971558</c:v>
                </c:pt>
                <c:pt idx="33">
                  <c:v>-34.484879589196979</c:v>
                </c:pt>
                <c:pt idx="34">
                  <c:v>-34.036764619929293</c:v>
                </c:pt>
                <c:pt idx="35">
                  <c:v>-34.355963637606891</c:v>
                </c:pt>
                <c:pt idx="36">
                  <c:v>-36.294688440488571</c:v>
                </c:pt>
                <c:pt idx="37">
                  <c:v>-34.773377737646861</c:v>
                </c:pt>
                <c:pt idx="38">
                  <c:v>-33.974457051305691</c:v>
                </c:pt>
                <c:pt idx="39">
                  <c:v>-33.387875893237812</c:v>
                </c:pt>
                <c:pt idx="40">
                  <c:v>-34.036515159193563</c:v>
                </c:pt>
                <c:pt idx="41">
                  <c:v>-32.90626536446964</c:v>
                </c:pt>
                <c:pt idx="42">
                  <c:v>-32.980991957716093</c:v>
                </c:pt>
                <c:pt idx="43">
                  <c:v>-31.429102008144412</c:v>
                </c:pt>
                <c:pt idx="44">
                  <c:v>-30.56051697972401</c:v>
                </c:pt>
                <c:pt idx="45">
                  <c:v>-31.594772177052931</c:v>
                </c:pt>
                <c:pt idx="46">
                  <c:v>-32.144526655920806</c:v>
                </c:pt>
                <c:pt idx="47">
                  <c:v>-28.616766365325841</c:v>
                </c:pt>
                <c:pt idx="48">
                  <c:v>-30.30316256627718</c:v>
                </c:pt>
                <c:pt idx="49">
                  <c:v>-31.721513523707781</c:v>
                </c:pt>
                <c:pt idx="50">
                  <c:v>-31.76990512292814</c:v>
                </c:pt>
                <c:pt idx="51">
                  <c:v>-30.789537189899029</c:v>
                </c:pt>
                <c:pt idx="52">
                  <c:v>-31.06539223926201</c:v>
                </c:pt>
                <c:pt idx="53">
                  <c:v>-30.861245778601599</c:v>
                </c:pt>
                <c:pt idx="54">
                  <c:v>-30.567549357886779</c:v>
                </c:pt>
                <c:pt idx="55">
                  <c:v>-30.985792274769199</c:v>
                </c:pt>
                <c:pt idx="56">
                  <c:v>-31.647329290396431</c:v>
                </c:pt>
                <c:pt idx="57">
                  <c:v>-32.284777869113867</c:v>
                </c:pt>
                <c:pt idx="58">
                  <c:v>-30.213069988282211</c:v>
                </c:pt>
                <c:pt idx="59">
                  <c:v>-31.4992524478081</c:v>
                </c:pt>
                <c:pt idx="60">
                  <c:v>-32.285461826816373</c:v>
                </c:pt>
                <c:pt idx="61">
                  <c:v>-32.18376640526715</c:v>
                </c:pt>
                <c:pt idx="62">
                  <c:v>-31.718011400259229</c:v>
                </c:pt>
                <c:pt idx="63">
                  <c:v>-31.732458749011311</c:v>
                </c:pt>
                <c:pt idx="64">
                  <c:v>-31.147341124551581</c:v>
                </c:pt>
                <c:pt idx="65">
                  <c:v>-31.797815802889829</c:v>
                </c:pt>
                <c:pt idx="66">
                  <c:v>-28.638090062404689</c:v>
                </c:pt>
                <c:pt idx="67">
                  <c:v>-29.566893312036271</c:v>
                </c:pt>
                <c:pt idx="68">
                  <c:v>-26.88308392211243</c:v>
                </c:pt>
                <c:pt idx="69">
                  <c:v>-27.996837818836362</c:v>
                </c:pt>
                <c:pt idx="70">
                  <c:v>-29.747456443777882</c:v>
                </c:pt>
                <c:pt idx="71">
                  <c:v>-30.09339515412394</c:v>
                </c:pt>
                <c:pt idx="72">
                  <c:v>-30.904410491647461</c:v>
                </c:pt>
                <c:pt idx="73">
                  <c:v>-30.509196608900879</c:v>
                </c:pt>
                <c:pt idx="74">
                  <c:v>-31.634088044592051</c:v>
                </c:pt>
                <c:pt idx="75">
                  <c:v>-30.619896996211619</c:v>
                </c:pt>
                <c:pt idx="76">
                  <c:v>-29.930382083785261</c:v>
                </c:pt>
                <c:pt idx="77">
                  <c:v>-29.502041757734499</c:v>
                </c:pt>
                <c:pt idx="78">
                  <c:v>-29.73682850251625</c:v>
                </c:pt>
                <c:pt idx="79">
                  <c:v>-29.881526703744701</c:v>
                </c:pt>
                <c:pt idx="80">
                  <c:v>-29.858221945373771</c:v>
                </c:pt>
                <c:pt idx="81">
                  <c:v>-29.218558502923951</c:v>
                </c:pt>
                <c:pt idx="82">
                  <c:v>-27.68823084653577</c:v>
                </c:pt>
                <c:pt idx="83">
                  <c:v>-28.635573794668161</c:v>
                </c:pt>
                <c:pt idx="84">
                  <c:v>-28.37327892049267</c:v>
                </c:pt>
                <c:pt idx="85">
                  <c:v>-28.938452976022681</c:v>
                </c:pt>
                <c:pt idx="86">
                  <c:v>-30.149218140196641</c:v>
                </c:pt>
                <c:pt idx="87">
                  <c:v>-29.612603411940761</c:v>
                </c:pt>
                <c:pt idx="88">
                  <c:v>-29.7569031707995</c:v>
                </c:pt>
                <c:pt idx="89">
                  <c:v>-26.439136058914951</c:v>
                </c:pt>
                <c:pt idx="90">
                  <c:v>-29.137992486319501</c:v>
                </c:pt>
                <c:pt idx="91">
                  <c:v>-28.975279476981409</c:v>
                </c:pt>
                <c:pt idx="92">
                  <c:v>-29.57051598227363</c:v>
                </c:pt>
                <c:pt idx="93">
                  <c:v>-28.625051937251381</c:v>
                </c:pt>
                <c:pt idx="94">
                  <c:v>-28.974527915737351</c:v>
                </c:pt>
                <c:pt idx="95">
                  <c:v>-32.402078132712617</c:v>
                </c:pt>
                <c:pt idx="96">
                  <c:v>-31.61220143974958</c:v>
                </c:pt>
                <c:pt idx="97">
                  <c:v>-31.36388588364656</c:v>
                </c:pt>
                <c:pt idx="98">
                  <c:v>-31.59711043910243</c:v>
                </c:pt>
                <c:pt idx="99">
                  <c:v>-31.976786296293088</c:v>
                </c:pt>
                <c:pt idx="100">
                  <c:v>-29.406171526967011</c:v>
                </c:pt>
                <c:pt idx="101">
                  <c:v>-30.951970161437011</c:v>
                </c:pt>
                <c:pt idx="102">
                  <c:v>-31.413617590324652</c:v>
                </c:pt>
                <c:pt idx="103">
                  <c:v>-30.81066351901374</c:v>
                </c:pt>
                <c:pt idx="105">
                  <c:v>-31.789863674640959</c:v>
                </c:pt>
                <c:pt idx="106">
                  <c:v>-31.60088318926422</c:v>
                </c:pt>
                <c:pt idx="107">
                  <c:v>-31.811814221036801</c:v>
                </c:pt>
                <c:pt idx="108">
                  <c:v>-32.456997553777263</c:v>
                </c:pt>
                <c:pt idx="109">
                  <c:v>-32.704281887317158</c:v>
                </c:pt>
                <c:pt idx="110">
                  <c:v>-33.057692414001266</c:v>
                </c:pt>
                <c:pt idx="111">
                  <c:v>-32.731757924377149</c:v>
                </c:pt>
                <c:pt idx="112">
                  <c:v>-32.816590188799857</c:v>
                </c:pt>
                <c:pt idx="113">
                  <c:v>-33.172061418263482</c:v>
                </c:pt>
                <c:pt idx="114">
                  <c:v>-32.741374537348143</c:v>
                </c:pt>
                <c:pt idx="115">
                  <c:v>-32.434673273666007</c:v>
                </c:pt>
                <c:pt idx="116">
                  <c:v>-32.392428866686267</c:v>
                </c:pt>
                <c:pt idx="117">
                  <c:v>-32.387964010664028</c:v>
                </c:pt>
                <c:pt idx="118">
                  <c:v>-32.888371335619091</c:v>
                </c:pt>
                <c:pt idx="119">
                  <c:v>-32.51332342975023</c:v>
                </c:pt>
                <c:pt idx="120">
                  <c:v>-31.842221224559982</c:v>
                </c:pt>
                <c:pt idx="121">
                  <c:v>-32.444633337100257</c:v>
                </c:pt>
                <c:pt idx="122">
                  <c:v>-32.717676455383902</c:v>
                </c:pt>
                <c:pt idx="123">
                  <c:v>-33.194533086493387</c:v>
                </c:pt>
                <c:pt idx="124">
                  <c:v>-33.128818329763902</c:v>
                </c:pt>
                <c:pt idx="125">
                  <c:v>-32.474833504771603</c:v>
                </c:pt>
                <c:pt idx="126">
                  <c:v>-32.29807135164365</c:v>
                </c:pt>
                <c:pt idx="127">
                  <c:v>-37.968516884193718</c:v>
                </c:pt>
                <c:pt idx="128">
                  <c:v>-34.723191866029367</c:v>
                </c:pt>
                <c:pt idx="129">
                  <c:v>-50.305671774577668</c:v>
                </c:pt>
                <c:pt idx="130">
                  <c:v>-36.094064946252352</c:v>
                </c:pt>
                <c:pt idx="131">
                  <c:v>-36.01359072544458</c:v>
                </c:pt>
                <c:pt idx="132">
                  <c:v>-36.569881954871128</c:v>
                </c:pt>
                <c:pt idx="133">
                  <c:v>-34.953017806676847</c:v>
                </c:pt>
                <c:pt idx="134">
                  <c:v>-34.862352527338857</c:v>
                </c:pt>
                <c:pt idx="135">
                  <c:v>-35.878513791253106</c:v>
                </c:pt>
                <c:pt idx="136">
                  <c:v>-46.924737250239112</c:v>
                </c:pt>
                <c:pt idx="137">
                  <c:v>-46.570402137082127</c:v>
                </c:pt>
                <c:pt idx="138">
                  <c:v>-39.915849757047667</c:v>
                </c:pt>
                <c:pt idx="139">
                  <c:v>-39.056066026593228</c:v>
                </c:pt>
                <c:pt idx="140">
                  <c:v>-41.276913456409488</c:v>
                </c:pt>
                <c:pt idx="141">
                  <c:v>-40.189938388695573</c:v>
                </c:pt>
                <c:pt idx="142">
                  <c:v>-40.435541256344578</c:v>
                </c:pt>
                <c:pt idx="143">
                  <c:v>-42.915037497226777</c:v>
                </c:pt>
                <c:pt idx="144">
                  <c:v>-40.493942048627773</c:v>
                </c:pt>
                <c:pt idx="145">
                  <c:v>-42.159557176352479</c:v>
                </c:pt>
                <c:pt idx="146">
                  <c:v>-40.173684086518016</c:v>
                </c:pt>
                <c:pt idx="147">
                  <c:v>-38.961083426563967</c:v>
                </c:pt>
                <c:pt idx="148">
                  <c:v>-39.329243220613222</c:v>
                </c:pt>
                <c:pt idx="149">
                  <c:v>-34.07201716525374</c:v>
                </c:pt>
                <c:pt idx="150">
                  <c:v>-39.110263417461248</c:v>
                </c:pt>
                <c:pt idx="151">
                  <c:v>-38.818404398572753</c:v>
                </c:pt>
                <c:pt idx="152">
                  <c:v>-38.332200804386886</c:v>
                </c:pt>
                <c:pt idx="153">
                  <c:v>-38.297643054201963</c:v>
                </c:pt>
                <c:pt idx="154">
                  <c:v>-35.551499460299262</c:v>
                </c:pt>
                <c:pt idx="155">
                  <c:v>-37.058354230738772</c:v>
                </c:pt>
                <c:pt idx="156">
                  <c:v>-37.675945706815817</c:v>
                </c:pt>
                <c:pt idx="157">
                  <c:v>-36.661111181583394</c:v>
                </c:pt>
                <c:pt idx="158">
                  <c:v>-38.177393597446141</c:v>
                </c:pt>
                <c:pt idx="159">
                  <c:v>-37.586899771216927</c:v>
                </c:pt>
                <c:pt idx="160">
                  <c:v>-36.761867105019164</c:v>
                </c:pt>
                <c:pt idx="161">
                  <c:v>-37.643295249002868</c:v>
                </c:pt>
                <c:pt idx="162">
                  <c:v>-32.655281107889216</c:v>
                </c:pt>
                <c:pt idx="163">
                  <c:v>-37.249190380710573</c:v>
                </c:pt>
                <c:pt idx="164">
                  <c:v>-37.127774234418489</c:v>
                </c:pt>
                <c:pt idx="165">
                  <c:v>-37.724902822740162</c:v>
                </c:pt>
                <c:pt idx="166">
                  <c:v>-36.97915556354733</c:v>
                </c:pt>
                <c:pt idx="167">
                  <c:v>-37.149668949323619</c:v>
                </c:pt>
                <c:pt idx="168">
                  <c:v>-35.720872932711721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D-4AD5-98CB-DDFBDBC86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19304"/>
        <c:axId val="382402184"/>
      </c:scatterChart>
      <c:valAx>
        <c:axId val="376819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2402184"/>
        <c:crosses val="autoZero"/>
        <c:crossBetween val="midCat"/>
      </c:valAx>
      <c:valAx>
        <c:axId val="38240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6819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'FS-SF當日溪水'!$AB$2</c:f>
              <c:strCache>
                <c:ptCount val="1"/>
                <c:pt idx="0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'FS-SF當日溪水'!$AB$3:$AB$196</c:f>
              <c:numCache>
                <c:formatCode>0.00_ </c:formatCode>
                <c:ptCount val="194"/>
                <c:pt idx="0" formatCode="0.00_);[Red]\(0.00\)">
                  <c:v>3.4017724499416069</c:v>
                </c:pt>
                <c:pt idx="1">
                  <c:v>3.3804925188960011</c:v>
                </c:pt>
                <c:pt idx="2">
                  <c:v>2.7844014539144779</c:v>
                </c:pt>
                <c:pt idx="3">
                  <c:v>3.43611848336815</c:v>
                </c:pt>
                <c:pt idx="4">
                  <c:v>3.6629269600519789</c:v>
                </c:pt>
                <c:pt idx="5">
                  <c:v>3.6076229333986949</c:v>
                </c:pt>
                <c:pt idx="6">
                  <c:v>3.7517433624980061</c:v>
                </c:pt>
                <c:pt idx="7">
                  <c:v>3.217418165227834</c:v>
                </c:pt>
                <c:pt idx="8">
                  <c:v>3.3959309742097892</c:v>
                </c:pt>
                <c:pt idx="9">
                  <c:v>3.453674846954621</c:v>
                </c:pt>
                <c:pt idx="10">
                  <c:v>3.7227504929019428</c:v>
                </c:pt>
                <c:pt idx="11">
                  <c:v>3.9834253282870549</c:v>
                </c:pt>
                <c:pt idx="12">
                  <c:v>3.5578355761867968</c:v>
                </c:pt>
                <c:pt idx="13">
                  <c:v>3.8958917865293912</c:v>
                </c:pt>
                <c:pt idx="14">
                  <c:v>3.4655187867120532</c:v>
                </c:pt>
                <c:pt idx="15">
                  <c:v>3.547452017650857</c:v>
                </c:pt>
                <c:pt idx="16">
                  <c:v>3.5481721143561429</c:v>
                </c:pt>
                <c:pt idx="17">
                  <c:v>3.562935710686709</c:v>
                </c:pt>
                <c:pt idx="18">
                  <c:v>3.6462947864324891</c:v>
                </c:pt>
                <c:pt idx="19">
                  <c:v>3.7389823463507939</c:v>
                </c:pt>
                <c:pt idx="20">
                  <c:v>3.781245920338506</c:v>
                </c:pt>
                <c:pt idx="21">
                  <c:v>3.7143751588494189</c:v>
                </c:pt>
                <c:pt idx="22">
                  <c:v>3.7316505857222171</c:v>
                </c:pt>
                <c:pt idx="23">
                  <c:v>3.7607398497268631</c:v>
                </c:pt>
                <c:pt idx="24">
                  <c:v>3.9358853074031752</c:v>
                </c:pt>
                <c:pt idx="25">
                  <c:v>3.3610566561004709</c:v>
                </c:pt>
                <c:pt idx="26">
                  <c:v>3.879735984333438</c:v>
                </c:pt>
                <c:pt idx="27">
                  <c:v>3.9342950424730412</c:v>
                </c:pt>
                <c:pt idx="28">
                  <c:v>3.9440518946721701</c:v>
                </c:pt>
                <c:pt idx="29">
                  <c:v>3.74242819954606</c:v>
                </c:pt>
                <c:pt idx="30">
                  <c:v>3.1750557475131389</c:v>
                </c:pt>
                <c:pt idx="31">
                  <c:v>2.6286562477079931</c:v>
                </c:pt>
                <c:pt idx="32">
                  <c:v>3.416877481064303</c:v>
                </c:pt>
                <c:pt idx="33">
                  <c:v>3.371885569530181</c:v>
                </c:pt>
                <c:pt idx="34">
                  <c:v>3.420958150533099</c:v>
                </c:pt>
                <c:pt idx="35">
                  <c:v>3.2057777892242778</c:v>
                </c:pt>
                <c:pt idx="36">
                  <c:v>2.9175569873576581</c:v>
                </c:pt>
                <c:pt idx="37">
                  <c:v>3.2511811847145342</c:v>
                </c:pt>
                <c:pt idx="38">
                  <c:v>2.9839529476801649</c:v>
                </c:pt>
                <c:pt idx="39">
                  <c:v>3.3458761626823339</c:v>
                </c:pt>
                <c:pt idx="40">
                  <c:v>3.5262618380828541</c:v>
                </c:pt>
                <c:pt idx="41">
                  <c:v>3.4257784309321209</c:v>
                </c:pt>
                <c:pt idx="42">
                  <c:v>3.418696243869912</c:v>
                </c:pt>
                <c:pt idx="43">
                  <c:v>3.54857873004448</c:v>
                </c:pt>
                <c:pt idx="44">
                  <c:v>3.3685911509666351</c:v>
                </c:pt>
                <c:pt idx="45">
                  <c:v>3.2429959863026649</c:v>
                </c:pt>
                <c:pt idx="46">
                  <c:v>3.301879953468795</c:v>
                </c:pt>
                <c:pt idx="47">
                  <c:v>2.9496958373828681</c:v>
                </c:pt>
                <c:pt idx="48">
                  <c:v>3.2421611959759158</c:v>
                </c:pt>
                <c:pt idx="49">
                  <c:v>3.3987840881592981</c:v>
                </c:pt>
                <c:pt idx="50">
                  <c:v>3.559048198965943</c:v>
                </c:pt>
                <c:pt idx="51">
                  <c:v>3.460110904184039</c:v>
                </c:pt>
                <c:pt idx="52">
                  <c:v>3.5543467773391049</c:v>
                </c:pt>
                <c:pt idx="53">
                  <c:v>3.5510165415310491</c:v>
                </c:pt>
                <c:pt idx="54">
                  <c:v>3.5447263480967042</c:v>
                </c:pt>
                <c:pt idx="55">
                  <c:v>3.5418116072982788</c:v>
                </c:pt>
                <c:pt idx="56">
                  <c:v>3.8398911925057999</c:v>
                </c:pt>
                <c:pt idx="57">
                  <c:v>4.0012554039942616</c:v>
                </c:pt>
                <c:pt idx="58">
                  <c:v>3.7625122642179218</c:v>
                </c:pt>
                <c:pt idx="59">
                  <c:v>3.9251721068642662</c:v>
                </c:pt>
                <c:pt idx="60">
                  <c:v>3.7402159675062951</c:v>
                </c:pt>
                <c:pt idx="61">
                  <c:v>4.0921310783449867</c:v>
                </c:pt>
                <c:pt idx="62">
                  <c:v>4.0839245887201052</c:v>
                </c:pt>
                <c:pt idx="63">
                  <c:v>3.971134908541829</c:v>
                </c:pt>
                <c:pt idx="64">
                  <c:v>3.955347035434758</c:v>
                </c:pt>
                <c:pt idx="65">
                  <c:v>4.0772028101275044</c:v>
                </c:pt>
                <c:pt idx="66">
                  <c:v>4.0863314671693711</c:v>
                </c:pt>
                <c:pt idx="67">
                  <c:v>4.1602911491701091</c:v>
                </c:pt>
                <c:pt idx="68">
                  <c:v>3.4024835985078301</c:v>
                </c:pt>
                <c:pt idx="69">
                  <c:v>3.525574036229687</c:v>
                </c:pt>
                <c:pt idx="70">
                  <c:v>3.7790397213259408</c:v>
                </c:pt>
                <c:pt idx="71">
                  <c:v>3.810943392743134</c:v>
                </c:pt>
                <c:pt idx="72">
                  <c:v>3.723576309053569</c:v>
                </c:pt>
                <c:pt idx="73">
                  <c:v>3.934142858714845</c:v>
                </c:pt>
                <c:pt idx="74">
                  <c:v>3.9960916479305419</c:v>
                </c:pt>
                <c:pt idx="75">
                  <c:v>4.0019993290609106</c:v>
                </c:pt>
                <c:pt idx="76">
                  <c:v>3.763737408758324</c:v>
                </c:pt>
                <c:pt idx="77">
                  <c:v>3.7204562600553408</c:v>
                </c:pt>
                <c:pt idx="78">
                  <c:v>3.4989982187163489</c:v>
                </c:pt>
                <c:pt idx="79">
                  <c:v>3.7154300056934688</c:v>
                </c:pt>
                <c:pt idx="80">
                  <c:v>3.8011934884521041</c:v>
                </c:pt>
                <c:pt idx="81">
                  <c:v>2.857910338215778</c:v>
                </c:pt>
                <c:pt idx="82">
                  <c:v>3.6793640273088171</c:v>
                </c:pt>
                <c:pt idx="83">
                  <c:v>3.816939287902406</c:v>
                </c:pt>
                <c:pt idx="84">
                  <c:v>3.883566297987012</c:v>
                </c:pt>
                <c:pt idx="85">
                  <c:v>3.8881258866007551</c:v>
                </c:pt>
                <c:pt idx="86">
                  <c:v>3.4804777682103971</c:v>
                </c:pt>
                <c:pt idx="87">
                  <c:v>3.6707825168908141</c:v>
                </c:pt>
                <c:pt idx="88">
                  <c:v>3.7503688883082651</c:v>
                </c:pt>
                <c:pt idx="89">
                  <c:v>3.597369355165875</c:v>
                </c:pt>
                <c:pt idx="90">
                  <c:v>2.9599313629432178</c:v>
                </c:pt>
                <c:pt idx="91">
                  <c:v>3.5625175436790708</c:v>
                </c:pt>
                <c:pt idx="92">
                  <c:v>3.6711318978840271</c:v>
                </c:pt>
                <c:pt idx="93">
                  <c:v>3.5868427492070869</c:v>
                </c:pt>
                <c:pt idx="94">
                  <c:v>3.368326621217351</c:v>
                </c:pt>
                <c:pt idx="95">
                  <c:v>3.61019964055816</c:v>
                </c:pt>
                <c:pt idx="96">
                  <c:v>3.674319171014977</c:v>
                </c:pt>
                <c:pt idx="97">
                  <c:v>3.6237560608927928</c:v>
                </c:pt>
                <c:pt idx="98">
                  <c:v>3.6463121773121059</c:v>
                </c:pt>
                <c:pt idx="99">
                  <c:v>3.7127199329962179</c:v>
                </c:pt>
                <c:pt idx="100">
                  <c:v>3.7949611965935901</c:v>
                </c:pt>
                <c:pt idx="101">
                  <c:v>3.5691347681065468</c:v>
                </c:pt>
                <c:pt idx="102">
                  <c:v>3.702130783292398</c:v>
                </c:pt>
                <c:pt idx="103">
                  <c:v>3.709794296256296</c:v>
                </c:pt>
                <c:pt idx="105">
                  <c:v>3.8356212769941802</c:v>
                </c:pt>
                <c:pt idx="106">
                  <c:v>3.6907943760122701</c:v>
                </c:pt>
                <c:pt idx="107">
                  <c:v>3.8414207250493311</c:v>
                </c:pt>
                <c:pt idx="108">
                  <c:v>3.8925004187354371</c:v>
                </c:pt>
                <c:pt idx="109">
                  <c:v>3.9673731655556952</c:v>
                </c:pt>
                <c:pt idx="110">
                  <c:v>4.0848209020522468</c:v>
                </c:pt>
                <c:pt idx="111">
                  <c:v>4.0539647032882931</c:v>
                </c:pt>
                <c:pt idx="112">
                  <c:v>4.0999790351253598</c:v>
                </c:pt>
                <c:pt idx="113">
                  <c:v>4.2609784779581954</c:v>
                </c:pt>
                <c:pt idx="114">
                  <c:v>4.1227643023011709</c:v>
                </c:pt>
                <c:pt idx="115">
                  <c:v>4.1485049938208869</c:v>
                </c:pt>
                <c:pt idx="116">
                  <c:v>3.970263487105623</c:v>
                </c:pt>
                <c:pt idx="117">
                  <c:v>4.2618111232265701</c:v>
                </c:pt>
                <c:pt idx="118">
                  <c:v>4.1136902335612788</c:v>
                </c:pt>
                <c:pt idx="119">
                  <c:v>3.9277383129868428</c:v>
                </c:pt>
                <c:pt idx="120">
                  <c:v>3.910792095545792</c:v>
                </c:pt>
                <c:pt idx="121">
                  <c:v>4.5545749796250732</c:v>
                </c:pt>
                <c:pt idx="122">
                  <c:v>3.999645149467483</c:v>
                </c:pt>
                <c:pt idx="123">
                  <c:v>4.2593601018961547</c:v>
                </c:pt>
                <c:pt idx="124">
                  <c:v>4.217681276013967</c:v>
                </c:pt>
                <c:pt idx="125">
                  <c:v>4.3476326874313589</c:v>
                </c:pt>
                <c:pt idx="126">
                  <c:v>4.2570554999881196</c:v>
                </c:pt>
                <c:pt idx="127">
                  <c:v>3.832008437298049</c:v>
                </c:pt>
                <c:pt idx="128">
                  <c:v>3.6580510812206231</c:v>
                </c:pt>
                <c:pt idx="129">
                  <c:v>3.7628476486762881</c:v>
                </c:pt>
                <c:pt idx="130">
                  <c:v>3.9185186279416508</c:v>
                </c:pt>
                <c:pt idx="131">
                  <c:v>3.909864952674206</c:v>
                </c:pt>
                <c:pt idx="132">
                  <c:v>3.930102127429425</c:v>
                </c:pt>
                <c:pt idx="133">
                  <c:v>4.13208101768444</c:v>
                </c:pt>
                <c:pt idx="134">
                  <c:v>4.1477128152291129</c:v>
                </c:pt>
                <c:pt idx="135">
                  <c:v>4.0420756016654389</c:v>
                </c:pt>
                <c:pt idx="136">
                  <c:v>3.6512092467286155</c:v>
                </c:pt>
                <c:pt idx="137">
                  <c:v>3.2990701532301623</c:v>
                </c:pt>
                <c:pt idx="138">
                  <c:v>3.4885354649794795</c:v>
                </c:pt>
                <c:pt idx="139">
                  <c:v>3.6934166113886935</c:v>
                </c:pt>
                <c:pt idx="140">
                  <c:v>3.5563068304631447</c:v>
                </c:pt>
                <c:pt idx="141">
                  <c:v>3.5188672569942336</c:v>
                </c:pt>
                <c:pt idx="142">
                  <c:v>3.5728786330386999</c:v>
                </c:pt>
                <c:pt idx="143">
                  <c:v>2.9306749825175573</c:v>
                </c:pt>
                <c:pt idx="144">
                  <c:v>3.1188351044854516</c:v>
                </c:pt>
                <c:pt idx="145">
                  <c:v>3.2990299414729267</c:v>
                </c:pt>
                <c:pt idx="146">
                  <c:v>3.3909676128287667</c:v>
                </c:pt>
                <c:pt idx="147">
                  <c:v>3.4406192845440944</c:v>
                </c:pt>
                <c:pt idx="148">
                  <c:v>3.5153747805339677</c:v>
                </c:pt>
                <c:pt idx="149">
                  <c:v>3.2063278020949628</c:v>
                </c:pt>
                <c:pt idx="150">
                  <c:v>3.4135928290706521</c:v>
                </c:pt>
                <c:pt idx="151">
                  <c:v>3.4794856800682572</c:v>
                </c:pt>
                <c:pt idx="152">
                  <c:v>3.5294422305332316</c:v>
                </c:pt>
                <c:pt idx="153">
                  <c:v>3.7213928219616412</c:v>
                </c:pt>
                <c:pt idx="154">
                  <c:v>3.5155272238862825</c:v>
                </c:pt>
                <c:pt idx="155">
                  <c:v>3.6449000001652059</c:v>
                </c:pt>
                <c:pt idx="156">
                  <c:v>3.4728950889589538</c:v>
                </c:pt>
                <c:pt idx="157">
                  <c:v>3.3909424362979244</c:v>
                </c:pt>
                <c:pt idx="158">
                  <c:v>3.8053363906852273</c:v>
                </c:pt>
                <c:pt idx="159">
                  <c:v>3.6798441846475756</c:v>
                </c:pt>
                <c:pt idx="160">
                  <c:v>3.663451193314414</c:v>
                </c:pt>
                <c:pt idx="161">
                  <c:v>3.7951707759444551</c:v>
                </c:pt>
                <c:pt idx="162">
                  <c:v>3.3073020160103557</c:v>
                </c:pt>
                <c:pt idx="163">
                  <c:v>3.7603707413924345</c:v>
                </c:pt>
                <c:pt idx="164">
                  <c:v>3.8533815067515786</c:v>
                </c:pt>
                <c:pt idx="165">
                  <c:v>3.9872007941932979</c:v>
                </c:pt>
                <c:pt idx="166">
                  <c:v>3.9975182726284508</c:v>
                </c:pt>
                <c:pt idx="167">
                  <c:v>4.072133689380979</c:v>
                </c:pt>
                <c:pt idx="168">
                  <c:v>3.6539382308089801</c:v>
                </c:pt>
                <c:pt idx="169">
                  <c:v>3.5880077244849335</c:v>
                </c:pt>
                <c:pt idx="170">
                  <c:v>3.6434013656822373</c:v>
                </c:pt>
                <c:pt idx="171">
                  <c:v>3.5699157770106322</c:v>
                </c:pt>
                <c:pt idx="172">
                  <c:v>3.5547170896670792</c:v>
                </c:pt>
                <c:pt idx="173">
                  <c:v>3.1339666362198875</c:v>
                </c:pt>
                <c:pt idx="174">
                  <c:v>3.5825791598703214</c:v>
                </c:pt>
                <c:pt idx="175">
                  <c:v>3.6567387959259285</c:v>
                </c:pt>
                <c:pt idx="176">
                  <c:v>3.7386632741391854</c:v>
                </c:pt>
                <c:pt idx="177">
                  <c:v>3.7895124242475013</c:v>
                </c:pt>
                <c:pt idx="178">
                  <c:v>3.1924584530985758</c:v>
                </c:pt>
                <c:pt idx="179">
                  <c:v>3.2346228072565699</c:v>
                </c:pt>
                <c:pt idx="180">
                  <c:v>3.4353837161794085</c:v>
                </c:pt>
                <c:pt idx="181">
                  <c:v>3.5650724722151503</c:v>
                </c:pt>
                <c:pt idx="182">
                  <c:v>3.6697802826053314</c:v>
                </c:pt>
                <c:pt idx="183">
                  <c:v>3.8815809598196709</c:v>
                </c:pt>
                <c:pt idx="184">
                  <c:v>3.8918971185438673</c:v>
                </c:pt>
                <c:pt idx="185">
                  <c:v>3.9981260192318651</c:v>
                </c:pt>
                <c:pt idx="186">
                  <c:v>3.967446278546864</c:v>
                </c:pt>
                <c:pt idx="187">
                  <c:v>2.7313829673847092</c:v>
                </c:pt>
                <c:pt idx="188">
                  <c:v>3.6747318208627631</c:v>
                </c:pt>
                <c:pt idx="189">
                  <c:v>3.7438184969431734</c:v>
                </c:pt>
                <c:pt idx="190">
                  <c:v>3.8689353576076186</c:v>
                </c:pt>
                <c:pt idx="191">
                  <c:v>2.6050315804218038</c:v>
                </c:pt>
                <c:pt idx="192">
                  <c:v>2.8891600118157577</c:v>
                </c:pt>
                <c:pt idx="193">
                  <c:v>3.2868493586781087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4E-4668-8D06-2A53BA32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020776"/>
        <c:axId val="380026528"/>
      </c:lineChart>
      <c:catAx>
        <c:axId val="350020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0026528"/>
        <c:crosses val="autoZero"/>
        <c:auto val="1"/>
        <c:lblAlgn val="ctr"/>
        <c:lblOffset val="100"/>
        <c:noMultiLvlLbl val="0"/>
      </c:catAx>
      <c:valAx>
        <c:axId val="3800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0020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'FS-Well'!$AA$2</c:f>
              <c:strCache>
                <c:ptCount val="1"/>
                <c:pt idx="0">
                  <c:v>d2H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62574365704287"/>
                  <c:y val="2.554680664916885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'FS-Well'!$Z$3:$Z$340</c:f>
              <c:numCache>
                <c:formatCode>0.00_ </c:formatCode>
                <c:ptCount val="338"/>
                <c:pt idx="0">
                  <c:v>-6.4949346792448974</c:v>
                </c:pt>
                <c:pt idx="1">
                  <c:v>-6.482476046789488</c:v>
                </c:pt>
                <c:pt idx="2">
                  <c:v>-6.466083109348161</c:v>
                </c:pt>
                <c:pt idx="3">
                  <c:v>-6.4319857994702021</c:v>
                </c:pt>
                <c:pt idx="4">
                  <c:v>-6.0516696508314221</c:v>
                </c:pt>
                <c:pt idx="6">
                  <c:v>-6.5614900052566822</c:v>
                </c:pt>
                <c:pt idx="7">
                  <c:v>-6.5739486377120908</c:v>
                </c:pt>
                <c:pt idx="8">
                  <c:v>-6.4844431992824472</c:v>
                </c:pt>
                <c:pt idx="9">
                  <c:v>-6.570997908972652</c:v>
                </c:pt>
                <c:pt idx="10">
                  <c:v>-6.5287041303740292</c:v>
                </c:pt>
                <c:pt idx="11">
                  <c:v>-6.5801779539397947</c:v>
                </c:pt>
                <c:pt idx="12">
                  <c:v>-6.5126390516815276</c:v>
                </c:pt>
                <c:pt idx="13">
                  <c:v>-6.5857515526698469</c:v>
                </c:pt>
                <c:pt idx="14">
                  <c:v>-6.389364162122753</c:v>
                </c:pt>
                <c:pt idx="15">
                  <c:v>-6.1277328805591784</c:v>
                </c:pt>
                <c:pt idx="16">
                  <c:v>-6.4287072119819362</c:v>
                </c:pt>
                <c:pt idx="17">
                  <c:v>-6.3942820433551502</c:v>
                </c:pt>
                <c:pt idx="18">
                  <c:v>-6.5391956103364777</c:v>
                </c:pt>
                <c:pt idx="19">
                  <c:v>-6.5575557002707647</c:v>
                </c:pt>
                <c:pt idx="20">
                  <c:v>-6.6680793709118031</c:v>
                </c:pt>
                <c:pt idx="21">
                  <c:v>-6.708450938562815</c:v>
                </c:pt>
                <c:pt idx="22">
                  <c:v>-6.72179691134001</c:v>
                </c:pt>
                <c:pt idx="23">
                  <c:v>-6.7261343524925978</c:v>
                </c:pt>
                <c:pt idx="24">
                  <c:v>-6.5015883605163074</c:v>
                </c:pt>
                <c:pt idx="25">
                  <c:v>-6.6253722580247816</c:v>
                </c:pt>
                <c:pt idx="26">
                  <c:v>-6.6543997488151794</c:v>
                </c:pt>
                <c:pt idx="27">
                  <c:v>-6.6830935902861466</c:v>
                </c:pt>
                <c:pt idx="28">
                  <c:v>-6.5920073260817951</c:v>
                </c:pt>
                <c:pt idx="29">
                  <c:v>-6.4638859874207313</c:v>
                </c:pt>
                <c:pt idx="30">
                  <c:v>-6.7374784293532137</c:v>
                </c:pt>
                <c:pt idx="31">
                  <c:v>-6.6957722644244813</c:v>
                </c:pt>
                <c:pt idx="32">
                  <c:v>-6.7121210810765444</c:v>
                </c:pt>
                <c:pt idx="33">
                  <c:v>-6.7288035470480381</c:v>
                </c:pt>
                <c:pt idx="34">
                  <c:v>-6.7903639804644964</c:v>
                </c:pt>
                <c:pt idx="35">
                  <c:v>-6.8140802906804243</c:v>
                </c:pt>
                <c:pt idx="36">
                  <c:v>-6.7135436005610662</c:v>
                </c:pt>
                <c:pt idx="37">
                  <c:v>-6.8004597661397614</c:v>
                </c:pt>
                <c:pt idx="38">
                  <c:v>-6.7663057979980517</c:v>
                </c:pt>
                <c:pt idx="39">
                  <c:v>-7.826467361505177</c:v>
                </c:pt>
                <c:pt idx="40">
                  <c:v>-6.7873647272045954</c:v>
                </c:pt>
                <c:pt idx="41">
                  <c:v>-6.9483910615625906</c:v>
                </c:pt>
                <c:pt idx="42">
                  <c:v>-6.8526456735659433</c:v>
                </c:pt>
                <c:pt idx="43">
                  <c:v>-6.9390173872132674</c:v>
                </c:pt>
                <c:pt idx="44">
                  <c:v>-6.8543195439854658</c:v>
                </c:pt>
                <c:pt idx="45">
                  <c:v>-7.3819235002187327</c:v>
                </c:pt>
                <c:pt idx="46">
                  <c:v>-6.8422676769649087</c:v>
                </c:pt>
                <c:pt idx="47">
                  <c:v>-6.8914794672988497</c:v>
                </c:pt>
                <c:pt idx="48">
                  <c:v>-6.7536573910560929</c:v>
                </c:pt>
                <c:pt idx="49">
                  <c:v>-6.722678193200279</c:v>
                </c:pt>
                <c:pt idx="50">
                  <c:v>-6.8832370466035346</c:v>
                </c:pt>
                <c:pt idx="51">
                  <c:v>-6.8702457700833532</c:v>
                </c:pt>
                <c:pt idx="52">
                  <c:v>-6.7523249524386388</c:v>
                </c:pt>
                <c:pt idx="53">
                  <c:v>-6.830272611559721</c:v>
                </c:pt>
                <c:pt idx="54">
                  <c:v>-6.7666486675762743</c:v>
                </c:pt>
                <c:pt idx="55">
                  <c:v>-6.7516587331299114</c:v>
                </c:pt>
                <c:pt idx="56">
                  <c:v>-6.7673148868850008</c:v>
                </c:pt>
                <c:pt idx="57">
                  <c:v>-6.7380012373010034</c:v>
                </c:pt>
                <c:pt idx="58">
                  <c:v>-6.8072583611422726</c:v>
                </c:pt>
                <c:pt idx="59">
                  <c:v>-6.7780685969634167</c:v>
                </c:pt>
                <c:pt idx="60">
                  <c:v>-6.8103131039051759</c:v>
                </c:pt>
                <c:pt idx="61">
                  <c:v>-6.8975429805791997</c:v>
                </c:pt>
                <c:pt idx="62">
                  <c:v>-7.416509834410256</c:v>
                </c:pt>
                <c:pt idx="63">
                  <c:v>-7.5417542876893009</c:v>
                </c:pt>
                <c:pt idx="64">
                  <c:v>-6.7719591114376092</c:v>
                </c:pt>
                <c:pt idx="65">
                  <c:v>-6.7811233397263209</c:v>
                </c:pt>
                <c:pt idx="66">
                  <c:v>-6.9026342185173721</c:v>
                </c:pt>
                <c:pt idx="67">
                  <c:v>-7.0224480179956998</c:v>
                </c:pt>
                <c:pt idx="68">
                  <c:v>-6.8052341222958281</c:v>
                </c:pt>
                <c:pt idx="69">
                  <c:v>-6.8254503663780506</c:v>
                </c:pt>
                <c:pt idx="70">
                  <c:v>-6.7987238064049436</c:v>
                </c:pt>
                <c:pt idx="71">
                  <c:v>-6.885071154010368</c:v>
                </c:pt>
                <c:pt idx="72">
                  <c:v>-6.7000411234273178</c:v>
                </c:pt>
                <c:pt idx="73">
                  <c:v>-6.7086073285469041</c:v>
                </c:pt>
                <c:pt idx="74">
                  <c:v>-6.7038102536799364</c:v>
                </c:pt>
                <c:pt idx="75">
                  <c:v>-6.6942161039460002</c:v>
                </c:pt>
                <c:pt idx="76">
                  <c:v>-6.3883136402178886</c:v>
                </c:pt>
                <c:pt idx="77">
                  <c:v>-6.0246319601086036</c:v>
                </c:pt>
                <c:pt idx="78">
                  <c:v>-6.5267796009934411</c:v>
                </c:pt>
                <c:pt idx="79">
                  <c:v>-6.2061391472457146</c:v>
                </c:pt>
                <c:pt idx="80">
                  <c:v>-6.6452263867171073</c:v>
                </c:pt>
                <c:pt idx="81">
                  <c:v>-6.7116233173058664</c:v>
                </c:pt>
                <c:pt idx="82">
                  <c:v>-6.4600490174871501</c:v>
                </c:pt>
                <c:pt idx="83">
                  <c:v>-6.1904574601217366</c:v>
                </c:pt>
                <c:pt idx="84">
                  <c:v>-6.567823229496546</c:v>
                </c:pt>
                <c:pt idx="85">
                  <c:v>-6.5678232294965451</c:v>
                </c:pt>
                <c:pt idx="86">
                  <c:v>-6.4540671185240708</c:v>
                </c:pt>
                <c:pt idx="87">
                  <c:v>-6.500258993888651</c:v>
                </c:pt>
                <c:pt idx="88">
                  <c:v>-6.3151467769425329</c:v>
                </c:pt>
                <c:pt idx="89">
                  <c:v>-6.3251435260885982</c:v>
                </c:pt>
                <c:pt idx="90">
                  <c:v>-6.412356544500831</c:v>
                </c:pt>
                <c:pt idx="91">
                  <c:v>-6.4309711808417802</c:v>
                </c:pt>
                <c:pt idx="92">
                  <c:v>-6.5016378558398316</c:v>
                </c:pt>
                <c:pt idx="93">
                  <c:v>-6.4644085831579323</c:v>
                </c:pt>
                <c:pt idx="94">
                  <c:v>-6.0269646291455974</c:v>
                </c:pt>
                <c:pt idx="95">
                  <c:v>-6.1241743967038937</c:v>
                </c:pt>
                <c:pt idx="96">
                  <c:v>-6.4174183274486998</c:v>
                </c:pt>
                <c:pt idx="97">
                  <c:v>-6.4188048773528434</c:v>
                </c:pt>
                <c:pt idx="98">
                  <c:v>-6.5089306211220794</c:v>
                </c:pt>
                <c:pt idx="99">
                  <c:v>-6.5293822322081736</c:v>
                </c:pt>
                <c:pt idx="100">
                  <c:v>-6.4818928979913073</c:v>
                </c:pt>
                <c:pt idx="101">
                  <c:v>-6.3220930215389313</c:v>
                </c:pt>
                <c:pt idx="102">
                  <c:v>-6.3680688873805407</c:v>
                </c:pt>
                <c:pt idx="103">
                  <c:v>-6.3244764809507892</c:v>
                </c:pt>
                <c:pt idx="104">
                  <c:v>-6.2177622700107538</c:v>
                </c:pt>
                <c:pt idx="105">
                  <c:v>-6.2958798623328711</c:v>
                </c:pt>
                <c:pt idx="106">
                  <c:v>-6.3851571107010052</c:v>
                </c:pt>
                <c:pt idx="107">
                  <c:v>-6.3882957639639466</c:v>
                </c:pt>
                <c:pt idx="108">
                  <c:v>-6.3293588304709214</c:v>
                </c:pt>
                <c:pt idx="109">
                  <c:v>-6.3680688873805407</c:v>
                </c:pt>
                <c:pt idx="110">
                  <c:v>-6.4482789152112874</c:v>
                </c:pt>
                <c:pt idx="111">
                  <c:v>-6.4472326974569736</c:v>
                </c:pt>
                <c:pt idx="112">
                  <c:v>-6.4806802587844361</c:v>
                </c:pt>
                <c:pt idx="113">
                  <c:v>-6.5454654590501562</c:v>
                </c:pt>
                <c:pt idx="114">
                  <c:v>-6.6537891003546656</c:v>
                </c:pt>
                <c:pt idx="115">
                  <c:v>-6.611992196957428</c:v>
                </c:pt>
                <c:pt idx="116">
                  <c:v>-6.3768846153479606</c:v>
                </c:pt>
                <c:pt idx="117">
                  <c:v>-6.361559084102308</c:v>
                </c:pt>
                <c:pt idx="118">
                  <c:v>-6.5033202481246066</c:v>
                </c:pt>
                <c:pt idx="119">
                  <c:v>-6.4872981018223319</c:v>
                </c:pt>
                <c:pt idx="120">
                  <c:v>-6.5799479043528786</c:v>
                </c:pt>
                <c:pt idx="121">
                  <c:v>-6.5304882353328129</c:v>
                </c:pt>
                <c:pt idx="122">
                  <c:v>-6.6562838409634173</c:v>
                </c:pt>
                <c:pt idx="123">
                  <c:v>-6.6034822525640307</c:v>
                </c:pt>
                <c:pt idx="124">
                  <c:v>-6.5503309847712687</c:v>
                </c:pt>
                <c:pt idx="125">
                  <c:v>-6.5024249078791101</c:v>
                </c:pt>
                <c:pt idx="126">
                  <c:v>-6.5884460386489732</c:v>
                </c:pt>
                <c:pt idx="127">
                  <c:v>-6.5244547096616374</c:v>
                </c:pt>
                <c:pt idx="128">
                  <c:v>-6.6818104366796778</c:v>
                </c:pt>
                <c:pt idx="129">
                  <c:v>-6.5608213665724726</c:v>
                </c:pt>
                <c:pt idx="130">
                  <c:v>-6.6478915355224544</c:v>
                </c:pt>
                <c:pt idx="131">
                  <c:v>-6.5678149544399398</c:v>
                </c:pt>
                <c:pt idx="132">
                  <c:v>-5.547417701705637</c:v>
                </c:pt>
                <c:pt idx="133">
                  <c:v>-5.2895775570875658</c:v>
                </c:pt>
                <c:pt idx="134">
                  <c:v>-5.830683749473546</c:v>
                </c:pt>
                <c:pt idx="135">
                  <c:v>-5.6265603016509056</c:v>
                </c:pt>
                <c:pt idx="136">
                  <c:v>-5.3461591443787544</c:v>
                </c:pt>
                <c:pt idx="137">
                  <c:v>-5.477227884559607</c:v>
                </c:pt>
                <c:pt idx="138">
                  <c:v>-5.7139394617714743</c:v>
                </c:pt>
                <c:pt idx="139">
                  <c:v>-5.5291540247951909</c:v>
                </c:pt>
                <c:pt idx="140">
                  <c:v>-5.7991699540202264</c:v>
                </c:pt>
                <c:pt idx="141">
                  <c:v>-5.9295224715771386</c:v>
                </c:pt>
                <c:pt idx="142">
                  <c:v>-5.9721377177015142</c:v>
                </c:pt>
                <c:pt idx="143">
                  <c:v>-5.8206566327383982</c:v>
                </c:pt>
                <c:pt idx="144">
                  <c:v>-5.9871783928042346</c:v>
                </c:pt>
                <c:pt idx="145">
                  <c:v>-5.9019479005554842</c:v>
                </c:pt>
                <c:pt idx="146">
                  <c:v>-5.9993541774112007</c:v>
                </c:pt>
                <c:pt idx="147">
                  <c:v>-5.9574551539107636</c:v>
                </c:pt>
                <c:pt idx="148">
                  <c:v>-6.1221863574167523</c:v>
                </c:pt>
                <c:pt idx="149">
                  <c:v>-6.1984640668662658</c:v>
                </c:pt>
                <c:pt idx="150">
                  <c:v>-6.0072326262745301</c:v>
                </c:pt>
                <c:pt idx="151">
                  <c:v>-6.0459086479672406</c:v>
                </c:pt>
                <c:pt idx="152">
                  <c:v>-5.9606781557184894</c:v>
                </c:pt>
                <c:pt idx="153">
                  <c:v>-5.9259413584574432</c:v>
                </c:pt>
                <c:pt idx="154">
                  <c:v>-6.1612204904214334</c:v>
                </c:pt>
                <c:pt idx="155">
                  <c:v>-6.1511933736862856</c:v>
                </c:pt>
                <c:pt idx="156">
                  <c:v>-6.1844977256994538</c:v>
                </c:pt>
                <c:pt idx="157">
                  <c:v>-6.2253224152639817</c:v>
                </c:pt>
                <c:pt idx="158">
                  <c:v>-6.23463330937519</c:v>
                </c:pt>
                <c:pt idx="159">
                  <c:v>-6.2031195139218704</c:v>
                </c:pt>
                <c:pt idx="160">
                  <c:v>-6.2084911836014136</c:v>
                </c:pt>
                <c:pt idx="161">
                  <c:v>-6.2292616396956468</c:v>
                </c:pt>
                <c:pt idx="162">
                  <c:v>-6.1716057184685491</c:v>
                </c:pt>
                <c:pt idx="163">
                  <c:v>-6.4760003336426619</c:v>
                </c:pt>
                <c:pt idx="164">
                  <c:v>-6.0572600568501089</c:v>
                </c:pt>
                <c:pt idx="165">
                  <c:v>-6.1545836991799243</c:v>
                </c:pt>
                <c:pt idx="166">
                  <c:v>-6.0828511341161153</c:v>
                </c:pt>
                <c:pt idx="167">
                  <c:v>-6.1825012380155684</c:v>
                </c:pt>
                <c:pt idx="168">
                  <c:v>-6.1448901093064361</c:v>
                </c:pt>
                <c:pt idx="169">
                  <c:v>-6.1646650326483501</c:v>
                </c:pt>
                <c:pt idx="170">
                  <c:v>-6.1952967766485711</c:v>
                </c:pt>
                <c:pt idx="171">
                  <c:v>-6.1293803655088572</c:v>
                </c:pt>
                <c:pt idx="172">
                  <c:v>-6.3407006247508848</c:v>
                </c:pt>
                <c:pt idx="173">
                  <c:v>-6.4973490371064457</c:v>
                </c:pt>
                <c:pt idx="174">
                  <c:v>-6.2038271357372397</c:v>
                </c:pt>
                <c:pt idx="175">
                  <c:v>-6.2080923152815748</c:v>
                </c:pt>
                <c:pt idx="176">
                  <c:v>-6.245315700395766</c:v>
                </c:pt>
                <c:pt idx="177">
                  <c:v>-6.3019262652569346</c:v>
                </c:pt>
                <c:pt idx="178">
                  <c:v>-6.1638895454584706</c:v>
                </c:pt>
                <c:pt idx="179">
                  <c:v>-6.2740087264212896</c:v>
                </c:pt>
                <c:pt idx="180">
                  <c:v>-6.1154215960910339</c:v>
                </c:pt>
                <c:pt idx="181">
                  <c:v>-6.2038271357372414</c:v>
                </c:pt>
                <c:pt idx="182">
                  <c:v>-6.092932467584542</c:v>
                </c:pt>
                <c:pt idx="183">
                  <c:v>-6.2584989826237098</c:v>
                </c:pt>
                <c:pt idx="184">
                  <c:v>-6.1952967766485711</c:v>
                </c:pt>
                <c:pt idx="185">
                  <c:v>-6.1983987254080866</c:v>
                </c:pt>
                <c:pt idx="186">
                  <c:v>-6.094483441964301</c:v>
                </c:pt>
                <c:pt idx="187">
                  <c:v>-6.1980109818131481</c:v>
                </c:pt>
                <c:pt idx="188">
                  <c:v>-6.1080544677871833</c:v>
                </c:pt>
                <c:pt idx="189">
                  <c:v>-6.1669914942179869</c:v>
                </c:pt>
                <c:pt idx="190">
                  <c:v>-6.5277292398280879</c:v>
                </c:pt>
                <c:pt idx="191">
                  <c:v>-6.5667198122479213</c:v>
                </c:pt>
                <c:pt idx="192">
                  <c:v>-6.412529821314946</c:v>
                </c:pt>
                <c:pt idx="193">
                  <c:v>-6.4575462094723894</c:v>
                </c:pt>
                <c:pt idx="194">
                  <c:v>-6.4362786245161159</c:v>
                </c:pt>
                <c:pt idx="195">
                  <c:v>-6.4518748534840498</c:v>
                </c:pt>
                <c:pt idx="196">
                  <c:v>-6.4362786245161168</c:v>
                </c:pt>
                <c:pt idx="197">
                  <c:v>-6.4816494724228297</c:v>
                </c:pt>
                <c:pt idx="198">
                  <c:v>-6.5436799285452922</c:v>
                </c:pt>
                <c:pt idx="199">
                  <c:v>-6.5585672380146844</c:v>
                </c:pt>
                <c:pt idx="200">
                  <c:v>-6.4079218445744193</c:v>
                </c:pt>
                <c:pt idx="201">
                  <c:v>-6.4571917497231182</c:v>
                </c:pt>
                <c:pt idx="202">
                  <c:v>-6.4334429465219456</c:v>
                </c:pt>
                <c:pt idx="203">
                  <c:v>-6.4784593346793891</c:v>
                </c:pt>
                <c:pt idx="204">
                  <c:v>-6.4678255422012541</c:v>
                </c:pt>
                <c:pt idx="205">
                  <c:v>-6.4362786245161159</c:v>
                </c:pt>
                <c:pt idx="206">
                  <c:v>-6.4104030628193156</c:v>
                </c:pt>
                <c:pt idx="207">
                  <c:v>-6.4238725332916244</c:v>
                </c:pt>
                <c:pt idx="210">
                  <c:v>-6.5131963901079688</c:v>
                </c:pt>
                <c:pt idx="211">
                  <c:v>-6.5153231486035956</c:v>
                </c:pt>
                <c:pt idx="212">
                  <c:v>-6.506107195122544</c:v>
                </c:pt>
                <c:pt idx="213">
                  <c:v>-6.4951189428951377</c:v>
                </c:pt>
                <c:pt idx="214">
                  <c:v>-6.4837762309184566</c:v>
                </c:pt>
                <c:pt idx="215">
                  <c:v>-6.4862574491633556</c:v>
                </c:pt>
                <c:pt idx="216">
                  <c:v>-6.5755147067813784</c:v>
                </c:pt>
                <c:pt idx="217">
                  <c:v>-6.5772935658441396</c:v>
                </c:pt>
                <c:pt idx="218">
                  <c:v>-6.6367074585403998</c:v>
                </c:pt>
                <c:pt idx="219">
                  <c:v>-6.5872551765956091</c:v>
                </c:pt>
                <c:pt idx="222">
                  <c:v>-6.6409767202910297</c:v>
                </c:pt>
                <c:pt idx="223">
                  <c:v>-6.5901013510960293</c:v>
                </c:pt>
                <c:pt idx="224">
                  <c:v>-6.6498710156048402</c:v>
                </c:pt>
                <c:pt idx="225">
                  <c:v>-6.6477363847295257</c:v>
                </c:pt>
                <c:pt idx="226">
                  <c:v>-6.6641018881069378</c:v>
                </c:pt>
                <c:pt idx="227">
                  <c:v>-6.6491594719797336</c:v>
                </c:pt>
                <c:pt idx="228">
                  <c:v>-6.6520056464801547</c:v>
                </c:pt>
                <c:pt idx="229">
                  <c:v>-6.5982841027847359</c:v>
                </c:pt>
                <c:pt idx="230">
                  <c:v>-6.5356682637755048</c:v>
                </c:pt>
                <c:pt idx="231">
                  <c:v>-6.5225047067110644</c:v>
                </c:pt>
                <c:pt idx="232">
                  <c:v>-6.5413606127763444</c:v>
                </c:pt>
                <c:pt idx="234">
                  <c:v>-6.5858320893454003</c:v>
                </c:pt>
                <c:pt idx="235">
                  <c:v>-6.4986679952700506</c:v>
                </c:pt>
                <c:pt idx="236">
                  <c:v>-6.6135822907244908</c:v>
                </c:pt>
                <c:pt idx="237">
                  <c:v>-6.5545241698407848</c:v>
                </c:pt>
                <c:pt idx="238">
                  <c:v>-6.5410048409637911</c:v>
                </c:pt>
                <c:pt idx="240">
                  <c:v>-6.5313990020248758</c:v>
                </c:pt>
                <c:pt idx="241">
                  <c:v>-6.4755428274541407</c:v>
                </c:pt>
                <c:pt idx="242">
                  <c:v>-6.5388702100884766</c:v>
                </c:pt>
                <c:pt idx="243">
                  <c:v>-6.6004187336600486</c:v>
                </c:pt>
                <c:pt idx="244">
                  <c:v>-6.6285247068516933</c:v>
                </c:pt>
                <c:pt idx="245">
                  <c:v>-6.6349285994776377</c:v>
                </c:pt>
                <c:pt idx="246">
                  <c:v>-6.6368621294307131</c:v>
                </c:pt>
                <c:pt idx="247">
                  <c:v>-6.6942086090950674</c:v>
                </c:pt>
                <c:pt idx="248">
                  <c:v>-6.6335747516155577</c:v>
                </c:pt>
                <c:pt idx="249">
                  <c:v>-6.6357663368256601</c:v>
                </c:pt>
                <c:pt idx="250">
                  <c:v>-6.5937609536320254</c:v>
                </c:pt>
                <c:pt idx="251">
                  <c:v>-6.5207081132952656</c:v>
                </c:pt>
                <c:pt idx="252">
                  <c:v>-6.5977788598505462</c:v>
                </c:pt>
                <c:pt idx="253">
                  <c:v>-6.6847117398512887</c:v>
                </c:pt>
                <c:pt idx="254">
                  <c:v>-6.7219686884230336</c:v>
                </c:pt>
                <c:pt idx="255">
                  <c:v>-6.6869033250613903</c:v>
                </c:pt>
                <c:pt idx="256">
                  <c:v>-6.9214029425423824</c:v>
                </c:pt>
                <c:pt idx="257">
                  <c:v>-7.0784665492664089</c:v>
                </c:pt>
                <c:pt idx="258">
                  <c:v>-7.4386170521266246</c:v>
                </c:pt>
                <c:pt idx="259">
                  <c:v>-7.6628892719604691</c:v>
                </c:pt>
                <c:pt idx="260">
                  <c:v>-7.2804576527975451</c:v>
                </c:pt>
                <c:pt idx="261">
                  <c:v>-7.3483967943107276</c:v>
                </c:pt>
                <c:pt idx="262">
                  <c:v>-7.2932418998564774</c:v>
                </c:pt>
                <c:pt idx="263">
                  <c:v>-7.3871147996892104</c:v>
                </c:pt>
                <c:pt idx="264">
                  <c:v>-7.3681210612016539</c:v>
                </c:pt>
                <c:pt idx="265">
                  <c:v>-7.4634550178411221</c:v>
                </c:pt>
                <c:pt idx="266">
                  <c:v>-7.0872328901068213</c:v>
                </c:pt>
                <c:pt idx="267">
                  <c:v>-7.0623949243923247</c:v>
                </c:pt>
                <c:pt idx="268">
                  <c:v>-7.118280347249943</c:v>
                </c:pt>
                <c:pt idx="269">
                  <c:v>-7.096364495148916</c:v>
                </c:pt>
                <c:pt idx="270">
                  <c:v>-7.0590797800373677</c:v>
                </c:pt>
                <c:pt idx="271">
                  <c:v>-6.9962092625962873</c:v>
                </c:pt>
                <c:pt idx="272">
                  <c:v>-8.9329102596318677</c:v>
                </c:pt>
                <c:pt idx="273">
                  <c:v>-9.4434622202309857</c:v>
                </c:pt>
                <c:pt idx="274">
                  <c:v>-8.6666138725394752</c:v>
                </c:pt>
                <c:pt idx="275">
                  <c:v>-9.3571055899527202</c:v>
                </c:pt>
                <c:pt idx="276">
                  <c:v>-7.8879589007835653</c:v>
                </c:pt>
                <c:pt idx="277">
                  <c:v>-7.7474035485733346</c:v>
                </c:pt>
                <c:pt idx="278">
                  <c:v>-7.5136263946401209</c:v>
                </c:pt>
                <c:pt idx="279">
                  <c:v>-7.5956471271638293</c:v>
                </c:pt>
                <c:pt idx="280">
                  <c:v>-7.6830877318807342</c:v>
                </c:pt>
                <c:pt idx="281">
                  <c:v>-8.226881575264791</c:v>
                </c:pt>
                <c:pt idx="282">
                  <c:v>-7.631779608451807</c:v>
                </c:pt>
                <c:pt idx="283">
                  <c:v>-7.6877849544481709</c:v>
                </c:pt>
                <c:pt idx="284">
                  <c:v>-7.6838103815064951</c:v>
                </c:pt>
                <c:pt idx="285">
                  <c:v>-7.7622178659014054</c:v>
                </c:pt>
                <c:pt idx="286">
                  <c:v>-7.9849140339833387</c:v>
                </c:pt>
                <c:pt idx="287">
                  <c:v>-8.2044579839915333</c:v>
                </c:pt>
                <c:pt idx="288">
                  <c:v>-7.5050289905008558</c:v>
                </c:pt>
                <c:pt idx="289">
                  <c:v>-7.6281118979070257</c:v>
                </c:pt>
                <c:pt idx="290">
                  <c:v>-7.6837757970429621</c:v>
                </c:pt>
                <c:pt idx="291">
                  <c:v>-7.7086689693273573</c:v>
                </c:pt>
                <c:pt idx="292">
                  <c:v>-7.581091461369839</c:v>
                </c:pt>
                <c:pt idx="293">
                  <c:v>-7.5807457228658883</c:v>
                </c:pt>
                <c:pt idx="294">
                  <c:v>-7.3542870027786931</c:v>
                </c:pt>
                <c:pt idx="295">
                  <c:v>-7.3712281894722391</c:v>
                </c:pt>
                <c:pt idx="296">
                  <c:v>-7.3546327412826438</c:v>
                </c:pt>
                <c:pt idx="297">
                  <c:v>-7.4082222093948795</c:v>
                </c:pt>
                <c:pt idx="298">
                  <c:v>-6.9559962462283922</c:v>
                </c:pt>
                <c:pt idx="299">
                  <c:v>-7.0410479182000705</c:v>
                </c:pt>
                <c:pt idx="300">
                  <c:v>-7.3878236376618354</c:v>
                </c:pt>
                <c:pt idx="301">
                  <c:v>-7.4528224764044193</c:v>
                </c:pt>
                <c:pt idx="302">
                  <c:v>-7.2267094948211748</c:v>
                </c:pt>
                <c:pt idx="303">
                  <c:v>-7.2094225696236789</c:v>
                </c:pt>
                <c:pt idx="304">
                  <c:v>-7.2640492532477658</c:v>
                </c:pt>
                <c:pt idx="305">
                  <c:v>-7.3006975346664573</c:v>
                </c:pt>
                <c:pt idx="306">
                  <c:v>-7.3204046293916019</c:v>
                </c:pt>
                <c:pt idx="307">
                  <c:v>-7.3283566149824493</c:v>
                </c:pt>
                <c:pt idx="308">
                  <c:v>-6.9905700966233821</c:v>
                </c:pt>
                <c:pt idx="309">
                  <c:v>-7.0424308722158706</c:v>
                </c:pt>
                <c:pt idx="310">
                  <c:v>-7.2104597851355283</c:v>
                </c:pt>
                <c:pt idx="311">
                  <c:v>-7.175194457732637</c:v>
                </c:pt>
                <c:pt idx="312">
                  <c:v>-7.262320560728015</c:v>
                </c:pt>
                <c:pt idx="313">
                  <c:v>-7.2574802216727177</c:v>
                </c:pt>
                <c:pt idx="314">
                  <c:v>-7.0894513087530591</c:v>
                </c:pt>
                <c:pt idx="315">
                  <c:v>-7.0396649641842703</c:v>
                </c:pt>
                <c:pt idx="316">
                  <c:v>-7.1855624459979897</c:v>
                </c:pt>
                <c:pt idx="317">
                  <c:v>-7.2145984922830104</c:v>
                </c:pt>
                <c:pt idx="318">
                  <c:v>-7.0530646255939269</c:v>
                </c:pt>
                <c:pt idx="319">
                  <c:v>-7.1007905407520662</c:v>
                </c:pt>
                <c:pt idx="320">
                  <c:v>-6.9906538134640543</c:v>
                </c:pt>
                <c:pt idx="321">
                  <c:v>-6.9105543754364103</c:v>
                </c:pt>
                <c:pt idx="322">
                  <c:v>-7.1515201848362393</c:v>
                </c:pt>
                <c:pt idx="323">
                  <c:v>-7.0547333638861698</c:v>
                </c:pt>
                <c:pt idx="324">
                  <c:v>-6.4753474288195436</c:v>
                </c:pt>
                <c:pt idx="325">
                  <c:v>-6.2630839180462852</c:v>
                </c:pt>
                <c:pt idx="326">
                  <c:v>-7.0837694101711923</c:v>
                </c:pt>
                <c:pt idx="327">
                  <c:v>-7.0517296349601333</c:v>
                </c:pt>
                <c:pt idx="328">
                  <c:v>-7.1168104283575939</c:v>
                </c:pt>
                <c:pt idx="329">
                  <c:v>-7.0340410090623626</c:v>
                </c:pt>
                <c:pt idx="330">
                  <c:v>-7.1632013528819396</c:v>
                </c:pt>
                <c:pt idx="331">
                  <c:v>-7.1735475302938427</c:v>
                </c:pt>
                <c:pt idx="332">
                  <c:v>-7.0156848878476934</c:v>
                </c:pt>
                <c:pt idx="333">
                  <c:v>-7.0757594663684271</c:v>
                </c:pt>
                <c:pt idx="334">
                  <c:v>-7.0163523831645911</c:v>
                </c:pt>
                <c:pt idx="335">
                  <c:v>-7.0260310652595983</c:v>
                </c:pt>
                <c:pt idx="336">
                  <c:v>-6.8454735820389496</c:v>
                </c:pt>
                <c:pt idx="337">
                  <c:v>-6.7540267236240563</c:v>
                </c:pt>
              </c:numCache>
            </c:numRef>
          </c:xVal>
          <c:yVal>
            <c:numRef>
              <c:f>'FS-Well'!$AA$3:$AA$340</c:f>
              <c:numCache>
                <c:formatCode>0.00_ </c:formatCode>
                <c:ptCount val="338"/>
                <c:pt idx="0">
                  <c:v>-31.43619056795681</c:v>
                </c:pt>
                <c:pt idx="1">
                  <c:v>-31.06785661703293</c:v>
                </c:pt>
                <c:pt idx="2">
                  <c:v>-30.88254777369832</c:v>
                </c:pt>
                <c:pt idx="3">
                  <c:v>-30.247669236499149</c:v>
                </c:pt>
                <c:pt idx="4">
                  <c:v>-23.93183490883268</c:v>
                </c:pt>
                <c:pt idx="6">
                  <c:v>-31.941548663599932</c:v>
                </c:pt>
                <c:pt idx="7">
                  <c:v>-32.14349615307902</c:v>
                </c:pt>
                <c:pt idx="8">
                  <c:v>-31.86031292065924</c:v>
                </c:pt>
                <c:pt idx="9">
                  <c:v>-32.277584066125698</c:v>
                </c:pt>
                <c:pt idx="10">
                  <c:v>-32.486709010804383</c:v>
                </c:pt>
                <c:pt idx="11">
                  <c:v>-32.765651019697117</c:v>
                </c:pt>
                <c:pt idx="12">
                  <c:v>-32.434835584589223</c:v>
                </c:pt>
                <c:pt idx="13">
                  <c:v>-32.757168572643081</c:v>
                </c:pt>
                <c:pt idx="14">
                  <c:v>-29.027828100534229</c:v>
                </c:pt>
                <c:pt idx="15">
                  <c:v>-25.70499259109247</c:v>
                </c:pt>
                <c:pt idx="16">
                  <c:v>-30.39317582827244</c:v>
                </c:pt>
                <c:pt idx="17">
                  <c:v>-29.61507443504529</c:v>
                </c:pt>
                <c:pt idx="18">
                  <c:v>-31.53080247740581</c:v>
                </c:pt>
                <c:pt idx="19">
                  <c:v>-31.570278481003509</c:v>
                </c:pt>
                <c:pt idx="20">
                  <c:v>-33.320404735027452</c:v>
                </c:pt>
                <c:pt idx="21">
                  <c:v>-33.600638391615952</c:v>
                </c:pt>
                <c:pt idx="22">
                  <c:v>-33.793092002109937</c:v>
                </c:pt>
                <c:pt idx="23">
                  <c:v>-33.976601985266008</c:v>
                </c:pt>
                <c:pt idx="24">
                  <c:v>-32.248494436303609</c:v>
                </c:pt>
                <c:pt idx="25">
                  <c:v>-33.260449307317622</c:v>
                </c:pt>
                <c:pt idx="26">
                  <c:v>-33.187575306786343</c:v>
                </c:pt>
                <c:pt idx="27">
                  <c:v>-33.018971369193487</c:v>
                </c:pt>
                <c:pt idx="28">
                  <c:v>-31.342206866059971</c:v>
                </c:pt>
                <c:pt idx="29">
                  <c:v>-29.67405474480741</c:v>
                </c:pt>
                <c:pt idx="30">
                  <c:v>-32.802005594884427</c:v>
                </c:pt>
                <c:pt idx="31">
                  <c:v>-32.786768303864257</c:v>
                </c:pt>
                <c:pt idx="32">
                  <c:v>-33.082901742386852</c:v>
                </c:pt>
                <c:pt idx="33">
                  <c:v>-33.427065772168703</c:v>
                </c:pt>
                <c:pt idx="34">
                  <c:v>-33.852533005369963</c:v>
                </c:pt>
                <c:pt idx="35">
                  <c:v>-33.963414819218848</c:v>
                </c:pt>
                <c:pt idx="36">
                  <c:v>-32.43906048889378</c:v>
                </c:pt>
                <c:pt idx="37">
                  <c:v>-32.789544331290003</c:v>
                </c:pt>
                <c:pt idx="38">
                  <c:v>-33.629155891925542</c:v>
                </c:pt>
                <c:pt idx="39">
                  <c:v>-44.480340447057678</c:v>
                </c:pt>
                <c:pt idx="40">
                  <c:v>-33.416709753100747</c:v>
                </c:pt>
                <c:pt idx="41">
                  <c:v>-34.045018085351572</c:v>
                </c:pt>
                <c:pt idx="42">
                  <c:v>-34.623328407078453</c:v>
                </c:pt>
                <c:pt idx="43">
                  <c:v>-35.291301827678268</c:v>
                </c:pt>
                <c:pt idx="44">
                  <c:v>-34.069683770543378</c:v>
                </c:pt>
                <c:pt idx="45">
                  <c:v>-36.821574269780939</c:v>
                </c:pt>
                <c:pt idx="46">
                  <c:v>-34.242343566886042</c:v>
                </c:pt>
                <c:pt idx="47">
                  <c:v>-34.41700328364967</c:v>
                </c:pt>
                <c:pt idx="48">
                  <c:v>-33.836556797570083</c:v>
                </c:pt>
                <c:pt idx="49">
                  <c:v>-33.319014923784493</c:v>
                </c:pt>
                <c:pt idx="50">
                  <c:v>-35.653909720095967</c:v>
                </c:pt>
                <c:pt idx="51">
                  <c:v>-36.4007716185193</c:v>
                </c:pt>
                <c:pt idx="52">
                  <c:v>-33.740924060022742</c:v>
                </c:pt>
                <c:pt idx="53">
                  <c:v>-34.40605140421011</c:v>
                </c:pt>
                <c:pt idx="54">
                  <c:v>-33.546349493663449</c:v>
                </c:pt>
                <c:pt idx="55">
                  <c:v>-33.620142228864339</c:v>
                </c:pt>
                <c:pt idx="56">
                  <c:v>-33.446745846598567</c:v>
                </c:pt>
                <c:pt idx="57">
                  <c:v>-33.544364038904689</c:v>
                </c:pt>
                <c:pt idx="58">
                  <c:v>-33.832074865851823</c:v>
                </c:pt>
                <c:pt idx="59">
                  <c:v>-34.096579163082858</c:v>
                </c:pt>
                <c:pt idx="60">
                  <c:v>-33.690013734346657</c:v>
                </c:pt>
                <c:pt idx="61">
                  <c:v>-34.765619444314318</c:v>
                </c:pt>
                <c:pt idx="62">
                  <c:v>-41.193885644922993</c:v>
                </c:pt>
                <c:pt idx="63">
                  <c:v>-43.181726763627402</c:v>
                </c:pt>
                <c:pt idx="64">
                  <c:v>-33.430244808165789</c:v>
                </c:pt>
                <c:pt idx="65">
                  <c:v>-33.882134502667917</c:v>
                </c:pt>
                <c:pt idx="66">
                  <c:v>-34.865400477157237</c:v>
                </c:pt>
                <c:pt idx="67">
                  <c:v>-36.166274552797383</c:v>
                </c:pt>
                <c:pt idx="68">
                  <c:v>-34.650267860102382</c:v>
                </c:pt>
                <c:pt idx="69">
                  <c:v>-34.820780155870352</c:v>
                </c:pt>
                <c:pt idx="70">
                  <c:v>-34.712334335761923</c:v>
                </c:pt>
                <c:pt idx="71">
                  <c:v>-35.571716306432421</c:v>
                </c:pt>
                <c:pt idx="72">
                  <c:v>-34.014598021479451</c:v>
                </c:pt>
                <c:pt idx="73">
                  <c:v>-34.00982367719795</c:v>
                </c:pt>
                <c:pt idx="74">
                  <c:v>-33.800434577994899</c:v>
                </c:pt>
                <c:pt idx="75">
                  <c:v>-33.969241750805168</c:v>
                </c:pt>
                <c:pt idx="76">
                  <c:v>-32.080694471769718</c:v>
                </c:pt>
                <c:pt idx="77">
                  <c:v>-30.589319304549321</c:v>
                </c:pt>
                <c:pt idx="78">
                  <c:v>-32.567916637953282</c:v>
                </c:pt>
                <c:pt idx="79">
                  <c:v>-30.514387440237901</c:v>
                </c:pt>
                <c:pt idx="80">
                  <c:v>-33.714341152286273</c:v>
                </c:pt>
                <c:pt idx="81">
                  <c:v>-34.305873755132453</c:v>
                </c:pt>
                <c:pt idx="82">
                  <c:v>-32.47548966875857</c:v>
                </c:pt>
                <c:pt idx="83">
                  <c:v>-30.99005623527211</c:v>
                </c:pt>
                <c:pt idx="84">
                  <c:v>-32.453890338678548</c:v>
                </c:pt>
                <c:pt idx="85">
                  <c:v>-32.630717886309498</c:v>
                </c:pt>
                <c:pt idx="86">
                  <c:v>-31.6103248867872</c:v>
                </c:pt>
                <c:pt idx="87">
                  <c:v>-31.984266125180721</c:v>
                </c:pt>
                <c:pt idx="88">
                  <c:v>-30.234248177689881</c:v>
                </c:pt>
                <c:pt idx="89">
                  <c:v>-30.392141991731261</c:v>
                </c:pt>
                <c:pt idx="90">
                  <c:v>-31.174172809456611</c:v>
                </c:pt>
                <c:pt idx="91">
                  <c:v>-31.22455006490021</c:v>
                </c:pt>
                <c:pt idx="92">
                  <c:v>-31.869649416486869</c:v>
                </c:pt>
                <c:pt idx="93">
                  <c:v>-31.898726221642239</c:v>
                </c:pt>
                <c:pt idx="94">
                  <c:v>-26.79067538109128</c:v>
                </c:pt>
                <c:pt idx="95">
                  <c:v>-28.57788459099017</c:v>
                </c:pt>
                <c:pt idx="96">
                  <c:v>-29.759949825733131</c:v>
                </c:pt>
                <c:pt idx="97">
                  <c:v>-30.644289262189719</c:v>
                </c:pt>
                <c:pt idx="98">
                  <c:v>-31.182730999993751</c:v>
                </c:pt>
                <c:pt idx="99">
                  <c:v>-31.267586691584381</c:v>
                </c:pt>
                <c:pt idx="100">
                  <c:v>-31.290760133464548</c:v>
                </c:pt>
                <c:pt idx="101">
                  <c:v>-30.977918668082221</c:v>
                </c:pt>
                <c:pt idx="102">
                  <c:v>-29.943787567163032</c:v>
                </c:pt>
                <c:pt idx="103">
                  <c:v>-29.37972574980887</c:v>
                </c:pt>
                <c:pt idx="104">
                  <c:v>-30.118084041138641</c:v>
                </c:pt>
                <c:pt idx="105">
                  <c:v>-30.21518227368805</c:v>
                </c:pt>
                <c:pt idx="106">
                  <c:v>-30.505447661450582</c:v>
                </c:pt>
                <c:pt idx="107">
                  <c:v>-30.39428219379684</c:v>
                </c:pt>
                <c:pt idx="108">
                  <c:v>-29.861099673013189</c:v>
                </c:pt>
                <c:pt idx="109">
                  <c:v>-30.08240129843497</c:v>
                </c:pt>
                <c:pt idx="110">
                  <c:v>-30.952168151836911</c:v>
                </c:pt>
                <c:pt idx="111">
                  <c:v>-30.780273400927879</c:v>
                </c:pt>
                <c:pt idx="112">
                  <c:v>-31.30671835455815</c:v>
                </c:pt>
                <c:pt idx="113">
                  <c:v>-31.255421526871661</c:v>
                </c:pt>
                <c:pt idx="114">
                  <c:v>-32.093269712417651</c:v>
                </c:pt>
                <c:pt idx="115">
                  <c:v>-31.881926782349311</c:v>
                </c:pt>
                <c:pt idx="116">
                  <c:v>-29.60810940043288</c:v>
                </c:pt>
                <c:pt idx="117">
                  <c:v>-29.815006605435041</c:v>
                </c:pt>
                <c:pt idx="118">
                  <c:v>-30.956873989736291</c:v>
                </c:pt>
                <c:pt idx="119">
                  <c:v>-30.62549648288158</c:v>
                </c:pt>
                <c:pt idx="120">
                  <c:v>-31.397000771286361</c:v>
                </c:pt>
                <c:pt idx="121">
                  <c:v>-31.268074744367659</c:v>
                </c:pt>
                <c:pt idx="122">
                  <c:v>-31.893443492248931</c:v>
                </c:pt>
                <c:pt idx="123">
                  <c:v>-31.62203972640604</c:v>
                </c:pt>
                <c:pt idx="124">
                  <c:v>-31.14183737264602</c:v>
                </c:pt>
                <c:pt idx="125">
                  <c:v>-30.797508894054481</c:v>
                </c:pt>
                <c:pt idx="126">
                  <c:v>-31.316925480141609</c:v>
                </c:pt>
                <c:pt idx="127">
                  <c:v>-30.95986957526847</c:v>
                </c:pt>
                <c:pt idx="128">
                  <c:v>-33.60648627285417</c:v>
                </c:pt>
                <c:pt idx="129">
                  <c:v>-31.87968411248502</c:v>
                </c:pt>
                <c:pt idx="130">
                  <c:v>-32.049612452569157</c:v>
                </c:pt>
                <c:pt idx="131">
                  <c:v>-31.477566238885121</c:v>
                </c:pt>
                <c:pt idx="132">
                  <c:v>-24.896395405652939</c:v>
                </c:pt>
                <c:pt idx="133">
                  <c:v>-22.29043645468283</c:v>
                </c:pt>
                <c:pt idx="134">
                  <c:v>-27.09504283345353</c:v>
                </c:pt>
                <c:pt idx="135">
                  <c:v>-25.917630787399901</c:v>
                </c:pt>
                <c:pt idx="136">
                  <c:v>-23.138103561398552</c:v>
                </c:pt>
                <c:pt idx="137">
                  <c:v>-23.004188158819328</c:v>
                </c:pt>
                <c:pt idx="138">
                  <c:v>-25.857107982078379</c:v>
                </c:pt>
                <c:pt idx="139">
                  <c:v>-24.405256318790979</c:v>
                </c:pt>
                <c:pt idx="140">
                  <c:v>-27.340960209098991</c:v>
                </c:pt>
                <c:pt idx="141">
                  <c:v>-27.442875047945002</c:v>
                </c:pt>
                <c:pt idx="142">
                  <c:v>-27.859925873120261</c:v>
                </c:pt>
                <c:pt idx="143">
                  <c:v>-27.658531020929711</c:v>
                </c:pt>
                <c:pt idx="144">
                  <c:v>-28.7966380267458</c:v>
                </c:pt>
                <c:pt idx="145">
                  <c:v>-29.24429808679632</c:v>
                </c:pt>
                <c:pt idx="146">
                  <c:v>-28.19871445003497</c:v>
                </c:pt>
                <c:pt idx="147">
                  <c:v>-28.54585100009745</c:v>
                </c:pt>
                <c:pt idx="148">
                  <c:v>-29.572999529490762</c:v>
                </c:pt>
                <c:pt idx="149">
                  <c:v>-30.389361736902242</c:v>
                </c:pt>
                <c:pt idx="150">
                  <c:v>-28.779942080450208</c:v>
                </c:pt>
                <c:pt idx="151">
                  <c:v>-28.955597348768411</c:v>
                </c:pt>
                <c:pt idx="152">
                  <c:v>-28.68567955032302</c:v>
                </c:pt>
                <c:pt idx="153">
                  <c:v>-28.263411241930381</c:v>
                </c:pt>
                <c:pt idx="154">
                  <c:v>-29.015424489660941</c:v>
                </c:pt>
                <c:pt idx="155">
                  <c:v>-29.3552565632191</c:v>
                </c:pt>
                <c:pt idx="156">
                  <c:v>-29.481171824865019</c:v>
                </c:pt>
                <c:pt idx="157">
                  <c:v>-29.807786274272509</c:v>
                </c:pt>
                <c:pt idx="158">
                  <c:v>-29.83004753599997</c:v>
                </c:pt>
                <c:pt idx="159">
                  <c:v>-30.031790220405021</c:v>
                </c:pt>
                <c:pt idx="160">
                  <c:v>-29.660653247542609</c:v>
                </c:pt>
                <c:pt idx="161">
                  <c:v>-29.73821983137422</c:v>
                </c:pt>
                <c:pt idx="162">
                  <c:v>-30.88989229355548</c:v>
                </c:pt>
                <c:pt idx="163">
                  <c:v>-33.871162203961873</c:v>
                </c:pt>
                <c:pt idx="164">
                  <c:v>-28.749059542520602</c:v>
                </c:pt>
                <c:pt idx="165">
                  <c:v>-29.821913218410309</c:v>
                </c:pt>
                <c:pt idx="166">
                  <c:v>-28.511566189398948</c:v>
                </c:pt>
                <c:pt idx="167">
                  <c:v>-29.537071506913151</c:v>
                </c:pt>
                <c:pt idx="168">
                  <c:v>-29.31799140427087</c:v>
                </c:pt>
                <c:pt idx="169">
                  <c:v>-29.84145381075577</c:v>
                </c:pt>
                <c:pt idx="170">
                  <c:v>-30.22061645838194</c:v>
                </c:pt>
                <c:pt idx="171">
                  <c:v>-29.543835558109659</c:v>
                </c:pt>
                <c:pt idx="172">
                  <c:v>-32.709787298694913</c:v>
                </c:pt>
                <c:pt idx="173">
                  <c:v>-34.36773140308209</c:v>
                </c:pt>
                <c:pt idx="174">
                  <c:v>-30.591887712945521</c:v>
                </c:pt>
                <c:pt idx="175">
                  <c:v>-30.45810981150359</c:v>
                </c:pt>
                <c:pt idx="176">
                  <c:v>-30.940987910809469</c:v>
                </c:pt>
                <c:pt idx="177">
                  <c:v>-31.64294611275762</c:v>
                </c:pt>
                <c:pt idx="178">
                  <c:v>-29.880159214824641</c:v>
                </c:pt>
                <c:pt idx="179">
                  <c:v>-31.136393834263991</c:v>
                </c:pt>
                <c:pt idx="180">
                  <c:v>-30.009803529424271</c:v>
                </c:pt>
                <c:pt idx="181">
                  <c:v>-30.573098681844129</c:v>
                </c:pt>
                <c:pt idx="182">
                  <c:v>-29.515276230835521</c:v>
                </c:pt>
                <c:pt idx="183">
                  <c:v>-31.458437827341921</c:v>
                </c:pt>
                <c:pt idx="184">
                  <c:v>-30.412264575616192</c:v>
                </c:pt>
                <c:pt idx="185">
                  <c:v>-30.779026462715429</c:v>
                </c:pt>
                <c:pt idx="186">
                  <c:v>-29.39540221240863</c:v>
                </c:pt>
                <c:pt idx="187">
                  <c:v>-30.274353087331932</c:v>
                </c:pt>
                <c:pt idx="188">
                  <c:v>-29.25448447914815</c:v>
                </c:pt>
                <c:pt idx="189">
                  <c:v>-30.43105360671758</c:v>
                </c:pt>
                <c:pt idx="190">
                  <c:v>-31.99222027422767</c:v>
                </c:pt>
                <c:pt idx="191">
                  <c:v>-32.312561060692047</c:v>
                </c:pt>
                <c:pt idx="192">
                  <c:v>-30.748584629987992</c:v>
                </c:pt>
                <c:pt idx="193">
                  <c:v>-30.90635418220814</c:v>
                </c:pt>
                <c:pt idx="194">
                  <c:v>-30.611050737726519</c:v>
                </c:pt>
                <c:pt idx="195">
                  <c:v>-31.09773550859693</c:v>
                </c:pt>
                <c:pt idx="196">
                  <c:v>-30.919730296418109</c:v>
                </c:pt>
                <c:pt idx="197">
                  <c:v>-31.219492445636391</c:v>
                </c:pt>
                <c:pt idx="198">
                  <c:v>-32.164051895232653</c:v>
                </c:pt>
                <c:pt idx="199">
                  <c:v>-31.853657450103881</c:v>
                </c:pt>
                <c:pt idx="200">
                  <c:v>-30.393603137492661</c:v>
                </c:pt>
                <c:pt idx="201">
                  <c:v>-30.97151986682081</c:v>
                </c:pt>
                <c:pt idx="202">
                  <c:v>-30.584984463881451</c:v>
                </c:pt>
                <c:pt idx="203">
                  <c:v>-31.113512463818939</c:v>
                </c:pt>
                <c:pt idx="204">
                  <c:v>-30.573323236108649</c:v>
                </c:pt>
                <c:pt idx="205">
                  <c:v>-30.560633076473561</c:v>
                </c:pt>
                <c:pt idx="206">
                  <c:v>-30.350387999275839</c:v>
                </c:pt>
                <c:pt idx="207">
                  <c:v>-30.391202296480621</c:v>
                </c:pt>
                <c:pt idx="210">
                  <c:v>-31.300435085471069</c:v>
                </c:pt>
                <c:pt idx="211">
                  <c:v>-31.40572911271364</c:v>
                </c:pt>
                <c:pt idx="212">
                  <c:v>-31.58339134760503</c:v>
                </c:pt>
                <c:pt idx="213">
                  <c:v>-31.437283023157679</c:v>
                </c:pt>
                <c:pt idx="214">
                  <c:v>-31.422534999797971</c:v>
                </c:pt>
                <c:pt idx="215">
                  <c:v>-31.32032776814231</c:v>
                </c:pt>
                <c:pt idx="216">
                  <c:v>-31.822644548154742</c:v>
                </c:pt>
                <c:pt idx="217">
                  <c:v>-31.822644548154742</c:v>
                </c:pt>
                <c:pt idx="218">
                  <c:v>-32.451502346365253</c:v>
                </c:pt>
                <c:pt idx="219">
                  <c:v>-32.083323449761387</c:v>
                </c:pt>
                <c:pt idx="222">
                  <c:v>-32.433299471813008</c:v>
                </c:pt>
                <c:pt idx="223">
                  <c:v>-32.155104596580607</c:v>
                </c:pt>
                <c:pt idx="224">
                  <c:v>-32.575487963598462</c:v>
                </c:pt>
                <c:pt idx="225">
                  <c:v>-32.431238769033513</c:v>
                </c:pt>
                <c:pt idx="226">
                  <c:v>-33.35821156934491</c:v>
                </c:pt>
                <c:pt idx="227">
                  <c:v>-32.630440037718436</c:v>
                </c:pt>
                <c:pt idx="228">
                  <c:v>-32.881845776817343</c:v>
                </c:pt>
                <c:pt idx="229">
                  <c:v>-32.260887339261572</c:v>
                </c:pt>
                <c:pt idx="230">
                  <c:v>-31.715144553157529</c:v>
                </c:pt>
                <c:pt idx="231">
                  <c:v>-31.523842645127349</c:v>
                </c:pt>
                <c:pt idx="232">
                  <c:v>-31.651606217456301</c:v>
                </c:pt>
                <c:pt idx="234">
                  <c:v>-32.083323449761387</c:v>
                </c:pt>
                <c:pt idx="235">
                  <c:v>-31.71617490454728</c:v>
                </c:pt>
                <c:pt idx="236">
                  <c:v>-32.351214811096277</c:v>
                </c:pt>
                <c:pt idx="237">
                  <c:v>-31.861111000038719</c:v>
                </c:pt>
                <c:pt idx="238">
                  <c:v>-31.625160531786062</c:v>
                </c:pt>
                <c:pt idx="240">
                  <c:v>-31.514226032156351</c:v>
                </c:pt>
                <c:pt idx="241">
                  <c:v>-31.00488899515679</c:v>
                </c:pt>
                <c:pt idx="242">
                  <c:v>-31.964146139013689</c:v>
                </c:pt>
                <c:pt idx="243">
                  <c:v>-32.140679677124119</c:v>
                </c:pt>
                <c:pt idx="244">
                  <c:v>-32.275312258718067</c:v>
                </c:pt>
                <c:pt idx="245">
                  <c:v>-32.768163673481638</c:v>
                </c:pt>
                <c:pt idx="246">
                  <c:v>-32.472373594091891</c:v>
                </c:pt>
                <c:pt idx="247">
                  <c:v>-32.673383438205583</c:v>
                </c:pt>
                <c:pt idx="248">
                  <c:v>-32.44531457661504</c:v>
                </c:pt>
                <c:pt idx="249">
                  <c:v>-32.450937229597251</c:v>
                </c:pt>
                <c:pt idx="250">
                  <c:v>-31.667631386014321</c:v>
                </c:pt>
                <c:pt idx="251">
                  <c:v>-31.93962722402831</c:v>
                </c:pt>
                <c:pt idx="252">
                  <c:v>-31.67044271250542</c:v>
                </c:pt>
                <c:pt idx="253">
                  <c:v>-32.665300874543668</c:v>
                </c:pt>
                <c:pt idx="254">
                  <c:v>-32.799893130305122</c:v>
                </c:pt>
                <c:pt idx="255">
                  <c:v>-32.565147368298213</c:v>
                </c:pt>
                <c:pt idx="256">
                  <c:v>-34.405511972534988</c:v>
                </c:pt>
                <c:pt idx="257">
                  <c:v>-35.131888454673138</c:v>
                </c:pt>
                <c:pt idx="258">
                  <c:v>-38.501966085880078</c:v>
                </c:pt>
                <c:pt idx="259">
                  <c:v>-40.955551280988203</c:v>
                </c:pt>
                <c:pt idx="260">
                  <c:v>-37.597070371557052</c:v>
                </c:pt>
                <c:pt idx="261">
                  <c:v>-38.666077269798073</c:v>
                </c:pt>
                <c:pt idx="262">
                  <c:v>-37.836384539111982</c:v>
                </c:pt>
                <c:pt idx="263">
                  <c:v>-38.66607726979808</c:v>
                </c:pt>
                <c:pt idx="264">
                  <c:v>-38.856193223758751</c:v>
                </c:pt>
                <c:pt idx="265">
                  <c:v>-39.425838254018039</c:v>
                </c:pt>
                <c:pt idx="266">
                  <c:v>-36.55441965917008</c:v>
                </c:pt>
                <c:pt idx="267">
                  <c:v>-36.323539471088438</c:v>
                </c:pt>
                <c:pt idx="268">
                  <c:v>-36.113392815878662</c:v>
                </c:pt>
                <c:pt idx="269">
                  <c:v>-36.536497452789312</c:v>
                </c:pt>
                <c:pt idx="270">
                  <c:v>-35.860449648229412</c:v>
                </c:pt>
                <c:pt idx="271">
                  <c:v>-35.40676174844215</c:v>
                </c:pt>
                <c:pt idx="272">
                  <c:v>-51.55818993581542</c:v>
                </c:pt>
                <c:pt idx="273">
                  <c:v>-55.759840125652381</c:v>
                </c:pt>
                <c:pt idx="274">
                  <c:v>-49.84105418646741</c:v>
                </c:pt>
                <c:pt idx="275">
                  <c:v>-55.372850600106418</c:v>
                </c:pt>
                <c:pt idx="276">
                  <c:v>-42.8290402069834</c:v>
                </c:pt>
                <c:pt idx="277">
                  <c:v>-42.370141496708534</c:v>
                </c:pt>
                <c:pt idx="278">
                  <c:v>-39.800864538954571</c:v>
                </c:pt>
                <c:pt idx="279">
                  <c:v>-40.243088655669112</c:v>
                </c:pt>
                <c:pt idx="280">
                  <c:v>-41.835164953314653</c:v>
                </c:pt>
                <c:pt idx="281">
                  <c:v>-46.393234580503645</c:v>
                </c:pt>
                <c:pt idx="282">
                  <c:v>-40.786749883208991</c:v>
                </c:pt>
                <c:pt idx="283">
                  <c:v>-41.266839222800122</c:v>
                </c:pt>
                <c:pt idx="284">
                  <c:v>-41.365149847332894</c:v>
                </c:pt>
                <c:pt idx="285">
                  <c:v>-41.894568192873322</c:v>
                </c:pt>
                <c:pt idx="286">
                  <c:v>-45.491129587744275</c:v>
                </c:pt>
                <c:pt idx="287">
                  <c:v>-47.32097956783295</c:v>
                </c:pt>
                <c:pt idx="288">
                  <c:v>-40.46759604106105</c:v>
                </c:pt>
                <c:pt idx="289">
                  <c:v>-42.034328101424933</c:v>
                </c:pt>
                <c:pt idx="290">
                  <c:v>-41.782843483742582</c:v>
                </c:pt>
                <c:pt idx="291">
                  <c:v>-42.261519647195101</c:v>
                </c:pt>
                <c:pt idx="292">
                  <c:v>-41.294929109844595</c:v>
                </c:pt>
                <c:pt idx="293">
                  <c:v>-40.816937258276937</c:v>
                </c:pt>
                <c:pt idx="294">
                  <c:v>-38.694201791472501</c:v>
                </c:pt>
                <c:pt idx="295">
                  <c:v>-38.503620931541789</c:v>
                </c:pt>
                <c:pt idx="296">
                  <c:v>-39.080838006412698</c:v>
                </c:pt>
                <c:pt idx="297">
                  <c:v>-39.297422717967699</c:v>
                </c:pt>
                <c:pt idx="298">
                  <c:v>-33.642269301568</c:v>
                </c:pt>
                <c:pt idx="299">
                  <c:v>-35.128252559519588</c:v>
                </c:pt>
                <c:pt idx="300">
                  <c:v>-38.916260998106296</c:v>
                </c:pt>
                <c:pt idx="301">
                  <c:v>-39.197171026837182</c:v>
                </c:pt>
                <c:pt idx="302">
                  <c:v>-38.270954890692821</c:v>
                </c:pt>
                <c:pt idx="303">
                  <c:v>-37.980806651516453</c:v>
                </c:pt>
                <c:pt idx="304">
                  <c:v>-37.889793170831418</c:v>
                </c:pt>
                <c:pt idx="305">
                  <c:v>-37.960277294970957</c:v>
                </c:pt>
                <c:pt idx="306">
                  <c:v>-38.328779244962632</c:v>
                </c:pt>
                <c:pt idx="307">
                  <c:v>-38.252820625744299</c:v>
                </c:pt>
                <c:pt idx="308">
                  <c:v>-34.655050891145869</c:v>
                </c:pt>
                <c:pt idx="309">
                  <c:v>-34.939040323358583</c:v>
                </c:pt>
                <c:pt idx="310">
                  <c:v>-36.712776728889565</c:v>
                </c:pt>
                <c:pt idx="311">
                  <c:v>-36.518432153592187</c:v>
                </c:pt>
                <c:pt idx="312">
                  <c:v>-37.364241643266688</c:v>
                </c:pt>
                <c:pt idx="313">
                  <c:v>-37.360477927900007</c:v>
                </c:pt>
                <c:pt idx="314">
                  <c:v>-35.055715499725494</c:v>
                </c:pt>
                <c:pt idx="315">
                  <c:v>-34.958885368019232</c:v>
                </c:pt>
                <c:pt idx="316">
                  <c:v>-37.655569558873928</c:v>
                </c:pt>
                <c:pt idx="317">
                  <c:v>-37.71362372718297</c:v>
                </c:pt>
                <c:pt idx="318">
                  <c:v>-36.615570600880361</c:v>
                </c:pt>
                <c:pt idx="319">
                  <c:v>-36.637133577680864</c:v>
                </c:pt>
                <c:pt idx="320">
                  <c:v>-35.877785056198476</c:v>
                </c:pt>
                <c:pt idx="321">
                  <c:v>-35.575903380991406</c:v>
                </c:pt>
                <c:pt idx="322">
                  <c:v>-37.832385968638064</c:v>
                </c:pt>
                <c:pt idx="323">
                  <c:v>-37.177866688216589</c:v>
                </c:pt>
                <c:pt idx="324">
                  <c:v>-30.482396522607587</c:v>
                </c:pt>
                <c:pt idx="325">
                  <c:v>-28.438226321919757</c:v>
                </c:pt>
                <c:pt idx="326">
                  <c:v>-36.538607360607784</c:v>
                </c:pt>
                <c:pt idx="327">
                  <c:v>-36.315015878091792</c:v>
                </c:pt>
                <c:pt idx="328">
                  <c:v>-36.749261057043476</c:v>
                </c:pt>
                <c:pt idx="329">
                  <c:v>-36.263596471875189</c:v>
                </c:pt>
                <c:pt idx="330">
                  <c:v>-37.317196692158312</c:v>
                </c:pt>
                <c:pt idx="331">
                  <c:v>-37.329471002029372</c:v>
                </c:pt>
                <c:pt idx="332">
                  <c:v>-36.486192740077328</c:v>
                </c:pt>
                <c:pt idx="333">
                  <c:v>-36.764852747960767</c:v>
                </c:pt>
                <c:pt idx="334">
                  <c:v>-36.543251694072509</c:v>
                </c:pt>
                <c:pt idx="335">
                  <c:v>-36.519698288644264</c:v>
                </c:pt>
                <c:pt idx="336">
                  <c:v>-34.366054513430782</c:v>
                </c:pt>
                <c:pt idx="337">
                  <c:v>-33.066968095726537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D-4918-8B16-5124C107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18656"/>
        <c:axId val="378787912"/>
      </c:scatterChart>
      <c:valAx>
        <c:axId val="37701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787912"/>
        <c:crosses val="autoZero"/>
        <c:crossBetween val="midCat"/>
      </c:valAx>
      <c:valAx>
        <c:axId val="37878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701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'FS-OR'!$AA$2</c:f>
              <c:strCache>
                <c:ptCount val="1"/>
                <c:pt idx="0">
                  <c:v>d2H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70669291338582"/>
                  <c:y val="0.23478237095363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'FS-OR'!$Z$3:$Z$172</c:f>
              <c:numCache>
                <c:formatCode>0.00_ </c:formatCode>
                <c:ptCount val="170"/>
                <c:pt idx="0">
                  <c:v>-4.6185990597106423</c:v>
                </c:pt>
                <c:pt idx="1">
                  <c:v>-6.303793028679026</c:v>
                </c:pt>
                <c:pt idx="2">
                  <c:v>-5.9870814773125947</c:v>
                </c:pt>
                <c:pt idx="3">
                  <c:v>-3.027828410404299</c:v>
                </c:pt>
                <c:pt idx="5">
                  <c:v>-4.5900753485627339</c:v>
                </c:pt>
                <c:pt idx="6">
                  <c:v>-6.5267369778810709</c:v>
                </c:pt>
                <c:pt idx="7">
                  <c:v>-4.5245035987974269</c:v>
                </c:pt>
                <c:pt idx="8">
                  <c:v>-2.2973591180187811</c:v>
                </c:pt>
                <c:pt idx="9">
                  <c:v>-2.8847488383774671</c:v>
                </c:pt>
                <c:pt idx="10">
                  <c:v>-3.0748087133023398</c:v>
                </c:pt>
                <c:pt idx="11">
                  <c:v>-5.8021843881341351</c:v>
                </c:pt>
                <c:pt idx="12">
                  <c:v>-4.7985233155239326</c:v>
                </c:pt>
                <c:pt idx="13">
                  <c:v>-8.0578690042269052</c:v>
                </c:pt>
                <c:pt idx="14">
                  <c:v>-6.5301433544841672</c:v>
                </c:pt>
                <c:pt idx="15">
                  <c:v>-11.524073620924369</c:v>
                </c:pt>
                <c:pt idx="16">
                  <c:v>-7.111851741169307</c:v>
                </c:pt>
                <c:pt idx="17">
                  <c:v>-9.0895851385073954</c:v>
                </c:pt>
                <c:pt idx="18">
                  <c:v>-5.1335190082148427</c:v>
                </c:pt>
                <c:pt idx="19">
                  <c:v>-6.1820931835055184</c:v>
                </c:pt>
                <c:pt idx="20">
                  <c:v>-8.3032217791235183</c:v>
                </c:pt>
                <c:pt idx="21">
                  <c:v>-6.7107014619904968</c:v>
                </c:pt>
                <c:pt idx="22">
                  <c:v>-3.037225439307996</c:v>
                </c:pt>
                <c:pt idx="23">
                  <c:v>-5.2313462706144369</c:v>
                </c:pt>
                <c:pt idx="24">
                  <c:v>-5.6780463171160269</c:v>
                </c:pt>
                <c:pt idx="25">
                  <c:v>-5.9405367247545433</c:v>
                </c:pt>
                <c:pt idx="27">
                  <c:v>-5.7100248439349324</c:v>
                </c:pt>
                <c:pt idx="28">
                  <c:v>-8.8180433679172889</c:v>
                </c:pt>
                <c:pt idx="29">
                  <c:v>-5.8732110703148628</c:v>
                </c:pt>
                <c:pt idx="30">
                  <c:v>-7.0887650453427291</c:v>
                </c:pt>
                <c:pt idx="31">
                  <c:v>-5.4854561430853028</c:v>
                </c:pt>
                <c:pt idx="33">
                  <c:v>-7.2782284861431616</c:v>
                </c:pt>
                <c:pt idx="34">
                  <c:v>-4.6314739111497856</c:v>
                </c:pt>
                <c:pt idx="35">
                  <c:v>-4.1582767403438776</c:v>
                </c:pt>
                <c:pt idx="36">
                  <c:v>-4.9960516010393494</c:v>
                </c:pt>
                <c:pt idx="37">
                  <c:v>-4.3587259401421807</c:v>
                </c:pt>
                <c:pt idx="38">
                  <c:v>-5.5301583363269886</c:v>
                </c:pt>
                <c:pt idx="39">
                  <c:v>-5.2952666823848471</c:v>
                </c:pt>
                <c:pt idx="40">
                  <c:v>-5.8004171995274669</c:v>
                </c:pt>
                <c:pt idx="41">
                  <c:v>-3.9913510806719268</c:v>
                </c:pt>
                <c:pt idx="42">
                  <c:v>-3.25476267629517</c:v>
                </c:pt>
                <c:pt idx="43">
                  <c:v>-5.2727271418493116</c:v>
                </c:pt>
                <c:pt idx="44">
                  <c:v>-4.388531915654168</c:v>
                </c:pt>
                <c:pt idx="45">
                  <c:v>-4.9152571810055052</c:v>
                </c:pt>
                <c:pt idx="46">
                  <c:v>-4.8111531036913</c:v>
                </c:pt>
                <c:pt idx="47">
                  <c:v>-4.373709149678966</c:v>
                </c:pt>
                <c:pt idx="48">
                  <c:v>-4.2887175871145553</c:v>
                </c:pt>
                <c:pt idx="49">
                  <c:v>-3.7174590266080139</c:v>
                </c:pt>
                <c:pt idx="50">
                  <c:v>-3.9791703210148328</c:v>
                </c:pt>
                <c:pt idx="51">
                  <c:v>-3.4208734734778141</c:v>
                </c:pt>
                <c:pt idx="52">
                  <c:v>-3.747990891326678</c:v>
                </c:pt>
                <c:pt idx="53">
                  <c:v>-3.1610627311564858</c:v>
                </c:pt>
                <c:pt idx="54">
                  <c:v>-3.2210458824038262</c:v>
                </c:pt>
                <c:pt idx="56">
                  <c:v>-2.6548703678238819</c:v>
                </c:pt>
                <c:pt idx="57">
                  <c:v>-3.046019722116371</c:v>
                </c:pt>
                <c:pt idx="58">
                  <c:v>-4.0588980144427822</c:v>
                </c:pt>
                <c:pt idx="59">
                  <c:v>-2.757969396203737</c:v>
                </c:pt>
                <c:pt idx="60">
                  <c:v>-1.262479198178309</c:v>
                </c:pt>
                <c:pt idx="61">
                  <c:v>-3.0035328977846021</c:v>
                </c:pt>
                <c:pt idx="64">
                  <c:v>-5.5163290185660463</c:v>
                </c:pt>
                <c:pt idx="65">
                  <c:v>-1.06351162334883</c:v>
                </c:pt>
                <c:pt idx="66">
                  <c:v>-2.781724039364859</c:v>
                </c:pt>
                <c:pt idx="67">
                  <c:v>-2.237036733859183</c:v>
                </c:pt>
                <c:pt idx="68">
                  <c:v>-5.3160777941733119</c:v>
                </c:pt>
                <c:pt idx="70">
                  <c:v>-7.0572149929692287</c:v>
                </c:pt>
                <c:pt idx="71">
                  <c:v>-6.024421969249067</c:v>
                </c:pt>
                <c:pt idx="72">
                  <c:v>-4.1181954556351918</c:v>
                </c:pt>
                <c:pt idx="73">
                  <c:v>-9.4981016953536344</c:v>
                </c:pt>
                <c:pt idx="75">
                  <c:v>-6.7961518465434319</c:v>
                </c:pt>
                <c:pt idx="76">
                  <c:v>-6.8545239903944681</c:v>
                </c:pt>
                <c:pt idx="77">
                  <c:v>-6.7456581515557277</c:v>
                </c:pt>
                <c:pt idx="78">
                  <c:v>-5.178563050377007</c:v>
                </c:pt>
                <c:pt idx="79">
                  <c:v>-7.079059782999372</c:v>
                </c:pt>
                <c:pt idx="80">
                  <c:v>-5.5839450555265309</c:v>
                </c:pt>
                <c:pt idx="81">
                  <c:v>-5.4639777660167326</c:v>
                </c:pt>
                <c:pt idx="82">
                  <c:v>-8.0448859913812285</c:v>
                </c:pt>
                <c:pt idx="83">
                  <c:v>-6.4166983693590263</c:v>
                </c:pt>
                <c:pt idx="84">
                  <c:v>-6.0087921074826696</c:v>
                </c:pt>
                <c:pt idx="85">
                  <c:v>-4.2352529042293847</c:v>
                </c:pt>
                <c:pt idx="86">
                  <c:v>-3.867671976226736</c:v>
                </c:pt>
                <c:pt idx="87">
                  <c:v>-6.695098270525591</c:v>
                </c:pt>
                <c:pt idx="88">
                  <c:v>-3.6385155116174892</c:v>
                </c:pt>
                <c:pt idx="89">
                  <c:v>-6.7067305783737758</c:v>
                </c:pt>
                <c:pt idx="90">
                  <c:v>-5.0743300436784704</c:v>
                </c:pt>
                <c:pt idx="91">
                  <c:v>-3.9122624896447791</c:v>
                </c:pt>
                <c:pt idx="92">
                  <c:v>-4.7114020388150948</c:v>
                </c:pt>
                <c:pt idx="93">
                  <c:v>-3.5384776641230982</c:v>
                </c:pt>
                <c:pt idx="94">
                  <c:v>-3.1840800183483919</c:v>
                </c:pt>
                <c:pt idx="95">
                  <c:v>-4.5594065495988092</c:v>
                </c:pt>
                <c:pt idx="96">
                  <c:v>-4.5594142521250589</c:v>
                </c:pt>
                <c:pt idx="97">
                  <c:v>-4.4378345581250329</c:v>
                </c:pt>
                <c:pt idx="98">
                  <c:v>-5.1751108366091509</c:v>
                </c:pt>
                <c:pt idx="99">
                  <c:v>-3.7441568288012759</c:v>
                </c:pt>
                <c:pt idx="100">
                  <c:v>-3.0880518329002662</c:v>
                </c:pt>
                <c:pt idx="101">
                  <c:v>-3.16532405824139</c:v>
                </c:pt>
                <c:pt idx="102">
                  <c:v>-5.2534464411980881</c:v>
                </c:pt>
                <c:pt idx="103">
                  <c:v>-4.8330571785624317</c:v>
                </c:pt>
                <c:pt idx="104">
                  <c:v>-3.175603390970255</c:v>
                </c:pt>
                <c:pt idx="106">
                  <c:v>-5.7755656518745813</c:v>
                </c:pt>
                <c:pt idx="107">
                  <c:v>-4.9720054002767471</c:v>
                </c:pt>
                <c:pt idx="108">
                  <c:v>-5.0666461533321607</c:v>
                </c:pt>
                <c:pt idx="109">
                  <c:v>-3.2554521520419439</c:v>
                </c:pt>
                <c:pt idx="110">
                  <c:v>-1.561622552479744</c:v>
                </c:pt>
                <c:pt idx="111">
                  <c:v>-6.5954379282843174</c:v>
                </c:pt>
                <c:pt idx="112">
                  <c:v>-4.3622582608926059</c:v>
                </c:pt>
                <c:pt idx="113">
                  <c:v>-2.8320836951045321</c:v>
                </c:pt>
                <c:pt idx="114">
                  <c:v>-3.7944464480589009</c:v>
                </c:pt>
                <c:pt idx="115">
                  <c:v>-3.5486081255851598</c:v>
                </c:pt>
                <c:pt idx="116">
                  <c:v>-4.7824247715170456</c:v>
                </c:pt>
                <c:pt idx="117">
                  <c:v>-4.1921993344925363</c:v>
                </c:pt>
                <c:pt idx="118">
                  <c:v>-3.9250147032656488</c:v>
                </c:pt>
                <c:pt idx="119">
                  <c:v>-5.3577077924143532</c:v>
                </c:pt>
                <c:pt idx="120">
                  <c:v>-8.4550571924959552</c:v>
                </c:pt>
                <c:pt idx="121">
                  <c:v>-8.9495800119438567</c:v>
                </c:pt>
                <c:pt idx="122">
                  <c:v>-7.6702245740052586</c:v>
                </c:pt>
                <c:pt idx="123">
                  <c:v>-6.8274011500685123</c:v>
                </c:pt>
                <c:pt idx="124">
                  <c:v>-7.1643036366621011</c:v>
                </c:pt>
                <c:pt idx="125">
                  <c:v>-6.158366025224951</c:v>
                </c:pt>
                <c:pt idx="126">
                  <c:v>-4.7524641129440566</c:v>
                </c:pt>
                <c:pt idx="127">
                  <c:v>-7.4294854470845291</c:v>
                </c:pt>
                <c:pt idx="128">
                  <c:v>-8.9493497902907642</c:v>
                </c:pt>
                <c:pt idx="129">
                  <c:v>-21.232089100311459</c:v>
                </c:pt>
                <c:pt idx="130">
                  <c:v>-7.3166188087642396</c:v>
                </c:pt>
                <c:pt idx="131">
                  <c:v>-7.983956505240517</c:v>
                </c:pt>
                <c:pt idx="132">
                  <c:v>-8.5479244326402846</c:v>
                </c:pt>
                <c:pt idx="133">
                  <c:v>-7.9788428064169459</c:v>
                </c:pt>
                <c:pt idx="135">
                  <c:v>-9.6864529492886469</c:v>
                </c:pt>
                <c:pt idx="136">
                  <c:v>-4.7968251265971134</c:v>
                </c:pt>
                <c:pt idx="137">
                  <c:v>-15.314990429527287</c:v>
                </c:pt>
                <c:pt idx="138">
                  <c:v>-8.6561354529659607</c:v>
                </c:pt>
                <c:pt idx="139">
                  <c:v>-10.185984710698916</c:v>
                </c:pt>
                <c:pt idx="140">
                  <c:v>-4.6497659277550465</c:v>
                </c:pt>
                <c:pt idx="141">
                  <c:v>-4.0351524210465524</c:v>
                </c:pt>
                <c:pt idx="142">
                  <c:v>-6.3002976729898466</c:v>
                </c:pt>
                <c:pt idx="143">
                  <c:v>-12.103174167838988</c:v>
                </c:pt>
                <c:pt idx="144">
                  <c:v>-4.8023911051243706</c:v>
                </c:pt>
                <c:pt idx="145">
                  <c:v>-6.2088553391926249</c:v>
                </c:pt>
                <c:pt idx="146">
                  <c:v>-4.6661701345681035</c:v>
                </c:pt>
                <c:pt idx="147">
                  <c:v>-5.2891909186858506</c:v>
                </c:pt>
                <c:pt idx="148">
                  <c:v>-3.9764218191880225</c:v>
                </c:pt>
                <c:pt idx="149">
                  <c:v>-3.8550676043016026</c:v>
                </c:pt>
                <c:pt idx="150">
                  <c:v>-5.1139014971832433</c:v>
                </c:pt>
                <c:pt idx="151">
                  <c:v>-4.3601915585724287</c:v>
                </c:pt>
                <c:pt idx="152">
                  <c:v>-4.3027989669167424</c:v>
                </c:pt>
                <c:pt idx="153">
                  <c:v>-4.0791061548611474</c:v>
                </c:pt>
                <c:pt idx="154">
                  <c:v>-3.5632643069678744</c:v>
                </c:pt>
                <c:pt idx="155">
                  <c:v>-4.6699732581115523</c:v>
                </c:pt>
                <c:pt idx="156">
                  <c:v>-4.8234811538653153</c:v>
                </c:pt>
                <c:pt idx="157">
                  <c:v>-7.6851587510587613</c:v>
                </c:pt>
                <c:pt idx="158">
                  <c:v>-4.789944518982173</c:v>
                </c:pt>
                <c:pt idx="159">
                  <c:v>-5.0869571696737088</c:v>
                </c:pt>
                <c:pt idx="160">
                  <c:v>-6.2080155544022801</c:v>
                </c:pt>
                <c:pt idx="161">
                  <c:v>-5.9627110254426192</c:v>
                </c:pt>
                <c:pt idx="162">
                  <c:v>-4.2789540885698463</c:v>
                </c:pt>
                <c:pt idx="163">
                  <c:v>-5.621620918508234</c:v>
                </c:pt>
                <c:pt idx="164">
                  <c:v>-2.2127223351150707</c:v>
                </c:pt>
                <c:pt idx="165">
                  <c:v>-7.0063399534111346</c:v>
                </c:pt>
                <c:pt idx="166">
                  <c:v>-7.7782982874025564</c:v>
                </c:pt>
                <c:pt idx="167">
                  <c:v>-3.6344873601057568</c:v>
                </c:pt>
                <c:pt idx="168">
                  <c:v>-2.6372493566615853</c:v>
                </c:pt>
                <c:pt idx="169">
                  <c:v>-6.7920739566871866</c:v>
                </c:pt>
              </c:numCache>
            </c:numRef>
          </c:xVal>
          <c:yVal>
            <c:numRef>
              <c:f>'FS-OR'!$AA$3:$AA$172</c:f>
              <c:numCache>
                <c:formatCode>0.00_ </c:formatCode>
                <c:ptCount val="170"/>
                <c:pt idx="0">
                  <c:v>-14.63866166519515</c:v>
                </c:pt>
                <c:pt idx="1">
                  <c:v>-21.564579684825869</c:v>
                </c:pt>
                <c:pt idx="2">
                  <c:v>-21.234090497681599</c:v>
                </c:pt>
                <c:pt idx="3">
                  <c:v>-0.53235221431222968</c:v>
                </c:pt>
                <c:pt idx="5">
                  <c:v>-17.761833420903141</c:v>
                </c:pt>
                <c:pt idx="6">
                  <c:v>-35.982129692999663</c:v>
                </c:pt>
                <c:pt idx="7">
                  <c:v>-13.36303212745168</c:v>
                </c:pt>
                <c:pt idx="8">
                  <c:v>7.8639653773414722</c:v>
                </c:pt>
                <c:pt idx="9">
                  <c:v>-2.0497317005242182</c:v>
                </c:pt>
                <c:pt idx="10">
                  <c:v>-5.8789157557723257</c:v>
                </c:pt>
                <c:pt idx="11">
                  <c:v>-26.14935425033892</c:v>
                </c:pt>
                <c:pt idx="12">
                  <c:v>-17.891112256070169</c:v>
                </c:pt>
                <c:pt idx="13">
                  <c:v>-48.453280168795281</c:v>
                </c:pt>
                <c:pt idx="14">
                  <c:v>-34.429183854383567</c:v>
                </c:pt>
                <c:pt idx="15">
                  <c:v>-79.766435233724181</c:v>
                </c:pt>
                <c:pt idx="16">
                  <c:v>-45.152338383063338</c:v>
                </c:pt>
                <c:pt idx="17">
                  <c:v>-60.950490416602861</c:v>
                </c:pt>
                <c:pt idx="18">
                  <c:v>-27.851782425980421</c:v>
                </c:pt>
                <c:pt idx="19">
                  <c:v>-37.629208799777622</c:v>
                </c:pt>
                <c:pt idx="20">
                  <c:v>-53.381248675379467</c:v>
                </c:pt>
                <c:pt idx="21">
                  <c:v>-41.538386582609277</c:v>
                </c:pt>
                <c:pt idx="22">
                  <c:v>-15.709081025872599</c:v>
                </c:pt>
                <c:pt idx="23">
                  <c:v>-32.316360270606509</c:v>
                </c:pt>
                <c:pt idx="24">
                  <c:v>-30.823298292012769</c:v>
                </c:pt>
                <c:pt idx="25">
                  <c:v>-36.961331678744877</c:v>
                </c:pt>
                <c:pt idx="27">
                  <c:v>-42.39949226301119</c:v>
                </c:pt>
                <c:pt idx="28">
                  <c:v>-57.598792751426927</c:v>
                </c:pt>
                <c:pt idx="29">
                  <c:v>-33.837936688067792</c:v>
                </c:pt>
                <c:pt idx="30">
                  <c:v>-43.840193898617102</c:v>
                </c:pt>
                <c:pt idx="31">
                  <c:v>-26.38713767799161</c:v>
                </c:pt>
                <c:pt idx="33">
                  <c:v>-44.159760233865221</c:v>
                </c:pt>
                <c:pt idx="34">
                  <c:v>-21.1569478468009</c:v>
                </c:pt>
                <c:pt idx="35">
                  <c:v>-11.85277391592656</c:v>
                </c:pt>
                <c:pt idx="36">
                  <c:v>-19.387371241321041</c:v>
                </c:pt>
                <c:pt idx="37">
                  <c:v>-12.65315863226135</c:v>
                </c:pt>
                <c:pt idx="38">
                  <c:v>-26.04092213121379</c:v>
                </c:pt>
                <c:pt idx="39">
                  <c:v>-19.9166451331084</c:v>
                </c:pt>
                <c:pt idx="40">
                  <c:v>-28.400120519908839</c:v>
                </c:pt>
                <c:pt idx="41">
                  <c:v>-13.336835215400489</c:v>
                </c:pt>
                <c:pt idx="42">
                  <c:v>-9.0206902025317177</c:v>
                </c:pt>
                <c:pt idx="43">
                  <c:v>-14.966896856805599</c:v>
                </c:pt>
                <c:pt idx="44">
                  <c:v>-6.2526459722172643</c:v>
                </c:pt>
                <c:pt idx="45">
                  <c:v>-8.2900509474065771</c:v>
                </c:pt>
                <c:pt idx="46">
                  <c:v>-5.7583402845759153</c:v>
                </c:pt>
                <c:pt idx="47">
                  <c:v>-4.9140986279134999</c:v>
                </c:pt>
                <c:pt idx="48">
                  <c:v>-5.7607836856239816</c:v>
                </c:pt>
                <c:pt idx="49">
                  <c:v>-2.035993689296177</c:v>
                </c:pt>
                <c:pt idx="50">
                  <c:v>1.250545626768357</c:v>
                </c:pt>
                <c:pt idx="51">
                  <c:v>-1.7369225632078871</c:v>
                </c:pt>
                <c:pt idx="52">
                  <c:v>-12.58619186159941</c:v>
                </c:pt>
                <c:pt idx="53">
                  <c:v>0.49976781838075007</c:v>
                </c:pt>
                <c:pt idx="54">
                  <c:v>3.5677974843058311</c:v>
                </c:pt>
                <c:pt idx="56">
                  <c:v>5.266551870503509</c:v>
                </c:pt>
                <c:pt idx="57">
                  <c:v>-3.5075995158448059</c:v>
                </c:pt>
                <c:pt idx="58">
                  <c:v>-12.286538606110531</c:v>
                </c:pt>
                <c:pt idx="59">
                  <c:v>-1.3240645506565929</c:v>
                </c:pt>
                <c:pt idx="60">
                  <c:v>2.0760572533555259</c:v>
                </c:pt>
                <c:pt idx="61">
                  <c:v>-11.589070759159361</c:v>
                </c:pt>
                <c:pt idx="64">
                  <c:v>-31.048961559239711</c:v>
                </c:pt>
                <c:pt idx="65">
                  <c:v>6.1894238337727083</c:v>
                </c:pt>
                <c:pt idx="66">
                  <c:v>-11.113196074213899</c:v>
                </c:pt>
                <c:pt idx="67">
                  <c:v>-4.1621170998163386</c:v>
                </c:pt>
                <c:pt idx="68">
                  <c:v>-33.465242009650332</c:v>
                </c:pt>
                <c:pt idx="70">
                  <c:v>-44.568741960647067</c:v>
                </c:pt>
                <c:pt idx="71">
                  <c:v>-37.20374265100466</c:v>
                </c:pt>
                <c:pt idx="72">
                  <c:v>-20.942586623528381</c:v>
                </c:pt>
                <c:pt idx="73">
                  <c:v>-63.030980241425368</c:v>
                </c:pt>
                <c:pt idx="75">
                  <c:v>-42.017740499566628</c:v>
                </c:pt>
                <c:pt idx="76">
                  <c:v>-44.331520390363892</c:v>
                </c:pt>
                <c:pt idx="77">
                  <c:v>-42.338093969113267</c:v>
                </c:pt>
                <c:pt idx="78">
                  <c:v>-35.687194195821853</c:v>
                </c:pt>
                <c:pt idx="79">
                  <c:v>-47.0877428579943</c:v>
                </c:pt>
                <c:pt idx="80">
                  <c:v>-30.524668468339431</c:v>
                </c:pt>
                <c:pt idx="81">
                  <c:v>-29.797003475623271</c:v>
                </c:pt>
                <c:pt idx="82">
                  <c:v>-50.954593586496003</c:v>
                </c:pt>
                <c:pt idx="83">
                  <c:v>-38.570461879842377</c:v>
                </c:pt>
                <c:pt idx="84">
                  <c:v>-35.457495206963067</c:v>
                </c:pt>
                <c:pt idx="85">
                  <c:v>-21.69716038954461</c:v>
                </c:pt>
                <c:pt idx="86">
                  <c:v>-16.919109780459578</c:v>
                </c:pt>
                <c:pt idx="87">
                  <c:v>-41.348608018494808</c:v>
                </c:pt>
                <c:pt idx="88">
                  <c:v>-2.5571501871744129</c:v>
                </c:pt>
                <c:pt idx="89">
                  <c:v>-41.358754095289548</c:v>
                </c:pt>
                <c:pt idx="90">
                  <c:v>-15.006386414337451</c:v>
                </c:pt>
                <c:pt idx="91">
                  <c:v>-5.4611828342061983</c:v>
                </c:pt>
                <c:pt idx="92">
                  <c:v>-14.61745347053855</c:v>
                </c:pt>
                <c:pt idx="93">
                  <c:v>4.4372545306313036</c:v>
                </c:pt>
                <c:pt idx="94">
                  <c:v>4.8303210612725103</c:v>
                </c:pt>
                <c:pt idx="95">
                  <c:v>-8.8180311307816268</c:v>
                </c:pt>
                <c:pt idx="96">
                  <c:v>-14.326146153020479</c:v>
                </c:pt>
                <c:pt idx="97">
                  <c:v>-7.2296030987008058</c:v>
                </c:pt>
                <c:pt idx="98">
                  <c:v>-5.8415740164509522</c:v>
                </c:pt>
                <c:pt idx="99">
                  <c:v>-4.9371429094845913</c:v>
                </c:pt>
                <c:pt idx="100">
                  <c:v>5.5960325649347986</c:v>
                </c:pt>
                <c:pt idx="101">
                  <c:v>6.0624816758465352</c:v>
                </c:pt>
                <c:pt idx="102">
                  <c:v>-13.55787702916586</c:v>
                </c:pt>
                <c:pt idx="103">
                  <c:v>-2.8878536170598621</c:v>
                </c:pt>
                <c:pt idx="104">
                  <c:v>-4.0707822814235257</c:v>
                </c:pt>
                <c:pt idx="106">
                  <c:v>-22.071259257879941</c:v>
                </c:pt>
                <c:pt idx="107">
                  <c:v>-16.5033659736585</c:v>
                </c:pt>
                <c:pt idx="108">
                  <c:v>-12.91376568336274</c:v>
                </c:pt>
                <c:pt idx="109">
                  <c:v>-4.1563359315245796</c:v>
                </c:pt>
                <c:pt idx="110">
                  <c:v>7.1837114640596811</c:v>
                </c:pt>
                <c:pt idx="111">
                  <c:v>-31.734377779099521</c:v>
                </c:pt>
                <c:pt idx="112">
                  <c:v>-17.76453018641099</c:v>
                </c:pt>
                <c:pt idx="113">
                  <c:v>-6.9173342055902971</c:v>
                </c:pt>
                <c:pt idx="114">
                  <c:v>-9.4533724262273502</c:v>
                </c:pt>
                <c:pt idx="115">
                  <c:v>-15.55614370771432</c:v>
                </c:pt>
                <c:pt idx="116">
                  <c:v>-22.232133812365319</c:v>
                </c:pt>
                <c:pt idx="117">
                  <c:v>-16.85782096343133</c:v>
                </c:pt>
                <c:pt idx="118">
                  <c:v>-10.16774938978708</c:v>
                </c:pt>
                <c:pt idx="119">
                  <c:v>-26.671917950796409</c:v>
                </c:pt>
                <c:pt idx="120">
                  <c:v>-52.676956676686942</c:v>
                </c:pt>
                <c:pt idx="121">
                  <c:v>-56.667164158723942</c:v>
                </c:pt>
                <c:pt idx="122">
                  <c:v>-44.772787715454392</c:v>
                </c:pt>
                <c:pt idx="123">
                  <c:v>-43.356398005011933</c:v>
                </c:pt>
                <c:pt idx="124">
                  <c:v>-43.215857779833136</c:v>
                </c:pt>
                <c:pt idx="125">
                  <c:v>-34.465252660470888</c:v>
                </c:pt>
                <c:pt idx="126">
                  <c:v>-24.499803081141749</c:v>
                </c:pt>
                <c:pt idx="127">
                  <c:v>-44.077880765166881</c:v>
                </c:pt>
                <c:pt idx="128">
                  <c:v>-56.493049965678878</c:v>
                </c:pt>
                <c:pt idx="129">
                  <c:v>-151.95866928723021</c:v>
                </c:pt>
                <c:pt idx="130">
                  <c:v>-39.160519316420412</c:v>
                </c:pt>
                <c:pt idx="131">
                  <c:v>-49.507255051105084</c:v>
                </c:pt>
                <c:pt idx="132">
                  <c:v>-54.771112489879712</c:v>
                </c:pt>
                <c:pt idx="133">
                  <c:v>-50.474702779855093</c:v>
                </c:pt>
                <c:pt idx="135">
                  <c:v>-62.662857366210702</c:v>
                </c:pt>
                <c:pt idx="136">
                  <c:v>-23.268005023888779</c:v>
                </c:pt>
                <c:pt idx="137">
                  <c:v>-107.89191472992216</c:v>
                </c:pt>
                <c:pt idx="138">
                  <c:v>-51.788160372001613</c:v>
                </c:pt>
                <c:pt idx="139">
                  <c:v>-64.389289680488261</c:v>
                </c:pt>
                <c:pt idx="140">
                  <c:v>-14.231070088922372</c:v>
                </c:pt>
                <c:pt idx="141">
                  <c:v>-13.813857862548319</c:v>
                </c:pt>
                <c:pt idx="142">
                  <c:v>-31.190868676605735</c:v>
                </c:pt>
                <c:pt idx="143">
                  <c:v>-81.725308785376541</c:v>
                </c:pt>
                <c:pt idx="144">
                  <c:v>-15.613730539254544</c:v>
                </c:pt>
                <c:pt idx="145">
                  <c:v>-30.833169014259092</c:v>
                </c:pt>
                <c:pt idx="146">
                  <c:v>-8.8058537528251595</c:v>
                </c:pt>
                <c:pt idx="147">
                  <c:v>-13.394164940743842</c:v>
                </c:pt>
                <c:pt idx="148">
                  <c:v>0.20379652310882879</c:v>
                </c:pt>
                <c:pt idx="149">
                  <c:v>-0.26632574178306267</c:v>
                </c:pt>
                <c:pt idx="150">
                  <c:v>-7.0132987704608052</c:v>
                </c:pt>
                <c:pt idx="151">
                  <c:v>-4.7136686814226643</c:v>
                </c:pt>
                <c:pt idx="152">
                  <c:v>-2.7986218716701758</c:v>
                </c:pt>
                <c:pt idx="153">
                  <c:v>5.8024942090084126</c:v>
                </c:pt>
                <c:pt idx="154">
                  <c:v>0.35605591748793497</c:v>
                </c:pt>
                <c:pt idx="155">
                  <c:v>-12.613707236072514</c:v>
                </c:pt>
                <c:pt idx="156">
                  <c:v>-0.15615152832222723</c:v>
                </c:pt>
                <c:pt idx="157">
                  <c:v>-39.164666212306813</c:v>
                </c:pt>
                <c:pt idx="158">
                  <c:v>-5.9166889749888156</c:v>
                </c:pt>
                <c:pt idx="159">
                  <c:v>-26.340646286387585</c:v>
                </c:pt>
                <c:pt idx="160">
                  <c:v>-31.118670207274789</c:v>
                </c:pt>
                <c:pt idx="161">
                  <c:v>-31.994790541584521</c:v>
                </c:pt>
                <c:pt idx="162">
                  <c:v>2.1447095432882906</c:v>
                </c:pt>
                <c:pt idx="163">
                  <c:v>-18.212399246911204</c:v>
                </c:pt>
                <c:pt idx="164">
                  <c:v>8.3402503852302061</c:v>
                </c:pt>
                <c:pt idx="165">
                  <c:v>-43.341560672114682</c:v>
                </c:pt>
                <c:pt idx="166">
                  <c:v>-48.220101238702711</c:v>
                </c:pt>
                <c:pt idx="167">
                  <c:v>-10.84549115754495</c:v>
                </c:pt>
                <c:pt idx="168">
                  <c:v>-3.1657540355190665</c:v>
                </c:pt>
                <c:pt idx="169">
                  <c:v>-37.647939582467593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F-4086-8989-16EF0AB01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43808"/>
        <c:axId val="350241848"/>
      </c:scatterChart>
      <c:valAx>
        <c:axId val="3502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0241848"/>
        <c:crosses val="autoZero"/>
        <c:crossBetween val="midCat"/>
      </c:valAx>
      <c:valAx>
        <c:axId val="35024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024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'FS-TF'!$AD$2</c:f>
              <c:strCache>
                <c:ptCount val="1"/>
                <c:pt idx="0">
                  <c:v>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'FS-TF'!$AD$2:$AD$160</c:f>
              <c:numCache>
                <c:formatCode>0.00_);[Red]\(0.00\)</c:formatCode>
                <c:ptCount val="159"/>
                <c:pt idx="0" formatCode="General">
                  <c:v>0</c:v>
                </c:pt>
                <c:pt idx="1">
                  <c:v>14.590259067179259</c:v>
                </c:pt>
                <c:pt idx="3">
                  <c:v>5.7177202257713953</c:v>
                </c:pt>
                <c:pt idx="4">
                  <c:v>3.2922295188698891</c:v>
                </c:pt>
                <c:pt idx="5">
                  <c:v>4.0957375144867134</c:v>
                </c:pt>
                <c:pt idx="6">
                  <c:v>1.452226281406799</c:v>
                </c:pt>
                <c:pt idx="7">
                  <c:v>0.95393769805526141</c:v>
                </c:pt>
                <c:pt idx="8">
                  <c:v>1.0763374036842721</c:v>
                </c:pt>
                <c:pt idx="9">
                  <c:v>0.90321373253160475</c:v>
                </c:pt>
                <c:pt idx="10" formatCode="0.0_ ">
                  <c:v>1.9912219726491871</c:v>
                </c:pt>
                <c:pt idx="11">
                  <c:v>1.61719982313249</c:v>
                </c:pt>
                <c:pt idx="12">
                  <c:v>1.814002088656687</c:v>
                </c:pt>
                <c:pt idx="13">
                  <c:v>1.257640341351224</c:v>
                </c:pt>
                <c:pt idx="14">
                  <c:v>8.873071672349484</c:v>
                </c:pt>
                <c:pt idx="15">
                  <c:v>1.7368121266724219</c:v>
                </c:pt>
                <c:pt idx="16">
                  <c:v>6.3652967000407434</c:v>
                </c:pt>
                <c:pt idx="17">
                  <c:v>1.7871214433621909</c:v>
                </c:pt>
                <c:pt idx="18">
                  <c:v>1.297650793939418</c:v>
                </c:pt>
                <c:pt idx="19">
                  <c:v>6.6528112820698331</c:v>
                </c:pt>
                <c:pt idx="20">
                  <c:v>1.1907273226680619</c:v>
                </c:pt>
                <c:pt idx="21">
                  <c:v>0.99260503682653012</c:v>
                </c:pt>
                <c:pt idx="22">
                  <c:v>1.5014316156724941</c:v>
                </c:pt>
                <c:pt idx="23">
                  <c:v>0.36971166215825002</c:v>
                </c:pt>
                <c:pt idx="24">
                  <c:v>1.475910875188182</c:v>
                </c:pt>
                <c:pt idx="25">
                  <c:v>0.32747965715437072</c:v>
                </c:pt>
                <c:pt idx="26">
                  <c:v>0.22472636861608139</c:v>
                </c:pt>
                <c:pt idx="27">
                  <c:v>0.33705458009104539</c:v>
                </c:pt>
                <c:pt idx="28">
                  <c:v>0.94381249270768452</c:v>
                </c:pt>
                <c:pt idx="29">
                  <c:v>0.18756908598366209</c:v>
                </c:pt>
                <c:pt idx="30">
                  <c:v>0.1624078399272236</c:v>
                </c:pt>
                <c:pt idx="31">
                  <c:v>0.67134454332402782</c:v>
                </c:pt>
                <c:pt idx="32">
                  <c:v>0.39324689478615349</c:v>
                </c:pt>
                <c:pt idx="33">
                  <c:v>0.24693547199572111</c:v>
                </c:pt>
                <c:pt idx="34">
                  <c:v>0.1111467544208415</c:v>
                </c:pt>
                <c:pt idx="35">
                  <c:v>0.21222442273574679</c:v>
                </c:pt>
                <c:pt idx="36">
                  <c:v>0.2145632303163616</c:v>
                </c:pt>
                <c:pt idx="37">
                  <c:v>0.60089464543849758</c:v>
                </c:pt>
                <c:pt idx="38">
                  <c:v>0.41113811509084941</c:v>
                </c:pt>
                <c:pt idx="39">
                  <c:v>0.44196672808954629</c:v>
                </c:pt>
                <c:pt idx="40">
                  <c:v>0.62827918554639817</c:v>
                </c:pt>
                <c:pt idx="42">
                  <c:v>0.80098233670907237</c:v>
                </c:pt>
                <c:pt idx="43">
                  <c:v>1.6542288929320781</c:v>
                </c:pt>
                <c:pt idx="44">
                  <c:v>0.6467281605437466</c:v>
                </c:pt>
                <c:pt idx="46">
                  <c:v>4.2165136733513657</c:v>
                </c:pt>
                <c:pt idx="47">
                  <c:v>5.0934464724592674</c:v>
                </c:pt>
                <c:pt idx="48">
                  <c:v>9.6902216812131048</c:v>
                </c:pt>
                <c:pt idx="49">
                  <c:v>5.8063377488931911</c:v>
                </c:pt>
                <c:pt idx="50">
                  <c:v>3.6819093760542319</c:v>
                </c:pt>
                <c:pt idx="51">
                  <c:v>15.508666600245871</c:v>
                </c:pt>
                <c:pt idx="52">
                  <c:v>6.9624331053870838</c:v>
                </c:pt>
                <c:pt idx="53">
                  <c:v>5.2825807449228082</c:v>
                </c:pt>
                <c:pt idx="54">
                  <c:v>2.5300934160727011</c:v>
                </c:pt>
                <c:pt idx="56">
                  <c:v>1.892299130789334</c:v>
                </c:pt>
                <c:pt idx="57">
                  <c:v>2.8647240307006552</c:v>
                </c:pt>
                <c:pt idx="58">
                  <c:v>0.88174808275901306</c:v>
                </c:pt>
                <c:pt idx="60">
                  <c:v>0.75624406372270592</c:v>
                </c:pt>
                <c:pt idx="61">
                  <c:v>1.372522964132185</c:v>
                </c:pt>
                <c:pt idx="62">
                  <c:v>3.011794712536616</c:v>
                </c:pt>
                <c:pt idx="63">
                  <c:v>2.2063094674228898</c:v>
                </c:pt>
                <c:pt idx="65">
                  <c:v>11.92574575675796</c:v>
                </c:pt>
                <c:pt idx="66">
                  <c:v>3.7631435620322469</c:v>
                </c:pt>
                <c:pt idx="67">
                  <c:v>1.582702142747235</c:v>
                </c:pt>
                <c:pt idx="68">
                  <c:v>2.3444493746473061</c:v>
                </c:pt>
                <c:pt idx="69">
                  <c:v>2.6974159438784091</c:v>
                </c:pt>
                <c:pt idx="70">
                  <c:v>1.989554104785819</c:v>
                </c:pt>
                <c:pt idx="71">
                  <c:v>2.6743325840760059</c:v>
                </c:pt>
                <c:pt idx="72">
                  <c:v>0.75217221367546927</c:v>
                </c:pt>
                <c:pt idx="73">
                  <c:v>0.79097519971511621</c:v>
                </c:pt>
                <c:pt idx="74">
                  <c:v>3.3850849981523932</c:v>
                </c:pt>
                <c:pt idx="75">
                  <c:v>1.888938883962388</c:v>
                </c:pt>
                <c:pt idx="76">
                  <c:v>2.7771589103768508</c:v>
                </c:pt>
                <c:pt idx="77">
                  <c:v>1.204521166495657</c:v>
                </c:pt>
                <c:pt idx="78">
                  <c:v>2.553121562350734</c:v>
                </c:pt>
                <c:pt idx="79">
                  <c:v>1.1082095788751609</c:v>
                </c:pt>
                <c:pt idx="80">
                  <c:v>0.9730877659978644</c:v>
                </c:pt>
                <c:pt idx="81">
                  <c:v>1.290638276038597</c:v>
                </c:pt>
                <c:pt idx="82">
                  <c:v>0.73973871067834696</c:v>
                </c:pt>
                <c:pt idx="83">
                  <c:v>0.32508972761084182</c:v>
                </c:pt>
                <c:pt idx="84">
                  <c:v>1.5108355842343679</c:v>
                </c:pt>
                <c:pt idx="85">
                  <c:v>0.30713273586585271</c:v>
                </c:pt>
                <c:pt idx="86">
                  <c:v>0.57931088481183635</c:v>
                </c:pt>
                <c:pt idx="87">
                  <c:v>0.64812291471955485</c:v>
                </c:pt>
                <c:pt idx="88">
                  <c:v>0.68225714604415633</c:v>
                </c:pt>
                <c:pt idx="89">
                  <c:v>1.1929668472664769</c:v>
                </c:pt>
                <c:pt idx="90">
                  <c:v>5.1705381504200147</c:v>
                </c:pt>
                <c:pt idx="91">
                  <c:v>1.6982161993044449</c:v>
                </c:pt>
                <c:pt idx="92">
                  <c:v>0.9720687383295834</c:v>
                </c:pt>
                <c:pt idx="93">
                  <c:v>1.18701389013115</c:v>
                </c:pt>
                <c:pt idx="94">
                  <c:v>0.70526447914431489</c:v>
                </c:pt>
                <c:pt idx="96">
                  <c:v>0.33621412074652579</c:v>
                </c:pt>
                <c:pt idx="97">
                  <c:v>2.4693062009505429</c:v>
                </c:pt>
                <c:pt idx="98">
                  <c:v>8.274760398238028</c:v>
                </c:pt>
                <c:pt idx="99">
                  <c:v>4.2042025216590426</c:v>
                </c:pt>
                <c:pt idx="101">
                  <c:v>0.44497491856815691</c:v>
                </c:pt>
                <c:pt idx="102" formatCode="0.00_ ">
                  <c:v>5.3189832668447714</c:v>
                </c:pt>
                <c:pt idx="103">
                  <c:v>7.8014120154280997</c:v>
                </c:pt>
                <c:pt idx="104">
                  <c:v>3.6199709111499772</c:v>
                </c:pt>
                <c:pt idx="105">
                  <c:v>1.598009724779053</c:v>
                </c:pt>
                <c:pt idx="106" formatCode="0.00_ ">
                  <c:v>1.0201672944367881</c:v>
                </c:pt>
                <c:pt idx="107">
                  <c:v>1.3414294654875161</c:v>
                </c:pt>
                <c:pt idx="108">
                  <c:v>4.1304811652028661</c:v>
                </c:pt>
                <c:pt idx="109">
                  <c:v>3.116281859113077</c:v>
                </c:pt>
                <c:pt idx="110">
                  <c:v>0.7157437787941725</c:v>
                </c:pt>
                <c:pt idx="111">
                  <c:v>0.66287659429294843</c:v>
                </c:pt>
                <c:pt idx="112">
                  <c:v>0.49847535682059069</c:v>
                </c:pt>
                <c:pt idx="113">
                  <c:v>2.3156323383475028</c:v>
                </c:pt>
                <c:pt idx="114">
                  <c:v>1.750718608379481</c:v>
                </c:pt>
                <c:pt idx="115">
                  <c:v>3.4201964723545339</c:v>
                </c:pt>
                <c:pt idx="116">
                  <c:v>2.79250474977662</c:v>
                </c:pt>
                <c:pt idx="117">
                  <c:v>4.6572114243371514</c:v>
                </c:pt>
                <c:pt idx="118">
                  <c:v>4.0704088927968183</c:v>
                </c:pt>
                <c:pt idx="119">
                  <c:v>0.35160740780577382</c:v>
                </c:pt>
                <c:pt idx="120">
                  <c:v>1.185895993802943</c:v>
                </c:pt>
                <c:pt idx="121">
                  <c:v>0.94660315771898307</c:v>
                </c:pt>
                <c:pt idx="122">
                  <c:v>0.43308963746113122</c:v>
                </c:pt>
                <c:pt idx="123">
                  <c:v>0.79080521777040469</c:v>
                </c:pt>
                <c:pt idx="125">
                  <c:v>1.8814562792153819</c:v>
                </c:pt>
                <c:pt idx="126">
                  <c:v>1.1641651203907866</c:v>
                </c:pt>
                <c:pt idx="127">
                  <c:v>0.48388392999246393</c:v>
                </c:pt>
                <c:pt idx="128">
                  <c:v>0.55913018669926795</c:v>
                </c:pt>
                <c:pt idx="129">
                  <c:v>0.35510756806178251</c:v>
                </c:pt>
                <c:pt idx="130">
                  <c:v>1.3960912195807138</c:v>
                </c:pt>
                <c:pt idx="131">
                  <c:v>0.90240734323063843</c:v>
                </c:pt>
                <c:pt idx="132">
                  <c:v>0.3478014979497483</c:v>
                </c:pt>
                <c:pt idx="133">
                  <c:v>0.516879305700092</c:v>
                </c:pt>
                <c:pt idx="134">
                  <c:v>0.33012881446494058</c:v>
                </c:pt>
                <c:pt idx="135">
                  <c:v>0.24871149614273594</c:v>
                </c:pt>
                <c:pt idx="136">
                  <c:v>0.36848983363962096</c:v>
                </c:pt>
                <c:pt idx="137">
                  <c:v>1.0962099805444014</c:v>
                </c:pt>
                <c:pt idx="138">
                  <c:v>0.77410593568193975</c:v>
                </c:pt>
                <c:pt idx="139">
                  <c:v>0.91967966115596933</c:v>
                </c:pt>
                <c:pt idx="140">
                  <c:v>0.36554171204269803</c:v>
                </c:pt>
                <c:pt idx="141">
                  <c:v>0.19300581776684303</c:v>
                </c:pt>
                <c:pt idx="142">
                  <c:v>1.0459787558592388</c:v>
                </c:pt>
                <c:pt idx="143">
                  <c:v>1.5435255967718846</c:v>
                </c:pt>
                <c:pt idx="144">
                  <c:v>1.1735047322042402</c:v>
                </c:pt>
                <c:pt idx="145">
                  <c:v>0.67062263243081077</c:v>
                </c:pt>
                <c:pt idx="146">
                  <c:v>0.67172122219081642</c:v>
                </c:pt>
                <c:pt idx="147">
                  <c:v>0.38728901357369422</c:v>
                </c:pt>
                <c:pt idx="148">
                  <c:v>0.2682072875941332</c:v>
                </c:pt>
                <c:pt idx="150">
                  <c:v>0.44205732729527664</c:v>
                </c:pt>
                <c:pt idx="151">
                  <c:v>0.39793179463957756</c:v>
                </c:pt>
                <c:pt idx="153">
                  <c:v>1.2968094319947208</c:v>
                </c:pt>
                <c:pt idx="154">
                  <c:v>5.5639977871227453</c:v>
                </c:pt>
                <c:pt idx="155">
                  <c:v>0.77764410566181319</c:v>
                </c:pt>
                <c:pt idx="156">
                  <c:v>1.2486256704986085</c:v>
                </c:pt>
                <c:pt idx="157">
                  <c:v>1.1925976078431026</c:v>
                </c:pt>
                <c:pt idx="158">
                  <c:v>3.8983062976376703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3-4057-9EFF-828E531B9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339584"/>
        <c:axId val="379339976"/>
      </c:lineChart>
      <c:catAx>
        <c:axId val="37933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339976"/>
        <c:crosses val="autoZero"/>
        <c:auto val="1"/>
        <c:lblAlgn val="ctr"/>
        <c:lblOffset val="100"/>
        <c:noMultiLvlLbl val="0"/>
      </c:catAx>
      <c:valAx>
        <c:axId val="37933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33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209550</xdr:colOff>
      <xdr:row>3</xdr:row>
      <xdr:rowOff>38108</xdr:rowOff>
    </xdr:from>
    <xdr:to>
      <xdr:col>40</xdr:col>
      <xdr:colOff>400050</xdr:colOff>
      <xdr:row>16</xdr:row>
      <xdr:rowOff>161933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AB04BFF-9C0A-4199-8C00-84684CEF1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209550</xdr:colOff>
      <xdr:row>17</xdr:row>
      <xdr:rowOff>19058</xdr:rowOff>
    </xdr:from>
    <xdr:to>
      <xdr:col>40</xdr:col>
      <xdr:colOff>400050</xdr:colOff>
      <xdr:row>30</xdr:row>
      <xdr:rowOff>161933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52C7E6E-DF1C-4053-9862-5BA62ACE4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97971</xdr:colOff>
      <xdr:row>8</xdr:row>
      <xdr:rowOff>21781</xdr:rowOff>
    </xdr:from>
    <xdr:to>
      <xdr:col>40</xdr:col>
      <xdr:colOff>293914</xdr:colOff>
      <xdr:row>22</xdr:row>
      <xdr:rowOff>10895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E5F4279-0BA5-47DB-80DF-DB1BF47AE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130628</xdr:colOff>
      <xdr:row>3</xdr:row>
      <xdr:rowOff>10894</xdr:rowOff>
    </xdr:from>
    <xdr:to>
      <xdr:col>40</xdr:col>
      <xdr:colOff>326571</xdr:colOff>
      <xdr:row>16</xdr:row>
      <xdr:rowOff>185065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14B57E-9A5F-445A-ABE4-A7E5A02CA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163285</xdr:colOff>
      <xdr:row>6</xdr:row>
      <xdr:rowOff>185065</xdr:rowOff>
    </xdr:from>
    <xdr:to>
      <xdr:col>40</xdr:col>
      <xdr:colOff>359228</xdr:colOff>
      <xdr:row>20</xdr:row>
      <xdr:rowOff>174180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E3384FC-CCBC-499C-8F9B-2FAFF36A7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ver-TN/Desktop/&#27963;&#38913;&#31807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</sheetNames>
    <sheetDataSet>
      <sheetData sheetId="0" refreshError="1">
        <row r="1">
          <cell r="M1" t="str">
            <v>Identification</v>
          </cell>
        </row>
        <row r="2">
          <cell r="M2" t="str">
            <v>TN Std 0.10 mg/l</v>
          </cell>
        </row>
        <row r="3">
          <cell r="M3" t="str">
            <v>TN Std 0.25 mg/l</v>
          </cell>
        </row>
        <row r="4">
          <cell r="M4" t="str">
            <v>TN Std 0.50 mg/l</v>
          </cell>
        </row>
        <row r="5">
          <cell r="M5" t="str">
            <v>TN Std 1.00 mg/l</v>
          </cell>
        </row>
        <row r="6">
          <cell r="M6" t="str">
            <v>TN Std 2.50 mg/l</v>
          </cell>
        </row>
        <row r="7">
          <cell r="M7" t="str">
            <v>NN Std 5.00 mg/l</v>
          </cell>
        </row>
        <row r="8">
          <cell r="M8" t="str">
            <v>TN Std 1.00 mg/l</v>
          </cell>
          <cell r="N8">
            <v>0.95675117646037555</v>
          </cell>
        </row>
        <row r="9">
          <cell r="M9" t="str">
            <v>TN Std 1.25 mg/l</v>
          </cell>
          <cell r="N9">
            <v>1.3112272657389472</v>
          </cell>
        </row>
        <row r="10">
          <cell r="N10">
            <v>104.89818125911579</v>
          </cell>
        </row>
        <row r="11">
          <cell r="M11">
            <v>45504</v>
          </cell>
          <cell r="N11">
            <v>0.15369273441013373</v>
          </cell>
        </row>
        <row r="12">
          <cell r="M12">
            <v>45504</v>
          </cell>
          <cell r="N12">
            <v>0.48586072208276782</v>
          </cell>
        </row>
        <row r="13">
          <cell r="M13">
            <v>45504</v>
          </cell>
          <cell r="N13">
            <v>0.30860332297221527</v>
          </cell>
        </row>
        <row r="14">
          <cell r="M14">
            <v>45504</v>
          </cell>
          <cell r="N14">
            <v>0.13392031650722191</v>
          </cell>
        </row>
        <row r="15">
          <cell r="M15">
            <v>45504</v>
          </cell>
          <cell r="N15">
            <v>0.1041209773476218</v>
          </cell>
        </row>
        <row r="16">
          <cell r="M16">
            <v>45504</v>
          </cell>
          <cell r="N16">
            <v>0.14383610780620162</v>
          </cell>
        </row>
        <row r="17">
          <cell r="M17">
            <v>45504</v>
          </cell>
          <cell r="N17">
            <v>0.51861107900737935</v>
          </cell>
        </row>
        <row r="18">
          <cell r="M18">
            <v>45504</v>
          </cell>
          <cell r="N18">
            <v>0.11924801635697953</v>
          </cell>
        </row>
        <row r="19">
          <cell r="M19">
            <v>45504</v>
          </cell>
          <cell r="N19">
            <v>0.12849057012156212</v>
          </cell>
        </row>
        <row r="20">
          <cell r="M20">
            <v>45504</v>
          </cell>
          <cell r="N20">
            <v>0.10262268110504282</v>
          </cell>
        </row>
        <row r="21">
          <cell r="M21">
            <v>45504</v>
          </cell>
          <cell r="N21">
            <v>0.13223942029032978</v>
          </cell>
        </row>
        <row r="22">
          <cell r="M22">
            <v>45511</v>
          </cell>
          <cell r="N22">
            <v>0.85562749878635991</v>
          </cell>
        </row>
        <row r="23">
          <cell r="M23">
            <v>45511</v>
          </cell>
          <cell r="N23">
            <v>0.36086463579333306</v>
          </cell>
        </row>
        <row r="24">
          <cell r="M24">
            <v>45511</v>
          </cell>
          <cell r="N24">
            <v>0.42746212126805472</v>
          </cell>
        </row>
        <row r="25">
          <cell r="M25" t="str">
            <v>TN Std 1.00 mg/l</v>
          </cell>
          <cell r="N25">
            <v>101.40220034750102</v>
          </cell>
        </row>
        <row r="26">
          <cell r="N26">
            <v>1.0315019080330841</v>
          </cell>
        </row>
        <row r="27">
          <cell r="M27">
            <v>45511</v>
          </cell>
          <cell r="N27">
            <v>0.17133120904651958</v>
          </cell>
        </row>
        <row r="28">
          <cell r="M28">
            <v>45511</v>
          </cell>
          <cell r="N28">
            <v>0.12907059943758861</v>
          </cell>
        </row>
        <row r="29">
          <cell r="M29">
            <v>45511</v>
          </cell>
          <cell r="N29">
            <v>1.574175072333202</v>
          </cell>
        </row>
        <row r="30">
          <cell r="M30">
            <v>45511</v>
          </cell>
          <cell r="N30">
            <v>0.38882378520144767</v>
          </cell>
        </row>
        <row r="31">
          <cell r="M31">
            <v>45511</v>
          </cell>
          <cell r="N31">
            <v>0.10614618687149417</v>
          </cell>
        </row>
        <row r="32">
          <cell r="M32">
            <v>45511</v>
          </cell>
          <cell r="N32">
            <v>0.14549354806074102</v>
          </cell>
        </row>
        <row r="33">
          <cell r="M33">
            <v>45518</v>
          </cell>
          <cell r="N33">
            <v>0.60270939230913312</v>
          </cell>
        </row>
        <row r="34">
          <cell r="M34">
            <v>45518</v>
          </cell>
          <cell r="N34">
            <v>0.46279481349309365</v>
          </cell>
        </row>
        <row r="35">
          <cell r="M35">
            <v>45518</v>
          </cell>
          <cell r="N35">
            <v>0.46189251519212754</v>
          </cell>
        </row>
        <row r="36">
          <cell r="M36">
            <v>45518</v>
          </cell>
          <cell r="N36">
            <v>0.19143148212475014</v>
          </cell>
        </row>
        <row r="37">
          <cell r="M37">
            <v>45518</v>
          </cell>
          <cell r="N37">
            <v>0.1088587926643771</v>
          </cell>
        </row>
        <row r="38">
          <cell r="M38">
            <v>45518</v>
          </cell>
          <cell r="N38">
            <v>0.5731770678596162</v>
          </cell>
        </row>
        <row r="39">
          <cell r="M39">
            <v>45518</v>
          </cell>
          <cell r="N39">
            <v>0.50393584175463446</v>
          </cell>
        </row>
        <row r="40">
          <cell r="M40">
            <v>45518</v>
          </cell>
          <cell r="N40">
            <v>0.1153903362865102</v>
          </cell>
        </row>
        <row r="41">
          <cell r="M41" t="str">
            <v>TN Std 1.00 mg/l</v>
          </cell>
          <cell r="N41">
            <v>102.36093269491245</v>
          </cell>
        </row>
        <row r="42">
          <cell r="N42">
            <v>1.0188156652120675</v>
          </cell>
        </row>
        <row r="43">
          <cell r="M43">
            <v>45518</v>
          </cell>
          <cell r="N43">
            <v>0.24444034250008251</v>
          </cell>
        </row>
        <row r="44">
          <cell r="M44">
            <v>45518</v>
          </cell>
          <cell r="N44">
            <v>0.15564766769706198</v>
          </cell>
        </row>
        <row r="45">
          <cell r="M45">
            <v>45525</v>
          </cell>
          <cell r="N45">
            <v>0.22420336422068105</v>
          </cell>
        </row>
        <row r="46">
          <cell r="M46">
            <v>45525</v>
          </cell>
          <cell r="N46">
            <v>0.36423558302108372</v>
          </cell>
        </row>
        <row r="47">
          <cell r="M47">
            <v>45525</v>
          </cell>
          <cell r="N47">
            <v>0.45239345299166628</v>
          </cell>
        </row>
        <row r="48">
          <cell r="M48">
            <v>45525</v>
          </cell>
          <cell r="N48">
            <v>0.1569608547578257</v>
          </cell>
        </row>
        <row r="49">
          <cell r="M49">
            <v>45525</v>
          </cell>
          <cell r="N49">
            <v>0.12960357290151725</v>
          </cell>
        </row>
        <row r="50">
          <cell r="M50">
            <v>45525</v>
          </cell>
          <cell r="N50">
            <v>0.23429313277620212</v>
          </cell>
        </row>
        <row r="51">
          <cell r="M51">
            <v>45525</v>
          </cell>
          <cell r="N51">
            <v>0.41951241530998751</v>
          </cell>
        </row>
        <row r="52">
          <cell r="M52">
            <v>45525</v>
          </cell>
          <cell r="N52">
            <v>0.16908631079776701</v>
          </cell>
        </row>
        <row r="53">
          <cell r="M53">
            <v>45525</v>
          </cell>
          <cell r="N53">
            <v>0.11633021469111444</v>
          </cell>
        </row>
        <row r="54">
          <cell r="M54">
            <v>45525</v>
          </cell>
          <cell r="N54">
            <v>0.20417801962300253</v>
          </cell>
        </row>
        <row r="55">
          <cell r="M55">
            <v>45189</v>
          </cell>
          <cell r="N55">
            <v>0.30026241524564218</v>
          </cell>
        </row>
        <row r="56">
          <cell r="M56">
            <v>45189</v>
          </cell>
          <cell r="N56">
            <v>0.32185672440175472</v>
          </cell>
        </row>
        <row r="57">
          <cell r="M57" t="str">
            <v>TN Std 1.00 mg/l</v>
          </cell>
          <cell r="N57">
            <v>101.25122215365501</v>
          </cell>
        </row>
        <row r="58">
          <cell r="N58">
            <v>1.0180607742428374</v>
          </cell>
        </row>
        <row r="59">
          <cell r="M59">
            <v>45189</v>
          </cell>
          <cell r="N59">
            <v>8.2494663092923512E-2</v>
          </cell>
        </row>
        <row r="60">
          <cell r="M60">
            <v>45189</v>
          </cell>
          <cell r="N60">
            <v>1.3316408768184307</v>
          </cell>
        </row>
        <row r="61">
          <cell r="M61">
            <v>45189</v>
          </cell>
          <cell r="N61">
            <v>9.4463887012332715E-2</v>
          </cell>
        </row>
        <row r="62">
          <cell r="M62">
            <v>45168</v>
          </cell>
          <cell r="N62">
            <v>0.4682669148757902</v>
          </cell>
        </row>
        <row r="63">
          <cell r="M63">
            <v>45195</v>
          </cell>
          <cell r="N63">
            <v>0.38520928438047625</v>
          </cell>
        </row>
        <row r="64">
          <cell r="M64">
            <v>45195</v>
          </cell>
          <cell r="N64">
            <v>0.33662909815740855</v>
          </cell>
        </row>
        <row r="65">
          <cell r="M65">
            <v>45195</v>
          </cell>
          <cell r="N65">
            <v>0.6659658643565104</v>
          </cell>
        </row>
        <row r="66">
          <cell r="M66">
            <v>45168</v>
          </cell>
          <cell r="N66">
            <v>0.8347974166730926</v>
          </cell>
        </row>
        <row r="67">
          <cell r="M67">
            <v>45196</v>
          </cell>
          <cell r="N67">
            <v>0.38778336755099868</v>
          </cell>
        </row>
        <row r="68">
          <cell r="M68">
            <v>45196</v>
          </cell>
          <cell r="N68">
            <v>0.33221114345338404</v>
          </cell>
        </row>
        <row r="69">
          <cell r="M69">
            <v>45196</v>
          </cell>
          <cell r="N69">
            <v>0.41873573014035359</v>
          </cell>
        </row>
        <row r="70">
          <cell r="M70">
            <v>45196</v>
          </cell>
          <cell r="N70">
            <v>1.7914858002823772</v>
          </cell>
        </row>
        <row r="71">
          <cell r="M71">
            <v>45196</v>
          </cell>
          <cell r="N71">
            <v>0.73611980421712253</v>
          </cell>
        </row>
        <row r="72">
          <cell r="M72">
            <v>45196</v>
          </cell>
          <cell r="N72">
            <v>0.22369323701145355</v>
          </cell>
        </row>
        <row r="73">
          <cell r="M73" t="str">
            <v>TN Std 1.00 mg/l</v>
          </cell>
          <cell r="N73">
            <v>100.71908762855728</v>
          </cell>
        </row>
        <row r="74">
          <cell r="N74">
            <v>1.0098515489110613</v>
          </cell>
        </row>
        <row r="75">
          <cell r="M75">
            <v>45196</v>
          </cell>
          <cell r="N75">
            <v>0.10383904197547061</v>
          </cell>
        </row>
        <row r="76">
          <cell r="M76">
            <v>45181</v>
          </cell>
          <cell r="N76">
            <v>0.40925202244474118</v>
          </cell>
        </row>
        <row r="77">
          <cell r="M77">
            <v>45204</v>
          </cell>
          <cell r="N77">
            <v>0.444528241572203</v>
          </cell>
        </row>
        <row r="78">
          <cell r="M78">
            <v>45204</v>
          </cell>
          <cell r="N78">
            <v>0.40173446532278489</v>
          </cell>
        </row>
        <row r="79">
          <cell r="M79">
            <v>45181</v>
          </cell>
          <cell r="N79">
            <v>0.23600312591332526</v>
          </cell>
        </row>
        <row r="80">
          <cell r="M80">
            <v>45204</v>
          </cell>
          <cell r="N80">
            <v>0.55125096933953244</v>
          </cell>
        </row>
        <row r="81">
          <cell r="M81">
            <v>45168</v>
          </cell>
          <cell r="N81">
            <v>0.69101720424721658</v>
          </cell>
        </row>
        <row r="82">
          <cell r="M82">
            <v>45203</v>
          </cell>
          <cell r="N82">
            <v>1.1231640783098142</v>
          </cell>
        </row>
        <row r="83">
          <cell r="M83">
            <v>45203</v>
          </cell>
          <cell r="N83">
            <v>0.4088198529767052</v>
          </cell>
        </row>
        <row r="84">
          <cell r="M84">
            <v>45203</v>
          </cell>
          <cell r="N84">
            <v>0.42917504433841591</v>
          </cell>
        </row>
        <row r="85">
          <cell r="M85">
            <v>45203</v>
          </cell>
          <cell r="N85">
            <v>0.43060671470580869</v>
          </cell>
        </row>
        <row r="86">
          <cell r="M86">
            <v>45203</v>
          </cell>
          <cell r="N86">
            <v>0.80773608696980703</v>
          </cell>
        </row>
        <row r="87">
          <cell r="M87">
            <v>45203</v>
          </cell>
          <cell r="N87">
            <v>0.43521544486946351</v>
          </cell>
        </row>
        <row r="88">
          <cell r="M88">
            <v>45203</v>
          </cell>
          <cell r="N88">
            <v>0.27249437717565184</v>
          </cell>
        </row>
        <row r="89">
          <cell r="M89" t="str">
            <v>TN Std 1.00 mg/l</v>
          </cell>
          <cell r="N89">
            <v>101.87810194850506</v>
          </cell>
        </row>
        <row r="90">
          <cell r="N90">
            <v>1.0129859478853118</v>
          </cell>
        </row>
        <row r="91">
          <cell r="M91" t="str">
            <v>Identification</v>
          </cell>
        </row>
        <row r="92">
          <cell r="M92" t="str">
            <v>TN Std 0.10 mg/l</v>
          </cell>
        </row>
        <row r="93">
          <cell r="M93" t="str">
            <v>TN Std 0.25 mg/l</v>
          </cell>
        </row>
        <row r="94">
          <cell r="M94" t="str">
            <v>TN Std 0.50 mg/l</v>
          </cell>
        </row>
        <row r="95">
          <cell r="M95" t="str">
            <v>TN Std 1.00 mg/l</v>
          </cell>
        </row>
        <row r="96">
          <cell r="M96" t="str">
            <v>TN Std 2.50 mg/l</v>
          </cell>
        </row>
        <row r="97">
          <cell r="M97" t="str">
            <v>NN Std 5.00 mg/l</v>
          </cell>
        </row>
        <row r="98">
          <cell r="M98" t="str">
            <v>TN Std 1.00 mg/l</v>
          </cell>
          <cell r="N98">
            <v>0.89505892202759785</v>
          </cell>
        </row>
        <row r="99">
          <cell r="M99" t="str">
            <v>TN Std 1.25 mg/l</v>
          </cell>
          <cell r="N99">
            <v>1.2947737977025049</v>
          </cell>
        </row>
        <row r="100">
          <cell r="N100">
            <v>103.58190381620038</v>
          </cell>
        </row>
        <row r="101">
          <cell r="M101">
            <v>45055</v>
          </cell>
          <cell r="N101">
            <v>0.63791873169160918</v>
          </cell>
        </row>
        <row r="102">
          <cell r="M102">
            <v>45230</v>
          </cell>
          <cell r="N102">
            <v>0.14458586505884755</v>
          </cell>
        </row>
        <row r="103">
          <cell r="M103">
            <v>45188</v>
          </cell>
          <cell r="N103">
            <v>0.40363909779729473</v>
          </cell>
        </row>
        <row r="104">
          <cell r="M104">
            <v>45237</v>
          </cell>
          <cell r="N104">
            <v>0.50036161755004382</v>
          </cell>
        </row>
        <row r="105">
          <cell r="M105">
            <v>45237</v>
          </cell>
          <cell r="N105">
            <v>0.379857634457824</v>
          </cell>
        </row>
        <row r="106">
          <cell r="M106">
            <v>45237</v>
          </cell>
          <cell r="N106">
            <v>9.1042453673192539E-2</v>
          </cell>
        </row>
        <row r="107">
          <cell r="M107">
            <v>45195</v>
          </cell>
          <cell r="N107">
            <v>0.59273004974926025</v>
          </cell>
        </row>
        <row r="108">
          <cell r="M108">
            <v>45168</v>
          </cell>
          <cell r="N108">
            <v>0.31896521302099134</v>
          </cell>
        </row>
        <row r="109">
          <cell r="M109">
            <v>45181</v>
          </cell>
          <cell r="N109">
            <v>0.83046958937147364</v>
          </cell>
        </row>
        <row r="110">
          <cell r="M110">
            <v>45238</v>
          </cell>
          <cell r="N110">
            <v>0.92364865342181268</v>
          </cell>
        </row>
        <row r="111">
          <cell r="M111">
            <v>45238</v>
          </cell>
          <cell r="N111">
            <v>0.82663548739490011</v>
          </cell>
        </row>
        <row r="112">
          <cell r="M112">
            <v>45238</v>
          </cell>
          <cell r="N112">
            <v>0.21320132735726322</v>
          </cell>
        </row>
        <row r="113">
          <cell r="M113">
            <v>45238</v>
          </cell>
          <cell r="N113">
            <v>0.14417608813021315</v>
          </cell>
        </row>
        <row r="114">
          <cell r="M114">
            <v>45238</v>
          </cell>
          <cell r="N114">
            <v>0.60860513311041398</v>
          </cell>
        </row>
        <row r="115">
          <cell r="M115" t="str">
            <v>TN Std 1.00 mg/l</v>
          </cell>
          <cell r="N115">
            <v>96.805960668312835</v>
          </cell>
        </row>
        <row r="116">
          <cell r="N116">
            <v>1.0019393224225661</v>
          </cell>
        </row>
        <row r="117">
          <cell r="M117">
            <v>45238</v>
          </cell>
          <cell r="N117">
            <v>0.11946785913775972</v>
          </cell>
        </row>
        <row r="118">
          <cell r="M118">
            <v>45238</v>
          </cell>
          <cell r="N118">
            <v>3.3362907507695523</v>
          </cell>
        </row>
        <row r="119">
          <cell r="M119">
            <v>45238</v>
          </cell>
          <cell r="N119">
            <v>0.137111088085038</v>
          </cell>
        </row>
        <row r="120">
          <cell r="M120">
            <v>45258</v>
          </cell>
          <cell r="N120">
            <v>0.57320973693430033</v>
          </cell>
        </row>
        <row r="121">
          <cell r="M121">
            <v>45258</v>
          </cell>
          <cell r="N121">
            <v>0.46781063341436568</v>
          </cell>
        </row>
        <row r="122">
          <cell r="M122">
            <v>45258</v>
          </cell>
          <cell r="N122">
            <v>0.96968064704475221</v>
          </cell>
        </row>
        <row r="123">
          <cell r="M123">
            <v>45204</v>
          </cell>
          <cell r="N123">
            <v>0.51512590471178299</v>
          </cell>
        </row>
        <row r="124">
          <cell r="M124">
            <v>45195</v>
          </cell>
          <cell r="N124">
            <v>0.38251466301022868</v>
          </cell>
        </row>
        <row r="125">
          <cell r="M125">
            <v>45188</v>
          </cell>
          <cell r="N125">
            <v>0.1464186549330394</v>
          </cell>
        </row>
        <row r="126">
          <cell r="M126">
            <v>45204</v>
          </cell>
          <cell r="N126">
            <v>1.8883394387599739</v>
          </cell>
        </row>
        <row r="127">
          <cell r="M127">
            <v>45259</v>
          </cell>
          <cell r="N127">
            <v>0.5024439589339218</v>
          </cell>
        </row>
        <row r="128">
          <cell r="M128">
            <v>45259</v>
          </cell>
          <cell r="N128">
            <v>0.15656895705163118</v>
          </cell>
        </row>
        <row r="129">
          <cell r="M129">
            <v>45259</v>
          </cell>
          <cell r="N129">
            <v>0.12588964522329596</v>
          </cell>
        </row>
        <row r="130">
          <cell r="M130">
            <v>45259</v>
          </cell>
          <cell r="N130">
            <v>0.34846443283291106</v>
          </cell>
        </row>
        <row r="131">
          <cell r="M131" t="str">
            <v>TN Std 1.00 mg/l</v>
          </cell>
          <cell r="N131">
            <v>98.679638654349418</v>
          </cell>
        </row>
        <row r="132">
          <cell r="N132">
            <v>0.97742799661331137</v>
          </cell>
        </row>
        <row r="133">
          <cell r="M133">
            <v>45259</v>
          </cell>
          <cell r="N133">
            <v>0.9733112470684665</v>
          </cell>
        </row>
        <row r="134">
          <cell r="M134">
            <v>45259</v>
          </cell>
          <cell r="N134">
            <v>0.43909693121236965</v>
          </cell>
        </row>
        <row r="135">
          <cell r="M135">
            <v>45259</v>
          </cell>
          <cell r="N135">
            <v>0.13343098561352765</v>
          </cell>
        </row>
        <row r="136">
          <cell r="M136">
            <v>45259</v>
          </cell>
          <cell r="N136">
            <v>0.41438493410192501</v>
          </cell>
        </row>
        <row r="137">
          <cell r="M137">
            <v>45259</v>
          </cell>
          <cell r="N137">
            <v>7.8795801823596343E-2</v>
          </cell>
        </row>
        <row r="138">
          <cell r="M138">
            <v>45259</v>
          </cell>
          <cell r="N138">
            <v>0.11307387312490448</v>
          </cell>
        </row>
        <row r="139">
          <cell r="M139">
            <v>45273</v>
          </cell>
          <cell r="N139">
            <v>0.91892048793622039</v>
          </cell>
        </row>
        <row r="140">
          <cell r="M140">
            <v>45273</v>
          </cell>
          <cell r="N140">
            <v>0.32274888597183204</v>
          </cell>
        </row>
        <row r="141">
          <cell r="M141">
            <v>45273</v>
          </cell>
          <cell r="N141">
            <v>0.36736658088238894</v>
          </cell>
        </row>
        <row r="142">
          <cell r="M142">
            <v>45273</v>
          </cell>
          <cell r="N142">
            <v>0.39867558044104684</v>
          </cell>
        </row>
        <row r="143">
          <cell r="M143">
            <v>45273</v>
          </cell>
          <cell r="N143">
            <v>4.9469501358258769E-2</v>
          </cell>
        </row>
        <row r="144">
          <cell r="M144">
            <v>45273</v>
          </cell>
          <cell r="N144">
            <v>5.3552380219895217E-2</v>
          </cell>
        </row>
        <row r="145">
          <cell r="M145">
            <v>45273</v>
          </cell>
          <cell r="N145">
            <v>0.30647511950145162</v>
          </cell>
        </row>
        <row r="146">
          <cell r="M146">
            <v>45273</v>
          </cell>
          <cell r="N146">
            <v>6.303831605242366E-2</v>
          </cell>
        </row>
        <row r="147">
          <cell r="M147" t="str">
            <v>TN Std 1.00 mg/l</v>
          </cell>
          <cell r="N147">
            <v>98.184904958685095</v>
          </cell>
        </row>
        <row r="148">
          <cell r="N148">
            <v>0.98432271806517269</v>
          </cell>
        </row>
        <row r="149">
          <cell r="M149">
            <v>45273</v>
          </cell>
          <cell r="N149">
            <v>6.5688874359772262E-2</v>
          </cell>
        </row>
        <row r="150">
          <cell r="M150">
            <v>45273</v>
          </cell>
          <cell r="N150">
            <v>8.793204179741955E-2</v>
          </cell>
        </row>
        <row r="151">
          <cell r="M151">
            <v>45273</v>
          </cell>
          <cell r="N151">
            <v>6.7290488712505356E-2</v>
          </cell>
        </row>
        <row r="152">
          <cell r="M152">
            <v>45204</v>
          </cell>
          <cell r="N152">
            <v>0.45437748014786838</v>
          </cell>
        </row>
        <row r="153">
          <cell r="M153">
            <v>45272</v>
          </cell>
          <cell r="N153">
            <v>0.47023786696806841</v>
          </cell>
        </row>
        <row r="154">
          <cell r="M154">
            <v>45272</v>
          </cell>
          <cell r="N154">
            <v>0.37048414991412515</v>
          </cell>
        </row>
        <row r="155">
          <cell r="M155">
            <v>45272</v>
          </cell>
          <cell r="N155">
            <v>0.40325726180469412</v>
          </cell>
        </row>
        <row r="156">
          <cell r="M156">
            <v>45237</v>
          </cell>
          <cell r="N156">
            <v>6.3708865469284071</v>
          </cell>
        </row>
        <row r="157">
          <cell r="M157">
            <v>45265</v>
          </cell>
          <cell r="N157">
            <v>0.13672959626743147</v>
          </cell>
        </row>
        <row r="158">
          <cell r="M158">
            <v>45237</v>
          </cell>
          <cell r="N158">
            <v>0.84038536550903309</v>
          </cell>
        </row>
        <row r="159">
          <cell r="M159">
            <v>45237</v>
          </cell>
          <cell r="N159">
            <v>0.46330793441401824</v>
          </cell>
        </row>
        <row r="160">
          <cell r="M160">
            <v>45265</v>
          </cell>
          <cell r="N160">
            <v>0.57661993513920473</v>
          </cell>
        </row>
        <row r="161">
          <cell r="M161">
            <v>45265</v>
          </cell>
          <cell r="N161">
            <v>0.48700446400165154</v>
          </cell>
        </row>
        <row r="162">
          <cell r="M162">
            <v>45237</v>
          </cell>
          <cell r="N162">
            <v>0.13597074343123605</v>
          </cell>
        </row>
        <row r="163">
          <cell r="M163" t="str">
            <v>TN Std 1.00 mg/l</v>
          </cell>
          <cell r="N163">
            <v>95.780977542285058</v>
          </cell>
        </row>
        <row r="164">
          <cell r="N164">
            <v>0.96982941250485089</v>
          </cell>
        </row>
        <row r="165">
          <cell r="M165">
            <v>45258</v>
          </cell>
          <cell r="N165">
            <v>2.6732865440259976</v>
          </cell>
        </row>
        <row r="166">
          <cell r="M166">
            <v>45266</v>
          </cell>
          <cell r="N166">
            <v>0.47391418734085938</v>
          </cell>
        </row>
        <row r="167">
          <cell r="M167">
            <v>45266</v>
          </cell>
          <cell r="N167">
            <v>0.61747252385391849</v>
          </cell>
        </row>
        <row r="168">
          <cell r="M168">
            <v>45266</v>
          </cell>
          <cell r="N168">
            <v>0.57990257701675652</v>
          </cell>
        </row>
        <row r="169">
          <cell r="M169">
            <v>45266</v>
          </cell>
          <cell r="N169">
            <v>0.60480179256796418</v>
          </cell>
        </row>
        <row r="170">
          <cell r="M170">
            <v>45266</v>
          </cell>
          <cell r="N170">
            <v>0.21696168669762608</v>
          </cell>
        </row>
        <row r="171">
          <cell r="M171">
            <v>45266</v>
          </cell>
          <cell r="N171">
            <v>0.13031033141503232</v>
          </cell>
        </row>
        <row r="172">
          <cell r="M172">
            <v>45266</v>
          </cell>
          <cell r="N172">
            <v>0.46869621033936126</v>
          </cell>
        </row>
        <row r="173">
          <cell r="M173">
            <v>45266</v>
          </cell>
          <cell r="N173">
            <v>0.62203275203804254</v>
          </cell>
        </row>
        <row r="174">
          <cell r="M174">
            <v>45266</v>
          </cell>
          <cell r="N174">
            <v>0.11379926070314321</v>
          </cell>
        </row>
        <row r="175">
          <cell r="M175">
            <v>45266</v>
          </cell>
          <cell r="N175">
            <v>0.16933932106192548</v>
          </cell>
        </row>
        <row r="176">
          <cell r="M176">
            <v>45258</v>
          </cell>
          <cell r="N176">
            <v>0.48284641800861577</v>
          </cell>
        </row>
        <row r="177">
          <cell r="M177">
            <v>45307</v>
          </cell>
          <cell r="N177">
            <v>0.70033673647545913</v>
          </cell>
        </row>
        <row r="178">
          <cell r="M178">
            <v>45307</v>
          </cell>
          <cell r="N178">
            <v>0.55475212657496642</v>
          </cell>
        </row>
        <row r="179">
          <cell r="M179" t="str">
            <v>TN Std 1.00 mg/l</v>
          </cell>
          <cell r="N179">
            <v>43.011312541026619</v>
          </cell>
        </row>
        <row r="180">
          <cell r="N180">
            <v>0.69396145041655843</v>
          </cell>
        </row>
        <row r="181">
          <cell r="M181" t="str">
            <v>Identification</v>
          </cell>
        </row>
        <row r="182">
          <cell r="M182" t="str">
            <v>TN Std 0.10 mg/l</v>
          </cell>
        </row>
        <row r="183">
          <cell r="M183" t="str">
            <v>TN Std 0.25 mg/l</v>
          </cell>
        </row>
        <row r="184">
          <cell r="M184" t="str">
            <v>TN Std 1.00 mg/l</v>
          </cell>
        </row>
        <row r="185">
          <cell r="M185" t="str">
            <v>TN Std 2.50 mg/l</v>
          </cell>
        </row>
        <row r="186">
          <cell r="M186" t="str">
            <v>NN Std 5.00 mg/l</v>
          </cell>
        </row>
        <row r="187">
          <cell r="M187" t="str">
            <v>TN Std 1.00 mg/l</v>
          </cell>
          <cell r="N187">
            <v>0.9500873371278411</v>
          </cell>
        </row>
        <row r="188">
          <cell r="M188" t="str">
            <v>TN Std 1.25 mg/l</v>
          </cell>
          <cell r="N188">
            <v>1.2458867300151406</v>
          </cell>
        </row>
        <row r="189">
          <cell r="N189">
            <v>99.670938401211245</v>
          </cell>
        </row>
        <row r="190">
          <cell r="M190">
            <v>45307</v>
          </cell>
          <cell r="N190">
            <v>1.3981511251844634</v>
          </cell>
        </row>
        <row r="191">
          <cell r="M191">
            <v>45258</v>
          </cell>
          <cell r="N191">
            <v>0.43131895840323764</v>
          </cell>
        </row>
        <row r="192">
          <cell r="M192">
            <v>45258</v>
          </cell>
          <cell r="N192">
            <v>3.7604793344900931</v>
          </cell>
        </row>
        <row r="193">
          <cell r="M193">
            <v>45308</v>
          </cell>
          <cell r="N193">
            <v>1.0810983221370494</v>
          </cell>
        </row>
        <row r="194">
          <cell r="M194">
            <v>45308</v>
          </cell>
          <cell r="N194">
            <v>0.38498253344770617</v>
          </cell>
        </row>
        <row r="195">
          <cell r="M195">
            <v>45308</v>
          </cell>
          <cell r="N195">
            <v>0.42141386445496209</v>
          </cell>
        </row>
        <row r="196">
          <cell r="M196">
            <v>45308</v>
          </cell>
          <cell r="N196">
            <v>6.2546722540449975E-2</v>
          </cell>
        </row>
        <row r="197">
          <cell r="M197">
            <v>45308</v>
          </cell>
          <cell r="N197">
            <v>5.0146128648225839E-2</v>
          </cell>
        </row>
        <row r="198">
          <cell r="M198">
            <v>45308</v>
          </cell>
          <cell r="N198">
            <v>1.5261644658215825</v>
          </cell>
        </row>
        <row r="199">
          <cell r="M199">
            <v>45308</v>
          </cell>
          <cell r="N199">
            <v>0.35987889577463739</v>
          </cell>
        </row>
        <row r="200">
          <cell r="M200">
            <v>45308</v>
          </cell>
          <cell r="N200">
            <v>7.4052365313242427E-2</v>
          </cell>
        </row>
        <row r="201">
          <cell r="M201">
            <v>45308</v>
          </cell>
          <cell r="N201">
            <v>6.1710959435545665E-2</v>
          </cell>
        </row>
        <row r="202">
          <cell r="M202">
            <v>45308</v>
          </cell>
          <cell r="N202">
            <v>0.10169914347452601</v>
          </cell>
        </row>
        <row r="203">
          <cell r="M203">
            <v>45265</v>
          </cell>
          <cell r="N203">
            <v>0.50519184571102993</v>
          </cell>
        </row>
        <row r="204">
          <cell r="M204">
            <v>45314</v>
          </cell>
          <cell r="N204">
            <v>0.54595760191134957</v>
          </cell>
        </row>
        <row r="205">
          <cell r="M205" t="str">
            <v>TN Std 1.00 mg/l</v>
          </cell>
          <cell r="N205">
            <v>96.599680415939432</v>
          </cell>
        </row>
        <row r="206">
          <cell r="N206">
            <v>0.98135309408575333</v>
          </cell>
        </row>
        <row r="207">
          <cell r="M207">
            <v>45314</v>
          </cell>
          <cell r="N207">
            <v>0.90749219281463067</v>
          </cell>
        </row>
        <row r="208">
          <cell r="M208">
            <v>45314</v>
          </cell>
          <cell r="N208">
            <v>0.51019350180558409</v>
          </cell>
        </row>
        <row r="209">
          <cell r="M209">
            <v>45265</v>
          </cell>
          <cell r="N209">
            <v>0.10961292899236441</v>
          </cell>
        </row>
        <row r="210">
          <cell r="M210">
            <v>45265</v>
          </cell>
          <cell r="N210">
            <v>2.2451777181553978</v>
          </cell>
        </row>
        <row r="211">
          <cell r="M211">
            <v>45315</v>
          </cell>
          <cell r="N211">
            <v>0.99628671670453806</v>
          </cell>
        </row>
        <row r="212">
          <cell r="M212">
            <v>45315</v>
          </cell>
          <cell r="N212">
            <v>1.0223621940413199</v>
          </cell>
        </row>
        <row r="213">
          <cell r="M213">
            <v>45315</v>
          </cell>
          <cell r="N213">
            <v>0.88903907570615159</v>
          </cell>
        </row>
        <row r="214">
          <cell r="M214">
            <v>45315</v>
          </cell>
          <cell r="N214">
            <v>0.71871801663457191</v>
          </cell>
        </row>
        <row r="215">
          <cell r="M215">
            <v>45315</v>
          </cell>
          <cell r="N215">
            <v>9.9685107334906695E-2</v>
          </cell>
        </row>
        <row r="216">
          <cell r="M216">
            <v>45315</v>
          </cell>
          <cell r="N216">
            <v>8.1296459685683942E-2</v>
          </cell>
        </row>
        <row r="217">
          <cell r="M217">
            <v>45315</v>
          </cell>
          <cell r="N217">
            <v>1.2483919140219542</v>
          </cell>
        </row>
        <row r="218">
          <cell r="M218">
            <v>45315</v>
          </cell>
          <cell r="N218">
            <v>1.4937413104914192</v>
          </cell>
        </row>
        <row r="219">
          <cell r="M219">
            <v>45315</v>
          </cell>
          <cell r="N219">
            <v>0.18625742148842794</v>
          </cell>
        </row>
        <row r="220">
          <cell r="M220">
            <v>45315</v>
          </cell>
          <cell r="N220">
            <v>0.17585186343340262</v>
          </cell>
        </row>
        <row r="221">
          <cell r="M221">
            <v>45315</v>
          </cell>
          <cell r="N221">
            <v>0.18929578492073015</v>
          </cell>
        </row>
        <row r="222">
          <cell r="M222" t="str">
            <v>TN Std 1.00 mg/l</v>
          </cell>
          <cell r="N222">
            <v>93.6333968716133</v>
          </cell>
        </row>
        <row r="223">
          <cell r="N223">
            <v>0.47307374982849526</v>
          </cell>
        </row>
        <row r="224">
          <cell r="M224">
            <v>45315</v>
          </cell>
          <cell r="N224">
            <v>6.5926651433599978E-2</v>
          </cell>
        </row>
        <row r="225">
          <cell r="M225">
            <v>45272</v>
          </cell>
          <cell r="N225">
            <v>0.42441120536261562</v>
          </cell>
        </row>
        <row r="226">
          <cell r="M226">
            <v>45321</v>
          </cell>
          <cell r="N226">
            <v>0.53815703918808078</v>
          </cell>
        </row>
        <row r="227">
          <cell r="M227">
            <v>45321</v>
          </cell>
          <cell r="N227">
            <v>0.47421188892725019</v>
          </cell>
        </row>
        <row r="228">
          <cell r="M228">
            <v>45321</v>
          </cell>
          <cell r="N228">
            <v>2.1498432236379816</v>
          </cell>
        </row>
        <row r="229">
          <cell r="M229">
            <v>45279</v>
          </cell>
          <cell r="N229">
            <v>0.20354160903763208</v>
          </cell>
        </row>
        <row r="230">
          <cell r="M230">
            <v>45265</v>
          </cell>
          <cell r="N230">
            <v>1.594986174987109</v>
          </cell>
        </row>
        <row r="231">
          <cell r="M231">
            <v>45272</v>
          </cell>
          <cell r="N231">
            <v>1.7621519500064453</v>
          </cell>
        </row>
        <row r="232">
          <cell r="M232">
            <v>45279</v>
          </cell>
          <cell r="N232">
            <v>1.1869756008396863</v>
          </cell>
        </row>
        <row r="233">
          <cell r="M233">
            <v>45321</v>
          </cell>
          <cell r="N233">
            <v>2.8230050975979117</v>
          </cell>
        </row>
        <row r="234">
          <cell r="M234">
            <v>45322</v>
          </cell>
          <cell r="N234">
            <v>0.37077119367151762</v>
          </cell>
        </row>
        <row r="235">
          <cell r="M235">
            <v>45322</v>
          </cell>
          <cell r="N235">
            <v>0.38878299224083257</v>
          </cell>
        </row>
        <row r="236">
          <cell r="M236">
            <v>45322</v>
          </cell>
          <cell r="N236">
            <v>3.7751513687101126E-2</v>
          </cell>
        </row>
        <row r="237">
          <cell r="M237">
            <v>45322</v>
          </cell>
          <cell r="N237">
            <v>4.3000953253529033E-2</v>
          </cell>
        </row>
        <row r="238">
          <cell r="M238">
            <v>45322</v>
          </cell>
          <cell r="N238">
            <v>2.9273403118045693</v>
          </cell>
        </row>
        <row r="239">
          <cell r="M239" t="str">
            <v>TN Std 1.00 mg/l</v>
          </cell>
          <cell r="N239">
            <v>96.796785674166159</v>
          </cell>
        </row>
        <row r="240">
          <cell r="N240">
            <v>0.9521509127288974</v>
          </cell>
        </row>
        <row r="241">
          <cell r="M241">
            <v>45322</v>
          </cell>
          <cell r="N241">
            <v>0.35396802619664408</v>
          </cell>
        </row>
        <row r="242">
          <cell r="M242">
            <v>45322</v>
          </cell>
          <cell r="N242">
            <v>6.6737254204509905E-2</v>
          </cell>
        </row>
        <row r="243">
          <cell r="M243">
            <v>45322</v>
          </cell>
          <cell r="N243">
            <v>7.8068404162173588E-2</v>
          </cell>
        </row>
        <row r="244">
          <cell r="M244">
            <v>45322</v>
          </cell>
          <cell r="N244">
            <v>5.2437144743111321E-2</v>
          </cell>
        </row>
        <row r="245">
          <cell r="M245">
            <v>45322</v>
          </cell>
          <cell r="N245">
            <v>3.993226772361376E-2</v>
          </cell>
        </row>
        <row r="246">
          <cell r="M246">
            <v>45279</v>
          </cell>
          <cell r="N246">
            <v>0.45687149759930629</v>
          </cell>
        </row>
        <row r="247">
          <cell r="M247">
            <v>45328</v>
          </cell>
          <cell r="N247">
            <v>0.55424233083651409</v>
          </cell>
        </row>
        <row r="248">
          <cell r="M248">
            <v>45328</v>
          </cell>
          <cell r="N248">
            <v>0.47199893983679664</v>
          </cell>
        </row>
        <row r="249">
          <cell r="M249">
            <v>45328</v>
          </cell>
          <cell r="N249">
            <v>0.17158869578499625</v>
          </cell>
        </row>
        <row r="250">
          <cell r="M250">
            <v>45300</v>
          </cell>
          <cell r="N250">
            <v>5.7178472227617112</v>
          </cell>
        </row>
        <row r="251">
          <cell r="M251">
            <v>45300</v>
          </cell>
          <cell r="N251">
            <v>1.2146079452683056</v>
          </cell>
        </row>
        <row r="252">
          <cell r="M252">
            <v>45329</v>
          </cell>
          <cell r="N252">
            <v>0.33118669237798287</v>
          </cell>
        </row>
        <row r="253">
          <cell r="M253">
            <v>45329</v>
          </cell>
          <cell r="N253">
            <v>0.33450078715274922</v>
          </cell>
        </row>
        <row r="254">
          <cell r="M254">
            <v>45329</v>
          </cell>
          <cell r="N254">
            <v>0.42965990885398075</v>
          </cell>
        </row>
        <row r="255">
          <cell r="M255">
            <v>45329</v>
          </cell>
          <cell r="N255">
            <v>5.1174420438005949E-2</v>
          </cell>
        </row>
        <row r="256">
          <cell r="M256" t="str">
            <v>TN Std 1.00 mg/l</v>
          </cell>
          <cell r="N256">
            <v>93.734413889312435</v>
          </cell>
        </row>
        <row r="257">
          <cell r="N257">
            <v>0.95265599781739296</v>
          </cell>
        </row>
        <row r="258">
          <cell r="M258">
            <v>45329</v>
          </cell>
          <cell r="N258">
            <v>4.3080181115243366E-2</v>
          </cell>
        </row>
        <row r="259">
          <cell r="M259">
            <v>45329</v>
          </cell>
          <cell r="N259">
            <v>0.57830339602078318</v>
          </cell>
        </row>
        <row r="260">
          <cell r="M260">
            <v>45329</v>
          </cell>
          <cell r="N260">
            <v>0.35286032340989881</v>
          </cell>
        </row>
        <row r="261">
          <cell r="M261">
            <v>45329</v>
          </cell>
          <cell r="N261">
            <v>7.0764376463186396E-2</v>
          </cell>
        </row>
        <row r="262">
          <cell r="M262">
            <v>45329</v>
          </cell>
          <cell r="N262">
            <v>5.9084357886989285E-2</v>
          </cell>
        </row>
        <row r="263">
          <cell r="M263">
            <v>45329</v>
          </cell>
          <cell r="N263">
            <v>6.9596142822525617E-2</v>
          </cell>
        </row>
        <row r="264">
          <cell r="M264">
            <v>45399</v>
          </cell>
          <cell r="N264">
            <v>0.39810978949278464</v>
          </cell>
        </row>
        <row r="265">
          <cell r="M265">
            <v>45399</v>
          </cell>
          <cell r="N265">
            <v>0.3071436452807737</v>
          </cell>
        </row>
        <row r="266">
          <cell r="M266">
            <v>45399</v>
          </cell>
          <cell r="N266">
            <v>7.8944073016128033E-2</v>
          </cell>
        </row>
        <row r="267">
          <cell r="M267">
            <v>45399</v>
          </cell>
          <cell r="N267">
            <v>3.9561120941118098E-2</v>
          </cell>
        </row>
        <row r="268">
          <cell r="M268">
            <v>45399</v>
          </cell>
          <cell r="N268">
            <v>0.34795902433450582</v>
          </cell>
        </row>
        <row r="269">
          <cell r="M269">
            <v>45399</v>
          </cell>
          <cell r="N269">
            <v>7.3906415397813244E-2</v>
          </cell>
        </row>
        <row r="270">
          <cell r="M270">
            <v>45399</v>
          </cell>
          <cell r="N270">
            <v>7.500003200598053E-2</v>
          </cell>
        </row>
        <row r="271">
          <cell r="M271">
            <v>45399</v>
          </cell>
          <cell r="N271">
            <v>6.6469764413952317E-2</v>
          </cell>
        </row>
        <row r="272">
          <cell r="M272">
            <v>45237</v>
          </cell>
          <cell r="N272">
            <v>3.6175904264218635</v>
          </cell>
        </row>
        <row r="273">
          <cell r="M273" t="str">
            <v>TN Std 1.00 mg/l</v>
          </cell>
          <cell r="N273">
            <v>95.446717759096302</v>
          </cell>
        </row>
        <row r="274">
          <cell r="N274">
            <v>0.94590565824204365</v>
          </cell>
        </row>
        <row r="275">
          <cell r="M275" t="str">
            <v>Identification</v>
          </cell>
        </row>
        <row r="276">
          <cell r="M276" t="str">
            <v>TN Std 0.10 mg/l</v>
          </cell>
        </row>
        <row r="277">
          <cell r="M277" t="str">
            <v>TN Std 0.50 mg/l</v>
          </cell>
        </row>
        <row r="278">
          <cell r="M278" t="str">
            <v>TN Std 1.00 mg/l</v>
          </cell>
        </row>
        <row r="279">
          <cell r="M279" t="str">
            <v>TN Std 2.50 mg/l</v>
          </cell>
        </row>
        <row r="280">
          <cell r="M280" t="str">
            <v>NN Std 5.00 mg/l</v>
          </cell>
        </row>
        <row r="281">
          <cell r="M281" t="str">
            <v>TN Std 1.00 mg/l</v>
          </cell>
          <cell r="N281">
            <v>0.89464336774765041</v>
          </cell>
        </row>
        <row r="282">
          <cell r="M282" t="str">
            <v>TN Std 1.25 mg/l</v>
          </cell>
          <cell r="N282">
            <v>1.3445361804401126</v>
          </cell>
        </row>
        <row r="283">
          <cell r="N283">
            <v>107.56289443520902</v>
          </cell>
        </row>
        <row r="284">
          <cell r="M284">
            <v>45300</v>
          </cell>
          <cell r="N284">
            <v>0.45033454073484869</v>
          </cell>
        </row>
        <row r="285">
          <cell r="M285">
            <v>45168</v>
          </cell>
          <cell r="N285">
            <v>0.44935934437582253</v>
          </cell>
        </row>
        <row r="286">
          <cell r="M286">
            <v>45168</v>
          </cell>
          <cell r="N286">
            <v>0.34772762214440373</v>
          </cell>
        </row>
        <row r="287">
          <cell r="M287">
            <v>45168</v>
          </cell>
          <cell r="N287">
            <v>0.78938041994701968</v>
          </cell>
        </row>
        <row r="288">
          <cell r="M288">
            <v>45307</v>
          </cell>
          <cell r="N288">
            <v>0.4879338889712902</v>
          </cell>
        </row>
        <row r="289">
          <cell r="M289">
            <v>45300</v>
          </cell>
          <cell r="N289">
            <v>2.4193626467111673</v>
          </cell>
        </row>
        <row r="290">
          <cell r="M290">
            <v>45307</v>
          </cell>
          <cell r="N290">
            <v>0.84502174096471905</v>
          </cell>
        </row>
        <row r="291">
          <cell r="M291">
            <v>45168</v>
          </cell>
          <cell r="N291">
            <v>0.41181926904902116</v>
          </cell>
        </row>
        <row r="292">
          <cell r="M292">
            <v>45168</v>
          </cell>
          <cell r="N292">
            <v>0.27675328062156507</v>
          </cell>
        </row>
        <row r="293">
          <cell r="M293">
            <v>45168</v>
          </cell>
          <cell r="N293">
            <v>0.37111515386027033</v>
          </cell>
        </row>
        <row r="294">
          <cell r="M294">
            <v>45168</v>
          </cell>
          <cell r="N294">
            <v>9.1818804782282187E-2</v>
          </cell>
        </row>
        <row r="295">
          <cell r="M295">
            <v>45168</v>
          </cell>
          <cell r="N295">
            <v>0.96030335976167691</v>
          </cell>
        </row>
        <row r="296">
          <cell r="M296">
            <v>45168</v>
          </cell>
          <cell r="N296">
            <v>0.59432836956830759</v>
          </cell>
        </row>
        <row r="297">
          <cell r="M297">
            <v>45168</v>
          </cell>
          <cell r="N297">
            <v>8.7830912965347271E-2</v>
          </cell>
        </row>
        <row r="298">
          <cell r="M298">
            <v>45168</v>
          </cell>
          <cell r="N298">
            <v>0.13279417462832074</v>
          </cell>
        </row>
        <row r="299">
          <cell r="M299">
            <v>45168</v>
          </cell>
          <cell r="N299">
            <v>0.20009649029465285</v>
          </cell>
        </row>
        <row r="300">
          <cell r="M300" t="str">
            <v>TN Std 1.00 mg/l</v>
          </cell>
          <cell r="N300">
            <v>106.4057069051606</v>
          </cell>
        </row>
        <row r="301">
          <cell r="N301">
            <v>1.0698430067018481</v>
          </cell>
        </row>
        <row r="302">
          <cell r="M302">
            <v>45168</v>
          </cell>
          <cell r="N302">
            <v>0.14553934533591353</v>
          </cell>
        </row>
        <row r="303">
          <cell r="M303">
            <v>45307</v>
          </cell>
          <cell r="N303">
            <v>0.62548316074791643</v>
          </cell>
        </row>
        <row r="304">
          <cell r="M304">
            <v>45181</v>
          </cell>
          <cell r="N304">
            <v>0.40066719544026747</v>
          </cell>
        </row>
        <row r="305">
          <cell r="M305">
            <v>45181</v>
          </cell>
          <cell r="N305">
            <v>0.34060751172289477</v>
          </cell>
        </row>
        <row r="306">
          <cell r="M306">
            <v>45181</v>
          </cell>
          <cell r="N306">
            <v>0.30163597930986308</v>
          </cell>
        </row>
        <row r="307">
          <cell r="M307">
            <v>45314</v>
          </cell>
          <cell r="N307">
            <v>0.57857639116247828</v>
          </cell>
        </row>
        <row r="308">
          <cell r="M308">
            <v>45314</v>
          </cell>
          <cell r="N308">
            <v>1.6704329066959998</v>
          </cell>
        </row>
        <row r="309">
          <cell r="M309">
            <v>45181</v>
          </cell>
          <cell r="N309">
            <v>0.30951362924177495</v>
          </cell>
        </row>
        <row r="310">
          <cell r="M310">
            <v>45182</v>
          </cell>
          <cell r="N310">
            <v>0.35509684943669928</v>
          </cell>
        </row>
        <row r="311">
          <cell r="M311">
            <v>45182</v>
          </cell>
          <cell r="N311">
            <v>0.29818727706746506</v>
          </cell>
        </row>
        <row r="312">
          <cell r="M312">
            <v>45182</v>
          </cell>
          <cell r="N312">
            <v>7.3826485674190367E-2</v>
          </cell>
        </row>
        <row r="313">
          <cell r="M313">
            <v>45182</v>
          </cell>
          <cell r="N313">
            <v>0.26848425897881928</v>
          </cell>
        </row>
        <row r="314">
          <cell r="M314">
            <v>45182</v>
          </cell>
          <cell r="N314">
            <v>0.39873267879175484</v>
          </cell>
        </row>
        <row r="315">
          <cell r="M315">
            <v>45182</v>
          </cell>
          <cell r="N315">
            <v>1.2096233334666353</v>
          </cell>
        </row>
        <row r="316">
          <cell r="M316">
            <v>45182</v>
          </cell>
          <cell r="N316">
            <v>0.13261117272129405</v>
          </cell>
        </row>
        <row r="317">
          <cell r="M317">
            <v>45182</v>
          </cell>
          <cell r="N317">
            <v>0.26935066947078595</v>
          </cell>
        </row>
        <row r="318">
          <cell r="M318" t="str">
            <v>TN Std 1.00 mg/l</v>
          </cell>
          <cell r="N318">
            <v>105.96605821191143</v>
          </cell>
        </row>
        <row r="319">
          <cell r="N319">
            <v>1.06185882558536</v>
          </cell>
        </row>
        <row r="320">
          <cell r="M320">
            <v>45182</v>
          </cell>
          <cell r="N320">
            <v>0.10500329587269057</v>
          </cell>
        </row>
        <row r="321">
          <cell r="M321">
            <v>45182</v>
          </cell>
          <cell r="N321">
            <v>0.10399759027765546</v>
          </cell>
        </row>
        <row r="322">
          <cell r="M322">
            <v>45314</v>
          </cell>
          <cell r="N322">
            <v>0.48116274682028254</v>
          </cell>
        </row>
        <row r="323">
          <cell r="M323">
            <v>45188</v>
          </cell>
          <cell r="N323">
            <v>0.42298745946490596</v>
          </cell>
        </row>
        <row r="324">
          <cell r="M324">
            <v>45188</v>
          </cell>
          <cell r="N324">
            <v>0.34987785978783809</v>
          </cell>
        </row>
        <row r="325">
          <cell r="M325">
            <v>45188</v>
          </cell>
          <cell r="N325">
            <v>1.3169670287454425</v>
          </cell>
        </row>
        <row r="326">
          <cell r="M326">
            <v>45321</v>
          </cell>
          <cell r="N326">
            <v>0.88282273986374327</v>
          </cell>
        </row>
        <row r="327">
          <cell r="M327">
            <v>45189</v>
          </cell>
          <cell r="N327">
            <v>0.31430921796119554</v>
          </cell>
        </row>
        <row r="328">
          <cell r="M328">
            <v>45321</v>
          </cell>
          <cell r="N328">
            <v>0.5011090087521789</v>
          </cell>
        </row>
        <row r="329">
          <cell r="M329">
            <v>45279</v>
          </cell>
          <cell r="N329">
            <v>0.4848088566077563</v>
          </cell>
        </row>
        <row r="330">
          <cell r="M330">
            <v>45279</v>
          </cell>
          <cell r="N330">
            <v>0.4140555015335815</v>
          </cell>
        </row>
        <row r="331">
          <cell r="M331">
            <v>45279</v>
          </cell>
          <cell r="N331">
            <v>0.30078907940671146</v>
          </cell>
        </row>
        <row r="332">
          <cell r="M332">
            <v>45321</v>
          </cell>
          <cell r="N332">
            <v>0.68594394147693705</v>
          </cell>
        </row>
        <row r="333">
          <cell r="M333">
            <v>45321</v>
          </cell>
          <cell r="N333">
            <v>2.2050194826634995</v>
          </cell>
        </row>
        <row r="334">
          <cell r="M334">
            <v>45280</v>
          </cell>
          <cell r="N334">
            <v>0.41070900211993455</v>
          </cell>
        </row>
        <row r="335">
          <cell r="M335">
            <v>45280</v>
          </cell>
          <cell r="N335">
            <v>0.48038548435026357</v>
          </cell>
        </row>
        <row r="336">
          <cell r="M336" t="str">
            <v>TN Std 1.00 mg/l</v>
          </cell>
          <cell r="N336">
            <v>98.93079446096867</v>
          </cell>
        </row>
        <row r="337">
          <cell r="N337">
            <v>1.0244842633644005</v>
          </cell>
        </row>
        <row r="338">
          <cell r="M338">
            <v>45280</v>
          </cell>
          <cell r="N338">
            <v>0.39294927497236348</v>
          </cell>
        </row>
        <row r="339">
          <cell r="M339">
            <v>45280</v>
          </cell>
          <cell r="N339">
            <v>9.1148445274597048E-2</v>
          </cell>
        </row>
        <row r="340">
          <cell r="M340">
            <v>45280</v>
          </cell>
          <cell r="N340">
            <v>0.65562923945821416</v>
          </cell>
        </row>
        <row r="341">
          <cell r="M341">
            <v>45280</v>
          </cell>
          <cell r="N341">
            <v>0.64272420729768076</v>
          </cell>
        </row>
        <row r="342">
          <cell r="M342">
            <v>45280</v>
          </cell>
          <cell r="N342">
            <v>7.778740406109666E-2</v>
          </cell>
        </row>
        <row r="343">
          <cell r="M343">
            <v>45280</v>
          </cell>
          <cell r="N343">
            <v>0.43774753702822949</v>
          </cell>
        </row>
        <row r="344">
          <cell r="M344">
            <v>45280</v>
          </cell>
          <cell r="N344">
            <v>6.6559052524941001E-2</v>
          </cell>
        </row>
        <row r="345">
          <cell r="M345">
            <v>45280</v>
          </cell>
          <cell r="N345">
            <v>0.15982336057455929</v>
          </cell>
        </row>
        <row r="346">
          <cell r="M346">
            <v>45287</v>
          </cell>
          <cell r="N346">
            <v>0.77426683352144487</v>
          </cell>
        </row>
        <row r="347">
          <cell r="M347">
            <v>45287</v>
          </cell>
          <cell r="N347">
            <v>0.12475128844599773</v>
          </cell>
        </row>
        <row r="348">
          <cell r="M348">
            <v>45287</v>
          </cell>
          <cell r="N348">
            <v>0.35110798042337493</v>
          </cell>
        </row>
        <row r="349">
          <cell r="M349">
            <v>45287</v>
          </cell>
          <cell r="N349">
            <v>0.12239239712456131</v>
          </cell>
        </row>
        <row r="350">
          <cell r="M350">
            <v>45287</v>
          </cell>
          <cell r="N350">
            <v>9.262945306338434E-2</v>
          </cell>
        </row>
        <row r="351">
          <cell r="M351">
            <v>45328</v>
          </cell>
          <cell r="N351">
            <v>0.51571149270550354</v>
          </cell>
        </row>
        <row r="352">
          <cell r="M352">
            <v>45300</v>
          </cell>
          <cell r="N352">
            <v>0.47981142745652605</v>
          </cell>
        </row>
        <row r="353">
          <cell r="M353">
            <v>45300</v>
          </cell>
          <cell r="N353">
            <v>0.40770839138462817</v>
          </cell>
        </row>
        <row r="354">
          <cell r="M354" t="str">
            <v>TN Std 1.00 mg/l</v>
          </cell>
          <cell r="N354">
            <v>100.61186094000949</v>
          </cell>
        </row>
        <row r="355">
          <cell r="N355">
            <v>0.99771327700489076</v>
          </cell>
        </row>
        <row r="356">
          <cell r="M356">
            <v>45300</v>
          </cell>
          <cell r="N356">
            <v>9.155727263735546</v>
          </cell>
        </row>
        <row r="357">
          <cell r="M357">
            <v>45328</v>
          </cell>
          <cell r="N357">
            <v>0.40948267291215878</v>
          </cell>
        </row>
        <row r="358">
          <cell r="M358">
            <v>45321</v>
          </cell>
          <cell r="N358">
            <v>6.1291757891068546</v>
          </cell>
        </row>
        <row r="359">
          <cell r="M359">
            <v>45321</v>
          </cell>
          <cell r="N359">
            <v>5.7781342216195997</v>
          </cell>
        </row>
        <row r="360">
          <cell r="M360">
            <v>45301</v>
          </cell>
          <cell r="N360">
            <v>0.46568281634838343</v>
          </cell>
        </row>
        <row r="361">
          <cell r="M361">
            <v>45301</v>
          </cell>
          <cell r="N361">
            <v>0.61800707455651349</v>
          </cell>
        </row>
        <row r="362">
          <cell r="M362">
            <v>45301</v>
          </cell>
          <cell r="N362">
            <v>0.37132411211780308</v>
          </cell>
        </row>
        <row r="363">
          <cell r="M363">
            <v>45301</v>
          </cell>
          <cell r="N363">
            <v>6.919974116734677E-2</v>
          </cell>
        </row>
        <row r="364">
          <cell r="M364">
            <v>45301</v>
          </cell>
          <cell r="N364">
            <v>5.4646610512635574</v>
          </cell>
        </row>
        <row r="365">
          <cell r="M365">
            <v>45301</v>
          </cell>
          <cell r="N365">
            <v>3.1858560519440791</v>
          </cell>
        </row>
        <row r="366">
          <cell r="M366">
            <v>45301</v>
          </cell>
          <cell r="N366">
            <v>0.38384507085133579</v>
          </cell>
        </row>
        <row r="367">
          <cell r="M367">
            <v>45301</v>
          </cell>
          <cell r="N367">
            <v>6.9036461344002098E-2</v>
          </cell>
        </row>
        <row r="368">
          <cell r="M368">
            <v>45301</v>
          </cell>
          <cell r="N368">
            <v>6.5685939901926282E-2</v>
          </cell>
        </row>
        <row r="369">
          <cell r="M369">
            <v>45301</v>
          </cell>
          <cell r="N369">
            <v>6.9496370235390251E-2</v>
          </cell>
        </row>
        <row r="370">
          <cell r="M370">
            <v>45301</v>
          </cell>
          <cell r="N370">
            <v>9.2381095997611268E-2</v>
          </cell>
        </row>
        <row r="371">
          <cell r="M371">
            <v>45328</v>
          </cell>
          <cell r="N371">
            <v>1.099724599386908</v>
          </cell>
        </row>
        <row r="372">
          <cell r="M372" t="str">
            <v>TN Std 1.00 mg/l</v>
          </cell>
          <cell r="N372">
            <v>96.508678663178642</v>
          </cell>
        </row>
        <row r="373">
          <cell r="N373">
            <v>0.98560269801594069</v>
          </cell>
        </row>
        <row r="374">
          <cell r="M374" t="str">
            <v>Identification</v>
          </cell>
        </row>
        <row r="375">
          <cell r="M375" t="str">
            <v>TN Std 0.10 mg/l</v>
          </cell>
        </row>
        <row r="376">
          <cell r="M376" t="str">
            <v>TN Std 0.25 mg/l</v>
          </cell>
        </row>
        <row r="377">
          <cell r="M377" t="str">
            <v>TN Std 0.50 mg/l</v>
          </cell>
        </row>
        <row r="378">
          <cell r="M378" t="str">
            <v>TN Std 1.00 mg/l</v>
          </cell>
        </row>
        <row r="379">
          <cell r="M379" t="str">
            <v>TN Std 2.50 mg/l</v>
          </cell>
        </row>
        <row r="380">
          <cell r="M380" t="str">
            <v>NN Std 5.00 mg/l</v>
          </cell>
        </row>
        <row r="381">
          <cell r="M381" t="str">
            <v>TN Std 1.00 mg/l</v>
          </cell>
          <cell r="N381">
            <v>0.95920579766787673</v>
          </cell>
        </row>
        <row r="382">
          <cell r="M382" t="str">
            <v>TN Std 1.25 mg/l</v>
          </cell>
          <cell r="N382">
            <v>1.4438992364084218</v>
          </cell>
        </row>
        <row r="383">
          <cell r="M383" t="str">
            <v>TN Std 1.25 mg/l</v>
          </cell>
          <cell r="N383">
            <v>1.3162008204779794</v>
          </cell>
        </row>
        <row r="384">
          <cell r="N384">
            <v>105.29606563823835</v>
          </cell>
        </row>
        <row r="385">
          <cell r="M385">
            <v>45455</v>
          </cell>
          <cell r="N385">
            <v>1.3908837165802193</v>
          </cell>
        </row>
        <row r="386">
          <cell r="M386">
            <v>45455</v>
          </cell>
          <cell r="N386">
            <v>0.29917645317317204</v>
          </cell>
        </row>
        <row r="387">
          <cell r="M387">
            <v>45455</v>
          </cell>
          <cell r="N387">
            <v>0.32157106920254203</v>
          </cell>
        </row>
        <row r="388">
          <cell r="M388">
            <v>45455</v>
          </cell>
          <cell r="N388">
            <v>0.28618673446676252</v>
          </cell>
        </row>
        <row r="389">
          <cell r="M389">
            <v>45455</v>
          </cell>
          <cell r="N389">
            <v>8.4359570776112502E-2</v>
          </cell>
        </row>
        <row r="390">
          <cell r="M390">
            <v>45455</v>
          </cell>
          <cell r="N390">
            <v>3.8946924815653469E-2</v>
          </cell>
        </row>
        <row r="391">
          <cell r="M391">
            <v>45455</v>
          </cell>
          <cell r="N391">
            <v>0.48788216694755887</v>
          </cell>
        </row>
        <row r="392">
          <cell r="M392">
            <v>45455</v>
          </cell>
          <cell r="N392">
            <v>0.33032859429932188</v>
          </cell>
        </row>
        <row r="393">
          <cell r="M393">
            <v>45455</v>
          </cell>
          <cell r="N393">
            <v>7.0439673745459785E-2</v>
          </cell>
        </row>
        <row r="394">
          <cell r="M394">
            <v>45455</v>
          </cell>
          <cell r="N394">
            <v>7.2395044006107676E-2</v>
          </cell>
        </row>
        <row r="395">
          <cell r="M395">
            <v>45455</v>
          </cell>
          <cell r="N395">
            <v>4.5409421028349183E-2</v>
          </cell>
        </row>
        <row r="396">
          <cell r="M396">
            <v>45462</v>
          </cell>
          <cell r="N396">
            <v>0.39807383615182063</v>
          </cell>
        </row>
        <row r="397">
          <cell r="M397" t="str">
            <v>TN Std 1.00 mg/l</v>
          </cell>
          <cell r="N397">
            <v>97.349040392693936</v>
          </cell>
        </row>
        <row r="398">
          <cell r="N398">
            <v>1.0132255301546613</v>
          </cell>
        </row>
        <row r="399">
          <cell r="M399">
            <v>45462</v>
          </cell>
          <cell r="N399">
            <v>0.37885102546038041</v>
          </cell>
        </row>
        <row r="400">
          <cell r="M400">
            <v>45462</v>
          </cell>
          <cell r="N400">
            <v>0.48320634331882467</v>
          </cell>
        </row>
        <row r="401">
          <cell r="M401">
            <v>45462</v>
          </cell>
          <cell r="N401">
            <v>5.5394547682747083E-2</v>
          </cell>
        </row>
        <row r="402">
          <cell r="M402">
            <v>45462</v>
          </cell>
          <cell r="N402">
            <v>0.67531506088904225</v>
          </cell>
        </row>
        <row r="403">
          <cell r="M403">
            <v>45462</v>
          </cell>
          <cell r="N403">
            <v>0.45927492561980032</v>
          </cell>
        </row>
        <row r="404">
          <cell r="M404">
            <v>45462</v>
          </cell>
          <cell r="N404">
            <v>7.3176182085456468E-2</v>
          </cell>
        </row>
        <row r="405">
          <cell r="M405">
            <v>45462</v>
          </cell>
          <cell r="N405">
            <v>6.5287474006570007E-2</v>
          </cell>
        </row>
        <row r="406">
          <cell r="M406">
            <v>45469</v>
          </cell>
          <cell r="N406">
            <v>0.58505424041051401</v>
          </cell>
        </row>
        <row r="407">
          <cell r="M407">
            <v>45469</v>
          </cell>
          <cell r="N407">
            <v>0.34556068493465214</v>
          </cell>
        </row>
        <row r="408">
          <cell r="M408">
            <v>45469</v>
          </cell>
          <cell r="N408">
            <v>0.38024610930726466</v>
          </cell>
        </row>
        <row r="409">
          <cell r="M409">
            <v>45469</v>
          </cell>
          <cell r="N409">
            <v>0.27709489386903841</v>
          </cell>
        </row>
        <row r="410">
          <cell r="M410">
            <v>45469</v>
          </cell>
          <cell r="N410">
            <v>8.4022973740448981E-2</v>
          </cell>
        </row>
        <row r="411">
          <cell r="M411" t="str">
            <v>TN Std 1.00 mg/l</v>
          </cell>
          <cell r="N411">
            <v>98.413193019434232</v>
          </cell>
        </row>
        <row r="412">
          <cell r="N412">
            <v>0.97881116706064086</v>
          </cell>
        </row>
        <row r="413">
          <cell r="M413">
            <v>45469</v>
          </cell>
          <cell r="N413">
            <v>1.0242131039575875E-2</v>
          </cell>
        </row>
        <row r="414">
          <cell r="M414">
            <v>45469</v>
          </cell>
          <cell r="N414">
            <v>0.72596469673567166</v>
          </cell>
        </row>
        <row r="415">
          <cell r="M415">
            <v>45469</v>
          </cell>
          <cell r="N415">
            <v>0.45603335123320282</v>
          </cell>
        </row>
        <row r="416">
          <cell r="M416">
            <v>45469</v>
          </cell>
          <cell r="N416">
            <v>5.2858076230250989E-2</v>
          </cell>
        </row>
        <row r="417">
          <cell r="M417">
            <v>45469</v>
          </cell>
          <cell r="N417">
            <v>4.3610622591693411E-2</v>
          </cell>
        </row>
        <row r="418">
          <cell r="M418">
            <v>45469</v>
          </cell>
          <cell r="N418">
            <v>7.0982689318539988E-2</v>
          </cell>
        </row>
        <row r="419">
          <cell r="M419">
            <v>45469</v>
          </cell>
          <cell r="N419">
            <v>6.2523708318287408E-2</v>
          </cell>
        </row>
        <row r="420">
          <cell r="M420">
            <v>45476</v>
          </cell>
          <cell r="N420">
            <v>0.35409232391592088</v>
          </cell>
        </row>
        <row r="421">
          <cell r="M421">
            <v>45476</v>
          </cell>
          <cell r="N421">
            <v>0.46070225219943928</v>
          </cell>
        </row>
        <row r="422">
          <cell r="M422">
            <v>45476</v>
          </cell>
          <cell r="N422">
            <v>0.57213395500258057</v>
          </cell>
        </row>
        <row r="423">
          <cell r="M423">
            <v>45476</v>
          </cell>
          <cell r="N423">
            <v>0.87330506700136301</v>
          </cell>
        </row>
        <row r="424">
          <cell r="M424">
            <v>45476</v>
          </cell>
          <cell r="N424">
            <v>0.43661844846506698</v>
          </cell>
        </row>
        <row r="425">
          <cell r="M425" t="str">
            <v>TN Std 1.00 mg/l</v>
          </cell>
          <cell r="N425">
            <v>93.544169427304809</v>
          </cell>
        </row>
        <row r="426">
          <cell r="N426">
            <v>0.95978681223369522</v>
          </cell>
        </row>
        <row r="427">
          <cell r="M427">
            <v>45476</v>
          </cell>
          <cell r="N427">
            <v>0.10859843874090833</v>
          </cell>
        </row>
        <row r="428">
          <cell r="M428">
            <v>45476</v>
          </cell>
          <cell r="N428">
            <v>2.9374091542391761E-2</v>
          </cell>
        </row>
        <row r="429">
          <cell r="M429">
            <v>45476</v>
          </cell>
          <cell r="N429">
            <v>6.6751362121135693E-2</v>
          </cell>
        </row>
        <row r="430">
          <cell r="M430">
            <v>45483</v>
          </cell>
          <cell r="N430">
            <v>1.0076206929192</v>
          </cell>
        </row>
        <row r="431">
          <cell r="M431">
            <v>45483</v>
          </cell>
          <cell r="N431">
            <v>0.35683402851498724</v>
          </cell>
        </row>
        <row r="432">
          <cell r="M432">
            <v>45483</v>
          </cell>
          <cell r="N432">
            <v>0.43290878280401501</v>
          </cell>
        </row>
        <row r="433">
          <cell r="M433">
            <v>45483</v>
          </cell>
          <cell r="N433">
            <v>5.2517001292928883E-2</v>
          </cell>
        </row>
        <row r="434">
          <cell r="M434">
            <v>45483</v>
          </cell>
          <cell r="N434">
            <v>9.6608890386589777E-2</v>
          </cell>
        </row>
        <row r="435">
          <cell r="M435">
            <v>45483</v>
          </cell>
          <cell r="N435">
            <v>0.78896927470194256</v>
          </cell>
        </row>
        <row r="436">
          <cell r="M436">
            <v>45483</v>
          </cell>
          <cell r="N436">
            <v>0.38624484011439769</v>
          </cell>
        </row>
        <row r="437">
          <cell r="M437">
            <v>45483</v>
          </cell>
          <cell r="N437">
            <v>2.7304071593686773E-3</v>
          </cell>
        </row>
        <row r="438">
          <cell r="M438">
            <v>45483</v>
          </cell>
          <cell r="N438">
            <v>3.0907614373282457E-2</v>
          </cell>
        </row>
        <row r="439">
          <cell r="M439" t="str">
            <v>TN Std 1.00 mg/l</v>
          </cell>
          <cell r="N439">
            <v>89.115859230618653</v>
          </cell>
        </row>
        <row r="440">
          <cell r="N440">
            <v>0.91330014328961739</v>
          </cell>
        </row>
        <row r="441">
          <cell r="M441">
            <v>45490</v>
          </cell>
          <cell r="N441">
            <v>1.5205768267293807</v>
          </cell>
        </row>
        <row r="442">
          <cell r="M442">
            <v>45490</v>
          </cell>
          <cell r="N442">
            <v>0.45170985106998951</v>
          </cell>
        </row>
        <row r="443">
          <cell r="M443">
            <v>45490</v>
          </cell>
          <cell r="N443">
            <v>0.48265763350441693</v>
          </cell>
        </row>
        <row r="444">
          <cell r="M444">
            <v>45490</v>
          </cell>
          <cell r="N444">
            <v>2.8999467496670346</v>
          </cell>
        </row>
        <row r="445">
          <cell r="M445">
            <v>45490</v>
          </cell>
          <cell r="N445">
            <v>0.44054101480808439</v>
          </cell>
        </row>
        <row r="446">
          <cell r="M446">
            <v>45490</v>
          </cell>
          <cell r="N446">
            <v>7.4986138752287879E-2</v>
          </cell>
        </row>
        <row r="447">
          <cell r="M447">
            <v>45497</v>
          </cell>
          <cell r="N447">
            <v>1.2268479269181571</v>
          </cell>
        </row>
        <row r="448">
          <cell r="M448">
            <v>45497</v>
          </cell>
          <cell r="N448">
            <v>1.1324002157423785</v>
          </cell>
        </row>
        <row r="449">
          <cell r="M449">
            <v>45497</v>
          </cell>
          <cell r="N449">
            <v>0.42579482690005338</v>
          </cell>
        </row>
        <row r="450">
          <cell r="M450">
            <v>45497</v>
          </cell>
          <cell r="N450">
            <v>0.26201186976949647</v>
          </cell>
        </row>
        <row r="451">
          <cell r="M451">
            <v>45497</v>
          </cell>
          <cell r="N451">
            <v>3.0343841268841636E-2</v>
          </cell>
        </row>
        <row r="452">
          <cell r="M452">
            <v>45497</v>
          </cell>
          <cell r="N452">
            <v>-3.5348084525895662E-2</v>
          </cell>
        </row>
        <row r="453">
          <cell r="M453">
            <v>45497</v>
          </cell>
          <cell r="N453">
            <v>5.9154205265898332E-2</v>
          </cell>
        </row>
        <row r="454">
          <cell r="M454" t="str">
            <v>TN Std 1.00 mg/l</v>
          </cell>
          <cell r="N454">
            <v>87.963989789777145</v>
          </cell>
        </row>
        <row r="455">
          <cell r="N455">
            <v>0.88539924510197887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8"/>
  <sheetViews>
    <sheetView zoomScale="70" zoomScaleNormal="70" workbookViewId="0">
      <pane xSplit="5" ySplit="2" topLeftCell="V148" activePane="bottomRight" state="frozen"/>
      <selection pane="topRight" activeCell="F1" sqref="F1"/>
      <selection pane="bottomLeft" activeCell="A3" sqref="A3"/>
      <selection pane="bottomRight" activeCell="AK169" sqref="AK169"/>
    </sheetView>
  </sheetViews>
  <sheetFormatPr defaultColWidth="10" defaultRowHeight="15.6"/>
  <cols>
    <col min="1" max="1" width="11.21875" style="13" customWidth="1"/>
    <col min="2" max="2" width="14.21875" style="13" customWidth="1"/>
    <col min="3" max="3" width="6.88671875" style="13" bestFit="1" customWidth="1"/>
    <col min="4" max="4" width="15.218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7.21875" style="18" customWidth="1"/>
    <col min="24" max="24" width="8.88671875" style="19" customWidth="1"/>
    <col min="25" max="25" width="21.88671875" style="19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149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150</v>
      </c>
      <c r="V1" s="8" t="s">
        <v>12</v>
      </c>
      <c r="W1" s="8" t="s">
        <v>138</v>
      </c>
      <c r="X1" s="1" t="s">
        <v>143</v>
      </c>
      <c r="Y1" s="1" t="s">
        <v>13</v>
      </c>
      <c r="Z1" s="1" t="s">
        <v>14</v>
      </c>
      <c r="AA1" s="1" t="s">
        <v>141</v>
      </c>
      <c r="AB1" s="1" t="s">
        <v>140</v>
      </c>
      <c r="AC1" s="1" t="s">
        <v>140</v>
      </c>
      <c r="AD1" s="1" t="s">
        <v>140</v>
      </c>
      <c r="AE1" s="1" t="s">
        <v>140</v>
      </c>
      <c r="AF1" s="1" t="s">
        <v>140</v>
      </c>
      <c r="AG1" s="1" t="s">
        <v>140</v>
      </c>
      <c r="AH1" s="1" t="s">
        <v>140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12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</row>
    <row r="3" spans="1:36">
      <c r="A3" s="13" t="s">
        <v>151</v>
      </c>
      <c r="B3" s="13" t="s">
        <v>49</v>
      </c>
      <c r="C3" s="13">
        <v>1</v>
      </c>
      <c r="D3" s="14">
        <v>44558</v>
      </c>
      <c r="E3" s="14">
        <v>44565</v>
      </c>
      <c r="P3" s="18">
        <v>6.4600000000000005E-2</v>
      </c>
      <c r="Q3" s="18">
        <v>4.7504108424034088</v>
      </c>
      <c r="R3" s="18" t="s">
        <v>50</v>
      </c>
      <c r="S3" s="18" t="s">
        <v>50</v>
      </c>
      <c r="T3" s="18">
        <v>1.8224870454095641</v>
      </c>
      <c r="U3" s="18"/>
      <c r="V3" s="18" t="s">
        <v>50</v>
      </c>
      <c r="Z3" s="20">
        <v>-3.7999357638907849</v>
      </c>
      <c r="AA3" s="10">
        <v>-0.22502663258477451</v>
      </c>
      <c r="AB3" s="21">
        <v>2.7624504812751298</v>
      </c>
      <c r="AC3" s="18">
        <v>0.36258767989684132</v>
      </c>
      <c r="AD3" s="21">
        <v>0.38529982255209871</v>
      </c>
      <c r="AE3" s="18">
        <v>0.44989893075106879</v>
      </c>
      <c r="AF3" s="18" t="s">
        <v>51</v>
      </c>
      <c r="AG3" s="21"/>
      <c r="AH3" s="21">
        <v>8.9232684887751365E-2</v>
      </c>
      <c r="AI3" s="19"/>
      <c r="AJ3" s="19"/>
    </row>
    <row r="4" spans="1:36">
      <c r="A4" s="13" t="s">
        <v>151</v>
      </c>
      <c r="B4" s="13" t="s">
        <v>49</v>
      </c>
      <c r="C4" s="13">
        <v>2</v>
      </c>
      <c r="D4" s="14">
        <v>44565</v>
      </c>
      <c r="E4" s="14">
        <v>44572</v>
      </c>
      <c r="P4" s="18">
        <v>8.3000000000000004E-2</v>
      </c>
      <c r="Q4" s="18">
        <v>1.256112976892005</v>
      </c>
      <c r="R4" s="18" t="s">
        <v>50</v>
      </c>
      <c r="S4" s="18">
        <v>2.626235747602838E-2</v>
      </c>
      <c r="T4" s="18">
        <v>0.42113333394852592</v>
      </c>
      <c r="U4" s="18"/>
      <c r="V4" s="18" t="s">
        <v>50</v>
      </c>
      <c r="Z4" s="20">
        <v>-4.470406905241048</v>
      </c>
      <c r="AA4" s="10">
        <v>-8.1649233231379341</v>
      </c>
      <c r="AB4" s="17">
        <v>1.8936129604141121</v>
      </c>
      <c r="AC4" s="18">
        <v>0.139577544213251</v>
      </c>
      <c r="AD4" s="21">
        <v>8.1233112507597072E-2</v>
      </c>
      <c r="AE4" s="21">
        <v>0.20204421772432871</v>
      </c>
      <c r="AF4" s="21" t="s">
        <v>51</v>
      </c>
      <c r="AG4" s="21"/>
      <c r="AH4" s="21">
        <v>0.21228216064192509</v>
      </c>
    </row>
    <row r="5" spans="1:36">
      <c r="A5" s="13" t="s">
        <v>151</v>
      </c>
      <c r="B5" s="13" t="s">
        <v>49</v>
      </c>
      <c r="C5" s="13">
        <v>3</v>
      </c>
      <c r="D5" s="14">
        <v>44572</v>
      </c>
      <c r="E5" s="14">
        <v>44579</v>
      </c>
      <c r="P5" s="18" t="s">
        <v>50</v>
      </c>
      <c r="Q5" s="18">
        <v>2.1334437557419319</v>
      </c>
      <c r="R5" s="18" t="s">
        <v>50</v>
      </c>
      <c r="S5" s="18">
        <v>8.4390700934801596E-2</v>
      </c>
      <c r="T5" s="18">
        <v>1.0481736418853831</v>
      </c>
      <c r="U5" s="18"/>
      <c r="V5" s="18" t="s">
        <v>50</v>
      </c>
      <c r="Z5" s="20">
        <v>-5.1205508041640648</v>
      </c>
      <c r="AA5" s="10">
        <v>-13.40740185050362</v>
      </c>
      <c r="AB5" s="17">
        <v>1.734380186365124</v>
      </c>
      <c r="AC5" s="18">
        <v>0.32762040243156348</v>
      </c>
      <c r="AD5" s="21">
        <v>0.21791301106555391</v>
      </c>
      <c r="AE5" s="21">
        <v>0.38824229476419342</v>
      </c>
      <c r="AF5" s="21" t="s">
        <v>51</v>
      </c>
      <c r="AG5" s="21"/>
      <c r="AH5" s="21">
        <v>0.1077469389522609</v>
      </c>
    </row>
    <row r="6" spans="1:36">
      <c r="A6" s="13" t="s">
        <v>48</v>
      </c>
      <c r="B6" s="13" t="s">
        <v>49</v>
      </c>
      <c r="C6" s="13">
        <v>4</v>
      </c>
      <c r="D6" s="14">
        <v>44579</v>
      </c>
      <c r="E6" s="14">
        <v>44585</v>
      </c>
      <c r="P6" s="18" t="s">
        <v>50</v>
      </c>
      <c r="Q6" s="18">
        <v>0.36497431721942258</v>
      </c>
      <c r="R6" s="18" t="s">
        <v>50</v>
      </c>
      <c r="S6" s="18">
        <v>4.107115229300848E-3</v>
      </c>
      <c r="T6" s="18">
        <v>0.30389504206116041</v>
      </c>
      <c r="U6" s="18"/>
      <c r="V6" s="18" t="s">
        <v>50</v>
      </c>
      <c r="Z6" s="20">
        <v>-5.4211972768379972</v>
      </c>
      <c r="AA6" s="10">
        <v>-12.904001242642201</v>
      </c>
      <c r="AB6" s="17">
        <v>0.5858918632946899</v>
      </c>
      <c r="AC6" s="18">
        <v>2.4902708977561191E-2</v>
      </c>
      <c r="AD6" s="21">
        <v>3.6656773235805268E-2</v>
      </c>
      <c r="AE6" s="21">
        <v>0.1043014017571179</v>
      </c>
      <c r="AF6" s="21" t="s">
        <v>51</v>
      </c>
      <c r="AG6" s="21"/>
      <c r="AH6" s="21">
        <v>5.2123072088004992E-2</v>
      </c>
    </row>
    <row r="7" spans="1:36" s="25" customFormat="1" ht="16.2">
      <c r="A7" s="22" t="s">
        <v>48</v>
      </c>
      <c r="B7" s="22" t="s">
        <v>49</v>
      </c>
      <c r="C7" s="22">
        <v>5</v>
      </c>
      <c r="D7" s="23">
        <v>44585</v>
      </c>
      <c r="E7" s="23">
        <v>44591</v>
      </c>
      <c r="F7" s="24"/>
      <c r="K7" s="26"/>
      <c r="M7" s="22"/>
      <c r="N7" s="22"/>
      <c r="O7" s="22"/>
      <c r="P7" s="27">
        <v>2.64E-2</v>
      </c>
      <c r="Q7" s="27">
        <v>0.59128174895725194</v>
      </c>
      <c r="R7" s="27" t="s">
        <v>50</v>
      </c>
      <c r="S7" s="27">
        <v>1.574812199998735E-2</v>
      </c>
      <c r="T7" s="27">
        <v>0.20544460952084609</v>
      </c>
      <c r="U7" s="27"/>
      <c r="V7" s="27" t="s">
        <v>50</v>
      </c>
      <c r="W7" s="27"/>
      <c r="X7" s="28"/>
      <c r="Y7" s="28"/>
      <c r="Z7" s="26">
        <v>-4.2671344809685978</v>
      </c>
      <c r="AA7" s="29">
        <v>-11.310932436299129</v>
      </c>
      <c r="AB7" s="26">
        <v>0.63923841479738952</v>
      </c>
      <c r="AC7" s="30">
        <v>5.1537624691745422E-2</v>
      </c>
      <c r="AD7" s="30">
        <v>0.10852092298909929</v>
      </c>
      <c r="AE7" s="30">
        <v>0.17388550017074519</v>
      </c>
      <c r="AF7" s="30" t="s">
        <v>51</v>
      </c>
      <c r="AG7" s="30"/>
      <c r="AH7" s="30">
        <v>8.8822434831644287E-2</v>
      </c>
      <c r="AI7" s="31"/>
      <c r="AJ7" s="26"/>
    </row>
    <row r="8" spans="1:36">
      <c r="A8" s="13" t="s">
        <v>152</v>
      </c>
      <c r="B8" s="13" t="s">
        <v>49</v>
      </c>
      <c r="C8" s="13">
        <v>6</v>
      </c>
      <c r="D8" s="14">
        <v>44591</v>
      </c>
      <c r="E8" s="14">
        <v>44599</v>
      </c>
      <c r="P8" s="18" t="s">
        <v>50</v>
      </c>
      <c r="Q8" s="18">
        <v>1.916632808633673</v>
      </c>
      <c r="R8" s="18" t="s">
        <v>50</v>
      </c>
      <c r="S8" s="18">
        <v>1.443405562494678E-2</v>
      </c>
      <c r="T8" s="18">
        <v>0.74961950357699902</v>
      </c>
      <c r="U8" s="18"/>
      <c r="V8" s="18" t="s">
        <v>50</v>
      </c>
      <c r="Z8" s="20">
        <v>-4.696629441931357</v>
      </c>
      <c r="AA8" s="10">
        <v>-8.0164804996920811</v>
      </c>
      <c r="AB8" s="17">
        <v>1.2430212835417811</v>
      </c>
      <c r="AC8" s="18">
        <v>0.15576187637349151</v>
      </c>
      <c r="AD8" s="21">
        <v>0.12609800946728331</v>
      </c>
      <c r="AE8" s="21">
        <v>0.44755201904008612</v>
      </c>
      <c r="AF8" s="21" t="s">
        <v>51</v>
      </c>
      <c r="AG8" s="21"/>
      <c r="AH8" s="21">
        <v>9.1073383474907607E-2</v>
      </c>
    </row>
    <row r="9" spans="1:36" ht="16.2">
      <c r="A9" s="13" t="s">
        <v>152</v>
      </c>
      <c r="B9" s="32" t="s">
        <v>153</v>
      </c>
      <c r="C9" s="13">
        <v>7</v>
      </c>
      <c r="D9" s="14">
        <v>44599</v>
      </c>
      <c r="E9" s="14">
        <v>44607</v>
      </c>
      <c r="P9" s="18" t="s">
        <v>50</v>
      </c>
      <c r="Q9" s="18">
        <v>0.57397366373894143</v>
      </c>
      <c r="R9" s="18" t="s">
        <v>50</v>
      </c>
      <c r="S9" s="18">
        <v>1.124249634236796E-2</v>
      </c>
      <c r="T9" s="18">
        <v>0.12802242784203571</v>
      </c>
      <c r="U9" s="18"/>
      <c r="V9" s="18" t="s">
        <v>50</v>
      </c>
      <c r="Z9" s="20">
        <v>-5.155303831539678</v>
      </c>
      <c r="AA9" s="10">
        <v>-20.08537141778524</v>
      </c>
      <c r="AB9" s="17">
        <v>0.6039556357802407</v>
      </c>
      <c r="AC9" s="18">
        <v>5.1695325275013859E-2</v>
      </c>
      <c r="AD9" s="21">
        <v>8.5227149791352028E-2</v>
      </c>
      <c r="AE9" s="21">
        <v>0.2249879832064994</v>
      </c>
      <c r="AF9" s="21" t="s">
        <v>51</v>
      </c>
      <c r="AG9" s="21"/>
      <c r="AH9" s="21">
        <v>0.106351653764386</v>
      </c>
    </row>
    <row r="10" spans="1:36">
      <c r="A10" s="13" t="s">
        <v>48</v>
      </c>
      <c r="B10" s="13" t="s">
        <v>49</v>
      </c>
      <c r="C10" s="13">
        <v>8</v>
      </c>
      <c r="D10" s="14">
        <v>44607</v>
      </c>
      <c r="E10" s="14">
        <v>44614</v>
      </c>
      <c r="P10" s="18" t="s">
        <v>50</v>
      </c>
      <c r="Q10" s="18">
        <v>0.52284129955044745</v>
      </c>
      <c r="R10" s="18">
        <v>5.8259731512802407E-2</v>
      </c>
      <c r="S10" s="18" t="s">
        <v>50</v>
      </c>
      <c r="T10" s="18">
        <v>0.24077396899108011</v>
      </c>
      <c r="U10" s="18"/>
      <c r="V10" s="18">
        <v>5.141686149164372E-2</v>
      </c>
      <c r="Z10" s="20">
        <v>-6.7287792625213321</v>
      </c>
      <c r="AA10" s="10">
        <v>-23.895755269062249</v>
      </c>
      <c r="AB10" s="17">
        <v>0.35882574079464968</v>
      </c>
      <c r="AC10" s="18" t="s">
        <v>154</v>
      </c>
      <c r="AD10" s="21">
        <v>4.6127761476499607E-2</v>
      </c>
      <c r="AE10" s="21">
        <v>3.5792150943628358E-2</v>
      </c>
      <c r="AF10" s="21">
        <v>1.658419265010453E-2</v>
      </c>
      <c r="AG10" s="21"/>
      <c r="AH10" s="21">
        <v>7.1446884225903576E-2</v>
      </c>
    </row>
    <row r="11" spans="1:36">
      <c r="A11" s="13" t="s">
        <v>48</v>
      </c>
      <c r="B11" s="13" t="s">
        <v>49</v>
      </c>
      <c r="C11" s="13">
        <v>9</v>
      </c>
      <c r="D11" s="14">
        <v>44614</v>
      </c>
      <c r="E11" s="14">
        <v>44621</v>
      </c>
      <c r="P11" s="18" t="s">
        <v>50</v>
      </c>
      <c r="Q11" s="18">
        <v>0.81113322835945456</v>
      </c>
      <c r="R11" s="18" t="s">
        <v>50</v>
      </c>
      <c r="S11" s="18" t="s">
        <v>50</v>
      </c>
      <c r="T11" s="18">
        <v>0.36817647324546049</v>
      </c>
      <c r="U11" s="18"/>
      <c r="V11" s="18">
        <v>5.6631125334413203E-3</v>
      </c>
      <c r="Z11" s="20">
        <v>-7.1977977540713356</v>
      </c>
      <c r="AA11" s="10">
        <v>-32.253089388173628</v>
      </c>
      <c r="AB11" s="17">
        <v>0.39467029291674538</v>
      </c>
      <c r="AC11" s="18" t="s">
        <v>154</v>
      </c>
      <c r="AD11" s="21">
        <v>6.0021421926758481E-2</v>
      </c>
      <c r="AE11" s="21">
        <v>0.2066573535076566</v>
      </c>
      <c r="AF11" s="21">
        <v>1.662142976903461E-2</v>
      </c>
      <c r="AG11" s="21"/>
      <c r="AH11" s="21">
        <v>8.5906512788834585E-2</v>
      </c>
    </row>
    <row r="12" spans="1:36">
      <c r="A12" s="13" t="s">
        <v>48</v>
      </c>
      <c r="B12" s="13" t="s">
        <v>49</v>
      </c>
      <c r="C12" s="13">
        <v>10</v>
      </c>
      <c r="D12" s="14">
        <v>44621</v>
      </c>
      <c r="E12" s="14">
        <v>44628</v>
      </c>
      <c r="P12" s="18">
        <v>2.7175671262049859E-2</v>
      </c>
      <c r="Q12" s="18">
        <v>3.763255591612638</v>
      </c>
      <c r="R12" s="18" t="s">
        <v>50</v>
      </c>
      <c r="S12" s="18">
        <v>0.21183760053357961</v>
      </c>
      <c r="T12" s="18">
        <v>2.571258604464254</v>
      </c>
      <c r="U12" s="18"/>
      <c r="V12" s="18">
        <v>1.5619208432830781E-2</v>
      </c>
      <c r="Z12" s="20">
        <v>-3.644505627510497</v>
      </c>
      <c r="AA12" s="10">
        <v>-2.6639334400367698</v>
      </c>
      <c r="AB12" s="17">
        <v>1.938476849507178</v>
      </c>
      <c r="AC12" s="21">
        <v>0.28030300562520821</v>
      </c>
      <c r="AD12" s="33">
        <v>0.23935930832176019</v>
      </c>
      <c r="AE12" s="33">
        <v>0.77423487589208484</v>
      </c>
      <c r="AF12" s="33">
        <v>1.7879739627484671E-2</v>
      </c>
      <c r="AH12" s="33">
        <v>0.1244512256811135</v>
      </c>
    </row>
    <row r="13" spans="1:36">
      <c r="A13" s="13" t="s">
        <v>48</v>
      </c>
      <c r="B13" s="13" t="s">
        <v>49</v>
      </c>
      <c r="C13" s="13">
        <v>11</v>
      </c>
      <c r="D13" s="14">
        <v>44628</v>
      </c>
      <c r="E13" s="14">
        <v>44635</v>
      </c>
      <c r="R13" s="18"/>
      <c r="S13" s="18"/>
      <c r="T13" s="18"/>
      <c r="U13" s="18"/>
      <c r="V13" s="18"/>
      <c r="Z13" s="20">
        <v>-6.9986071741482441</v>
      </c>
      <c r="AA13" s="10">
        <v>-38.209519041925468</v>
      </c>
      <c r="AC13" s="18"/>
      <c r="AD13" s="21"/>
      <c r="AE13" s="21"/>
      <c r="AF13" s="21"/>
      <c r="AG13" s="21"/>
      <c r="AH13" s="21"/>
    </row>
    <row r="14" spans="1:36">
      <c r="A14" s="13" t="s">
        <v>48</v>
      </c>
      <c r="B14" s="13" t="s">
        <v>49</v>
      </c>
      <c r="C14" s="13">
        <v>12</v>
      </c>
      <c r="D14" s="14">
        <v>44635</v>
      </c>
      <c r="E14" s="14">
        <v>44642</v>
      </c>
      <c r="P14" s="18">
        <v>1.4200000000000001E-2</v>
      </c>
      <c r="Q14" s="18">
        <v>1.633288464728385</v>
      </c>
      <c r="R14" s="18"/>
      <c r="S14" s="18">
        <v>0.1218139779061798</v>
      </c>
      <c r="T14" s="18">
        <v>0.57561460173818924</v>
      </c>
      <c r="U14" s="18"/>
      <c r="V14" s="18" t="s">
        <v>50</v>
      </c>
      <c r="Z14" s="20">
        <v>-4.8618702513399299</v>
      </c>
      <c r="AA14" s="10">
        <v>-18.76928713255322</v>
      </c>
      <c r="AB14" s="17">
        <v>1.007608330353543</v>
      </c>
      <c r="AC14" s="18">
        <v>0.1859972904745239</v>
      </c>
      <c r="AD14" s="21">
        <v>0.40767087427947768</v>
      </c>
      <c r="AE14" s="21">
        <v>0.53596531196071318</v>
      </c>
      <c r="AF14" s="21" t="s">
        <v>51</v>
      </c>
      <c r="AG14" s="21"/>
      <c r="AH14" s="21">
        <v>6.9623856913352183E-2</v>
      </c>
    </row>
    <row r="15" spans="1:36">
      <c r="A15" s="13" t="s">
        <v>48</v>
      </c>
      <c r="B15" s="13" t="s">
        <v>49</v>
      </c>
      <c r="C15" s="13">
        <v>13</v>
      </c>
      <c r="D15" s="14">
        <v>44642</v>
      </c>
      <c r="E15" s="14">
        <v>44649</v>
      </c>
      <c r="P15" s="18" t="s">
        <v>50</v>
      </c>
      <c r="Q15" s="18">
        <v>0.4236720490297336</v>
      </c>
      <c r="R15" s="18" t="s">
        <v>50</v>
      </c>
      <c r="S15" s="18" t="s">
        <v>50</v>
      </c>
      <c r="T15" s="18">
        <v>0.40235231825070877</v>
      </c>
      <c r="U15" s="18"/>
      <c r="V15" s="18" t="s">
        <v>50</v>
      </c>
      <c r="Z15" s="20">
        <v>-6.9986071741482441</v>
      </c>
      <c r="AA15" s="10">
        <v>-38.209519041925468</v>
      </c>
      <c r="AB15" s="17">
        <v>0.32205184450781948</v>
      </c>
      <c r="AC15" s="18" t="s">
        <v>154</v>
      </c>
      <c r="AD15" s="21">
        <v>5.9282815970141317E-2</v>
      </c>
      <c r="AE15" s="21">
        <v>0.17895485482219861</v>
      </c>
      <c r="AF15" s="21">
        <v>1.6535277055122519E-2</v>
      </c>
      <c r="AG15" s="21"/>
      <c r="AH15" s="21">
        <v>8.2079476697909701E-2</v>
      </c>
    </row>
    <row r="16" spans="1:36">
      <c r="A16" s="13" t="s">
        <v>48</v>
      </c>
      <c r="B16" s="13" t="s">
        <v>49</v>
      </c>
      <c r="C16" s="13">
        <v>14</v>
      </c>
      <c r="D16" s="14">
        <v>44649</v>
      </c>
      <c r="E16" s="14">
        <v>44657</v>
      </c>
      <c r="P16" s="18" t="s">
        <v>50</v>
      </c>
      <c r="Q16" s="18">
        <v>3.1228684165343741</v>
      </c>
      <c r="R16" s="18" t="s">
        <v>50</v>
      </c>
      <c r="S16" s="18" t="s">
        <v>50</v>
      </c>
      <c r="T16" s="18">
        <v>0.60573635081596355</v>
      </c>
      <c r="U16" s="18"/>
      <c r="V16" s="18" t="s">
        <v>50</v>
      </c>
      <c r="Z16" s="20">
        <v>-6.2112185288051984</v>
      </c>
      <c r="AA16" s="10">
        <v>-27.110627345751489</v>
      </c>
      <c r="AB16" s="17">
        <v>1.309967770740591</v>
      </c>
      <c r="AC16" s="18">
        <v>9.398178774091287E-2</v>
      </c>
      <c r="AD16" s="21">
        <v>7.767179786335586E-2</v>
      </c>
      <c r="AE16" s="21">
        <v>0.46748085954160418</v>
      </c>
      <c r="AF16" s="21">
        <v>1.6978588908643441E-2</v>
      </c>
      <c r="AG16" s="21"/>
      <c r="AH16" s="21">
        <v>8.2800688676576958E-2</v>
      </c>
    </row>
    <row r="17" spans="1:35">
      <c r="A17" s="13" t="s">
        <v>48</v>
      </c>
      <c r="B17" s="13" t="s">
        <v>49</v>
      </c>
      <c r="C17" s="13">
        <v>15</v>
      </c>
      <c r="D17" s="14">
        <v>44657</v>
      </c>
      <c r="E17" s="14">
        <v>44663</v>
      </c>
      <c r="P17" s="18" t="s">
        <v>50</v>
      </c>
      <c r="Q17" s="18">
        <v>2.8428216412288601</v>
      </c>
      <c r="R17" s="18" t="s">
        <v>50</v>
      </c>
      <c r="S17" s="18">
        <v>3.423637557023667E-2</v>
      </c>
      <c r="T17" s="18">
        <v>2.4292261728562492</v>
      </c>
      <c r="U17" s="18"/>
      <c r="V17" s="18">
        <v>1.3118859250710199E-2</v>
      </c>
      <c r="Z17" s="20">
        <v>-3.136988116311493</v>
      </c>
      <c r="AA17" s="10">
        <v>5.589071497114646</v>
      </c>
      <c r="AB17" s="17">
        <v>1.8037918291724679</v>
      </c>
      <c r="AC17" s="18">
        <v>0.1112592199892089</v>
      </c>
      <c r="AD17" s="21">
        <v>0.13004956783974261</v>
      </c>
      <c r="AE17" s="21">
        <v>0.4336949663620257</v>
      </c>
      <c r="AF17" s="21">
        <v>1.7092174740814869E-2</v>
      </c>
      <c r="AG17" s="21"/>
      <c r="AH17" s="21">
        <v>8.8161748116639932E-2</v>
      </c>
    </row>
    <row r="18" spans="1:35">
      <c r="A18" s="13" t="s">
        <v>48</v>
      </c>
      <c r="B18" s="13" t="s">
        <v>49</v>
      </c>
      <c r="C18" s="13">
        <v>16</v>
      </c>
      <c r="D18" s="14">
        <v>44663</v>
      </c>
      <c r="E18" s="14">
        <v>44670</v>
      </c>
      <c r="P18" s="18">
        <v>3.652393172836714E-2</v>
      </c>
      <c r="Q18" s="18">
        <v>5.3283825719094713</v>
      </c>
      <c r="R18" s="18">
        <v>2.9047836071629439E-2</v>
      </c>
      <c r="S18" s="18">
        <v>4.105342955371611E-2</v>
      </c>
      <c r="T18" s="18">
        <v>1.2798525293437759</v>
      </c>
      <c r="U18" s="18"/>
      <c r="V18" s="18">
        <v>5.5340094675741081E-2</v>
      </c>
      <c r="Z18" s="20">
        <v>-2.6311444755320119</v>
      </c>
      <c r="AA18" s="10">
        <v>1.633895544600966</v>
      </c>
      <c r="AB18" s="17">
        <v>2.2617043367363809</v>
      </c>
      <c r="AC18" s="18">
        <v>0.27920282135875951</v>
      </c>
      <c r="AD18" s="21">
        <v>0.21817296195863581</v>
      </c>
      <c r="AE18" s="21">
        <v>0.86176164499307739</v>
      </c>
      <c r="AF18" s="21">
        <v>1.7827332489663679E-2</v>
      </c>
      <c r="AG18" s="21"/>
      <c r="AH18" s="21">
        <v>0.11909599892148739</v>
      </c>
    </row>
    <row r="19" spans="1:35">
      <c r="A19" s="13" t="s">
        <v>48</v>
      </c>
      <c r="B19" s="13" t="s">
        <v>49</v>
      </c>
      <c r="C19" s="13">
        <v>17</v>
      </c>
      <c r="D19" s="14">
        <v>44670</v>
      </c>
      <c r="E19" s="14">
        <v>44677</v>
      </c>
      <c r="P19" s="18">
        <v>0.1294666882895322</v>
      </c>
      <c r="Q19" s="18">
        <v>3.9118420330530461</v>
      </c>
      <c r="R19" s="18" t="s">
        <v>50</v>
      </c>
      <c r="S19" s="18">
        <v>0.1656836426294177</v>
      </c>
      <c r="T19" s="18">
        <v>1.529284765508808</v>
      </c>
      <c r="U19" s="18"/>
      <c r="V19" s="18">
        <v>1.0233668457316341</v>
      </c>
      <c r="Z19" s="20">
        <v>-3.1700033473634979</v>
      </c>
      <c r="AA19" s="10">
        <v>-3.9226203910812072</v>
      </c>
      <c r="AB19" s="17">
        <v>2.5880651225007232</v>
      </c>
      <c r="AC19" s="18">
        <v>0.110377196117539</v>
      </c>
      <c r="AD19" s="21">
        <v>0.7100990655865882</v>
      </c>
      <c r="AE19" s="21">
        <v>0.51911760053199818</v>
      </c>
      <c r="AF19" s="21">
        <v>9.0529116445750796E-4</v>
      </c>
      <c r="AG19" s="21"/>
      <c r="AH19" s="21">
        <v>0.1960343754042804</v>
      </c>
    </row>
    <row r="20" spans="1:35">
      <c r="A20" s="13" t="s">
        <v>48</v>
      </c>
      <c r="B20" s="13" t="s">
        <v>49</v>
      </c>
      <c r="C20" s="13">
        <v>18</v>
      </c>
      <c r="D20" s="14">
        <v>44677</v>
      </c>
      <c r="E20" s="14">
        <v>44684</v>
      </c>
      <c r="P20" s="18">
        <v>7.6376312131994223E-2</v>
      </c>
      <c r="Q20" s="18">
        <v>0.99879319010980872</v>
      </c>
      <c r="R20" s="18" t="s">
        <v>50</v>
      </c>
      <c r="S20" s="18">
        <v>0.18603670483513279</v>
      </c>
      <c r="T20" s="18">
        <v>0.7691152851641051</v>
      </c>
      <c r="U20" s="18"/>
      <c r="V20" s="18">
        <v>0.29728886440903379</v>
      </c>
      <c r="Z20" s="20">
        <v>-4.8186163005679834</v>
      </c>
      <c r="AA20" s="10">
        <v>-20.40476045497525</v>
      </c>
      <c r="AB20" s="17">
        <v>0.92336409667161878</v>
      </c>
      <c r="AC20" s="18" t="s">
        <v>154</v>
      </c>
      <c r="AD20" s="21">
        <v>0.30011338149394029</v>
      </c>
      <c r="AE20" s="21">
        <v>0.23356549277356931</v>
      </c>
      <c r="AF20" s="21" t="s">
        <v>51</v>
      </c>
      <c r="AG20" s="21"/>
      <c r="AH20" s="21">
        <v>4.4290450616319511E-2</v>
      </c>
    </row>
    <row r="21" spans="1:35">
      <c r="A21" s="13" t="s">
        <v>48</v>
      </c>
      <c r="B21" s="13" t="s">
        <v>49</v>
      </c>
      <c r="C21" s="13">
        <v>19</v>
      </c>
      <c r="D21" s="14">
        <v>44684</v>
      </c>
      <c r="E21" s="14">
        <v>44690</v>
      </c>
      <c r="P21" s="18">
        <v>1.6050599310827491E-2</v>
      </c>
      <c r="Q21" s="18">
        <v>1.523062045661183</v>
      </c>
      <c r="R21" s="18" t="s">
        <v>50</v>
      </c>
      <c r="S21" s="18">
        <v>4.0652446990838198E-2</v>
      </c>
      <c r="T21" s="18">
        <v>0.78161889232241022</v>
      </c>
      <c r="U21" s="18"/>
      <c r="V21" s="18">
        <v>0.12886320765507231</v>
      </c>
      <c r="Z21" s="20">
        <v>-4.5550911357303479</v>
      </c>
      <c r="AA21" s="10">
        <v>-9.6863206781589852</v>
      </c>
      <c r="AB21" s="17">
        <v>0.82139711165291707</v>
      </c>
      <c r="AC21" s="18">
        <v>1.3559732853674639E-2</v>
      </c>
      <c r="AD21" s="21">
        <v>0.1787874301147728</v>
      </c>
      <c r="AE21" s="21">
        <v>0.25770760386968539</v>
      </c>
      <c r="AF21" s="21">
        <v>1.6656398478016129E-2</v>
      </c>
      <c r="AG21" s="21"/>
      <c r="AH21" s="21">
        <v>7.9043090790802989E-2</v>
      </c>
    </row>
    <row r="22" spans="1:35">
      <c r="A22" s="13" t="s">
        <v>48</v>
      </c>
      <c r="B22" s="13" t="s">
        <v>49</v>
      </c>
      <c r="C22" s="13">
        <v>20</v>
      </c>
      <c r="D22" s="14">
        <v>44690</v>
      </c>
      <c r="E22" s="14">
        <v>44698</v>
      </c>
      <c r="P22" s="18">
        <v>6.6699999999999995E-2</v>
      </c>
      <c r="Q22" s="18">
        <v>0.3486255515117927</v>
      </c>
      <c r="R22" s="18" t="s">
        <v>50</v>
      </c>
      <c r="S22" s="18">
        <v>4.529206608419728E-2</v>
      </c>
      <c r="T22" s="18">
        <v>0.1131171758102078</v>
      </c>
      <c r="U22" s="18"/>
      <c r="V22" s="18" t="s">
        <v>52</v>
      </c>
      <c r="Z22" s="20">
        <v>-8.4933268112471509</v>
      </c>
      <c r="AA22" s="10">
        <v>-50.87926958861037</v>
      </c>
      <c r="AB22" s="17">
        <v>0.94453142730652684</v>
      </c>
      <c r="AC22" s="18" t="s">
        <v>51</v>
      </c>
      <c r="AD22" s="21">
        <v>5.9349677118377783E-2</v>
      </c>
      <c r="AE22" s="21" t="s">
        <v>51</v>
      </c>
      <c r="AF22" s="21" t="s">
        <v>51</v>
      </c>
      <c r="AG22" s="21"/>
      <c r="AH22" s="21">
        <v>1.274121087789187E-2</v>
      </c>
    </row>
    <row r="23" spans="1:35">
      <c r="A23" s="13" t="s">
        <v>152</v>
      </c>
      <c r="B23" s="13" t="s">
        <v>49</v>
      </c>
      <c r="C23" s="13">
        <v>21</v>
      </c>
      <c r="D23" s="14">
        <v>44698</v>
      </c>
      <c r="E23" s="14">
        <v>44705</v>
      </c>
      <c r="P23" s="18" t="s">
        <v>50</v>
      </c>
      <c r="Q23" s="18">
        <v>0.88881838183326367</v>
      </c>
      <c r="R23" s="18" t="s">
        <v>50</v>
      </c>
      <c r="S23" s="18">
        <v>4.8872074536385139E-2</v>
      </c>
      <c r="T23" s="18">
        <v>0.41825525346358661</v>
      </c>
      <c r="U23" s="18"/>
      <c r="V23" s="18">
        <v>0.12956969487787859</v>
      </c>
      <c r="Z23" s="20">
        <v>-6.2266181366647979</v>
      </c>
      <c r="AA23" s="10">
        <v>-30.077842610312139</v>
      </c>
      <c r="AB23" s="17">
        <v>0.43608944547928791</v>
      </c>
      <c r="AC23" s="18" t="s">
        <v>51</v>
      </c>
      <c r="AD23" s="21">
        <v>0.19181941240811229</v>
      </c>
      <c r="AE23" s="21">
        <v>0.21818619471662079</v>
      </c>
      <c r="AF23" s="21">
        <v>1.6499348929692001E-2</v>
      </c>
      <c r="AG23" s="21"/>
      <c r="AH23" s="21">
        <v>7.3132317491758206E-2</v>
      </c>
    </row>
    <row r="24" spans="1:35">
      <c r="A24" s="13" t="s">
        <v>152</v>
      </c>
      <c r="B24" s="13" t="s">
        <v>49</v>
      </c>
      <c r="C24" s="13">
        <v>22</v>
      </c>
      <c r="D24" s="14">
        <v>44705</v>
      </c>
      <c r="E24" s="14">
        <v>44712</v>
      </c>
      <c r="P24" s="18" t="s">
        <v>50</v>
      </c>
      <c r="Q24" s="18">
        <v>0.20335112043396919</v>
      </c>
      <c r="R24" s="18" t="s">
        <v>50</v>
      </c>
      <c r="S24" s="18">
        <v>5.6336719524743568E-2</v>
      </c>
      <c r="T24" s="18">
        <v>0.33181096860637171</v>
      </c>
      <c r="U24" s="18"/>
      <c r="V24" s="18">
        <v>6.0000000000000001E-3</v>
      </c>
      <c r="Z24" s="20">
        <v>-13.21023739863741</v>
      </c>
      <c r="AA24" s="10">
        <v>-91.925492897497421</v>
      </c>
      <c r="AB24" s="17">
        <v>0.28174823085431111</v>
      </c>
      <c r="AC24" s="18" t="s">
        <v>51</v>
      </c>
      <c r="AD24" s="21">
        <v>0.1518179676033381</v>
      </c>
      <c r="AE24" s="21">
        <v>9.4929146641227966E-2</v>
      </c>
      <c r="AF24" s="21" t="s">
        <v>51</v>
      </c>
      <c r="AG24" s="21"/>
      <c r="AH24" s="21">
        <v>7.2125417554406634E-3</v>
      </c>
    </row>
    <row r="25" spans="1:35">
      <c r="A25" s="13" t="s">
        <v>152</v>
      </c>
      <c r="B25" s="13" t="s">
        <v>49</v>
      </c>
      <c r="C25" s="13">
        <v>23</v>
      </c>
      <c r="D25" s="14">
        <v>44712</v>
      </c>
      <c r="E25" s="14">
        <v>44719</v>
      </c>
      <c r="P25" s="18">
        <v>2.0271775469982461E-2</v>
      </c>
      <c r="Q25" s="18">
        <v>0.32003081785273513</v>
      </c>
      <c r="R25" s="18" t="s">
        <v>50</v>
      </c>
      <c r="S25" s="18">
        <v>9.6364311274997741E-2</v>
      </c>
      <c r="T25" s="18">
        <v>0.30940050298736521</v>
      </c>
      <c r="U25" s="18"/>
      <c r="V25" s="18">
        <v>0.14093766661732851</v>
      </c>
      <c r="Z25" s="20">
        <v>-8.6266135441751288</v>
      </c>
      <c r="AA25" s="10">
        <v>-57.371423235259897</v>
      </c>
      <c r="AB25" s="17">
        <v>0.23218830120929729</v>
      </c>
      <c r="AC25" s="18" t="s">
        <v>51</v>
      </c>
      <c r="AD25" s="21">
        <v>0.25993580681450201</v>
      </c>
      <c r="AE25" s="21">
        <v>0.2326237921761444</v>
      </c>
      <c r="AF25" s="21">
        <v>1.6561292891652118E-2</v>
      </c>
      <c r="AG25" s="21"/>
      <c r="AH25" s="21">
        <v>8.1493127869720142E-2</v>
      </c>
    </row>
    <row r="26" spans="1:35">
      <c r="A26" s="13" t="s">
        <v>152</v>
      </c>
      <c r="B26" s="13" t="s">
        <v>49</v>
      </c>
      <c r="C26" s="13">
        <v>24</v>
      </c>
      <c r="D26" s="14">
        <v>44719</v>
      </c>
      <c r="E26" s="14">
        <v>44726</v>
      </c>
      <c r="P26" s="18">
        <v>9.3037460860914932E-3</v>
      </c>
      <c r="Q26" s="18">
        <v>0.25031944063304151</v>
      </c>
      <c r="R26" s="18" t="s">
        <v>50</v>
      </c>
      <c r="S26" s="18">
        <v>1.560868947264457E-2</v>
      </c>
      <c r="T26" s="18">
        <v>0.16811440461938909</v>
      </c>
      <c r="U26" s="18"/>
      <c r="V26" s="18">
        <v>2.8679568563905331E-2</v>
      </c>
      <c r="Z26" s="20">
        <v>-9.7439539713125161</v>
      </c>
      <c r="AA26" s="10">
        <v>-65.528975469304456</v>
      </c>
      <c r="AB26" s="17">
        <v>8.3681422407215045E-2</v>
      </c>
      <c r="AC26" s="18" t="s">
        <v>51</v>
      </c>
      <c r="AD26" s="21">
        <v>0.24431640608723049</v>
      </c>
      <c r="AE26" s="21">
        <v>5.1062721305810882E-2</v>
      </c>
      <c r="AF26" s="21">
        <v>7.4319373435684866E-3</v>
      </c>
      <c r="AG26" s="21"/>
      <c r="AH26" s="21" t="s">
        <v>51</v>
      </c>
    </row>
    <row r="27" spans="1:35">
      <c r="A27" s="13" t="s">
        <v>152</v>
      </c>
      <c r="B27" s="13" t="s">
        <v>49</v>
      </c>
      <c r="C27" s="13">
        <v>25</v>
      </c>
      <c r="D27" s="14">
        <v>44726</v>
      </c>
      <c r="E27" s="14">
        <v>44733</v>
      </c>
      <c r="P27" s="18">
        <v>2.5543005459912449E-2</v>
      </c>
      <c r="Q27" s="18">
        <v>0.65253391578374764</v>
      </c>
      <c r="R27" s="18" t="s">
        <v>50</v>
      </c>
      <c r="S27" s="18">
        <v>7.1597110718606471E-2</v>
      </c>
      <c r="T27" s="18">
        <v>0.53194724178161124</v>
      </c>
      <c r="U27" s="18"/>
      <c r="V27" s="18">
        <v>1.896741847241798E-3</v>
      </c>
      <c r="Z27" s="20">
        <v>-6.2899394307574772</v>
      </c>
      <c r="AA27" s="10">
        <v>-36.037918405021337</v>
      </c>
      <c r="AB27" s="17">
        <v>0.48147812112435368</v>
      </c>
      <c r="AC27" s="18" t="s">
        <v>51</v>
      </c>
      <c r="AD27" s="21">
        <v>0.57720359970379864</v>
      </c>
      <c r="AE27" s="21">
        <v>0.32793611879611217</v>
      </c>
      <c r="AF27" s="21">
        <v>9.4096890334373212E-3</v>
      </c>
      <c r="AG27" s="21"/>
      <c r="AH27" s="21">
        <v>0.15719297417086461</v>
      </c>
    </row>
    <row r="28" spans="1:35">
      <c r="A28" s="13" t="s">
        <v>152</v>
      </c>
      <c r="B28" s="13" t="s">
        <v>49</v>
      </c>
      <c r="C28" s="13">
        <v>26</v>
      </c>
      <c r="D28" s="14">
        <v>44733</v>
      </c>
      <c r="E28" s="14">
        <v>44740</v>
      </c>
      <c r="P28" s="18">
        <v>1.3689220717527069E-2</v>
      </c>
      <c r="Q28" s="18">
        <v>0.35879312781794293</v>
      </c>
      <c r="R28" s="18" t="s">
        <v>50</v>
      </c>
      <c r="S28" s="18">
        <v>1.271719176642068E-2</v>
      </c>
      <c r="T28" s="18">
        <v>1.116162920816143</v>
      </c>
      <c r="U28" s="18"/>
      <c r="V28" s="18">
        <v>4.0860190991337178E-4</v>
      </c>
      <c r="Z28" s="20">
        <v>-6.3521584181289308</v>
      </c>
      <c r="AA28" s="10">
        <v>-36.165267051636711</v>
      </c>
      <c r="AB28" s="17">
        <v>0.38242134558972868</v>
      </c>
      <c r="AC28" s="18" t="s">
        <v>154</v>
      </c>
      <c r="AD28" s="21">
        <v>0.63211270852024282</v>
      </c>
      <c r="AE28" s="21">
        <v>0.16247554871745629</v>
      </c>
      <c r="AF28" s="21">
        <v>1.23096191276256E-2</v>
      </c>
      <c r="AG28" s="21"/>
      <c r="AH28" s="21">
        <v>6.6256054464827949E-2</v>
      </c>
    </row>
    <row r="29" spans="1:35">
      <c r="A29" s="13" t="s">
        <v>48</v>
      </c>
      <c r="B29" s="13" t="s">
        <v>49</v>
      </c>
      <c r="C29" s="13">
        <v>27</v>
      </c>
      <c r="D29" s="14">
        <v>44740</v>
      </c>
      <c r="E29" s="14">
        <v>44747</v>
      </c>
      <c r="P29" s="18">
        <v>4.0230799107981892E-2</v>
      </c>
      <c r="Q29" s="18">
        <v>0.57889742454212845</v>
      </c>
      <c r="R29" s="18">
        <v>3.7826520372483692E-2</v>
      </c>
      <c r="S29" s="18">
        <v>3.9570188595765873E-2</v>
      </c>
      <c r="T29" s="18">
        <v>0.56122796621075866</v>
      </c>
      <c r="U29" s="18"/>
      <c r="V29" s="18">
        <v>3.5619869540171267E-2</v>
      </c>
      <c r="Z29" s="20">
        <v>-8.3226386759899729</v>
      </c>
      <c r="AA29" s="10">
        <v>-52.887268331402957</v>
      </c>
      <c r="AB29" s="17">
        <v>0.28955325036955581</v>
      </c>
      <c r="AC29" s="18" t="s">
        <v>154</v>
      </c>
      <c r="AD29" s="21">
        <v>1.340579013095385</v>
      </c>
      <c r="AE29" s="21">
        <v>0.119512930182314</v>
      </c>
      <c r="AF29" s="21">
        <v>1.1653357926884119E-2</v>
      </c>
      <c r="AG29" s="21"/>
      <c r="AH29" s="21">
        <v>3.6747167209561941E-2</v>
      </c>
    </row>
    <row r="30" spans="1:35">
      <c r="A30" s="13" t="s">
        <v>48</v>
      </c>
      <c r="B30" s="13" t="s">
        <v>49</v>
      </c>
      <c r="C30" s="13">
        <v>28</v>
      </c>
      <c r="D30" s="14">
        <v>44747</v>
      </c>
      <c r="E30" s="14">
        <v>44754</v>
      </c>
      <c r="P30" s="18">
        <v>1.5729562527529221E-2</v>
      </c>
      <c r="Q30" s="18">
        <v>0.38023770999190137</v>
      </c>
      <c r="R30" s="18">
        <v>0.1019604812956858</v>
      </c>
      <c r="S30" s="18">
        <v>4.8660608814332172E-2</v>
      </c>
      <c r="T30" s="18">
        <v>0.40616361050969901</v>
      </c>
      <c r="U30" s="18"/>
      <c r="V30" s="18">
        <v>5.706769715870378E-2</v>
      </c>
      <c r="Z30" s="20">
        <v>-8.7856312340296956</v>
      </c>
      <c r="AA30" s="10">
        <v>-55.730488529864253</v>
      </c>
      <c r="AB30" s="17">
        <v>0.24788580816852371</v>
      </c>
      <c r="AC30" s="18" t="s">
        <v>51</v>
      </c>
      <c r="AD30" s="21">
        <v>0.46484357855704639</v>
      </c>
      <c r="AE30" s="21">
        <v>3.618784357738513E-2</v>
      </c>
      <c r="AF30" s="21">
        <v>1.136611873292875E-2</v>
      </c>
      <c r="AG30" s="21"/>
      <c r="AH30" s="21">
        <v>1.3780615303397831E-2</v>
      </c>
    </row>
    <row r="31" spans="1:35">
      <c r="A31" s="13" t="s">
        <v>48</v>
      </c>
      <c r="B31" s="13" t="s">
        <v>49</v>
      </c>
      <c r="C31" s="13">
        <v>29</v>
      </c>
      <c r="D31" s="14">
        <v>44754</v>
      </c>
      <c r="E31" s="14">
        <v>44761</v>
      </c>
      <c r="P31" s="18">
        <v>0.30984622940841078</v>
      </c>
      <c r="Q31" s="18">
        <v>2.2659563188883141</v>
      </c>
      <c r="R31" s="18">
        <v>1.328299405837546E-2</v>
      </c>
      <c r="S31" s="18" t="s">
        <v>50</v>
      </c>
      <c r="T31" s="18">
        <v>0.42867217064684221</v>
      </c>
      <c r="U31" s="18"/>
      <c r="V31" s="18">
        <v>3.7159096062040917E-2</v>
      </c>
      <c r="Z31" s="20">
        <v>-4.2722070348311654</v>
      </c>
      <c r="AA31" s="10">
        <v>-24.1320791988054</v>
      </c>
      <c r="AB31" s="17">
        <v>1.402513219102218</v>
      </c>
      <c r="AC31" s="18">
        <v>0.24595330627414841</v>
      </c>
      <c r="AD31" s="21">
        <v>0.7555437844838081</v>
      </c>
      <c r="AE31" s="18">
        <v>1.3174104403145961</v>
      </c>
      <c r="AF31" s="21">
        <v>1.4581015849369919E-2</v>
      </c>
      <c r="AG31" s="21"/>
      <c r="AH31" s="21">
        <v>0.20758478642676731</v>
      </c>
      <c r="AI31" s="17" t="s">
        <v>53</v>
      </c>
    </row>
    <row r="32" spans="1:35">
      <c r="A32" s="13" t="s">
        <v>48</v>
      </c>
      <c r="B32" s="13" t="s">
        <v>49</v>
      </c>
      <c r="C32" s="13">
        <v>30</v>
      </c>
      <c r="D32" s="14">
        <v>44761</v>
      </c>
      <c r="E32" s="14">
        <v>44767</v>
      </c>
      <c r="P32" s="18">
        <v>0.13619999999999999</v>
      </c>
      <c r="Q32" s="18">
        <v>0.7070820121477982</v>
      </c>
      <c r="R32" s="18">
        <v>1.78E-2</v>
      </c>
      <c r="S32" s="18">
        <v>6.3E-3</v>
      </c>
      <c r="T32" s="18">
        <v>9.247483948587773E-2</v>
      </c>
      <c r="U32" s="18" t="s">
        <v>50</v>
      </c>
      <c r="V32" s="18">
        <v>1.9078001665278951E-2</v>
      </c>
      <c r="Z32" s="20">
        <v>-5.3195986356082532</v>
      </c>
      <c r="AA32" s="10">
        <v>-32.157782958826672</v>
      </c>
      <c r="AB32" s="17">
        <v>0.60528975370261506</v>
      </c>
      <c r="AC32" s="18" t="s">
        <v>51</v>
      </c>
      <c r="AD32" s="21">
        <v>0.2101555355412926</v>
      </c>
      <c r="AE32" s="21">
        <v>0.34025095887368439</v>
      </c>
      <c r="AF32" s="21">
        <v>1.674897584783212E-2</v>
      </c>
      <c r="AG32" s="21"/>
      <c r="AH32" s="21">
        <v>0.1163069502255181</v>
      </c>
    </row>
    <row r="33" spans="1:34">
      <c r="A33" s="13" t="s">
        <v>48</v>
      </c>
      <c r="B33" s="13" t="s">
        <v>49</v>
      </c>
      <c r="C33" s="13">
        <v>31</v>
      </c>
      <c r="D33" s="14">
        <v>44767</v>
      </c>
      <c r="E33" s="14">
        <v>44774</v>
      </c>
      <c r="P33" s="18">
        <v>3.2300000000000002E-2</v>
      </c>
      <c r="Q33" s="18">
        <v>0.2455797432277243</v>
      </c>
      <c r="R33" s="18">
        <v>1.8800000000000001E-2</v>
      </c>
      <c r="S33" s="18">
        <v>0.26640000000000003</v>
      </c>
      <c r="T33" s="18">
        <v>0.42078120178569139</v>
      </c>
      <c r="U33" s="18" t="s">
        <v>50</v>
      </c>
      <c r="V33" s="18">
        <v>6.9149275603663615E-2</v>
      </c>
      <c r="Z33" s="20">
        <v>-6.0120069951997204</v>
      </c>
      <c r="AA33" s="10">
        <v>-33.56249695678131</v>
      </c>
      <c r="AB33" s="17">
        <v>0.21038219863616761</v>
      </c>
      <c r="AC33" s="18" t="s">
        <v>51</v>
      </c>
      <c r="AD33" s="21">
        <v>7.0760403818529785E-2</v>
      </c>
      <c r="AE33" s="21">
        <v>0.10365225472478071</v>
      </c>
      <c r="AF33" s="21">
        <v>1.6340505153693861E-2</v>
      </c>
      <c r="AG33" s="21"/>
      <c r="AH33" s="21">
        <v>0.10971452941802939</v>
      </c>
    </row>
    <row r="34" spans="1:34">
      <c r="A34" s="13" t="s">
        <v>48</v>
      </c>
      <c r="B34" s="13" t="s">
        <v>49</v>
      </c>
      <c r="C34" s="13">
        <v>32</v>
      </c>
      <c r="D34" s="14">
        <v>44774</v>
      </c>
      <c r="E34" s="14">
        <v>44782</v>
      </c>
      <c r="R34" s="18"/>
      <c r="S34" s="18"/>
      <c r="T34" s="18"/>
      <c r="U34" s="18"/>
      <c r="V34" s="18"/>
      <c r="Z34" s="20">
        <v>-7.4315355376860204</v>
      </c>
      <c r="AA34" s="10">
        <v>-44.366416110697607</v>
      </c>
      <c r="AB34" s="17">
        <v>5.8060528647961539E-2</v>
      </c>
      <c r="AC34" s="18" t="s">
        <v>51</v>
      </c>
      <c r="AD34" s="21" t="s">
        <v>51</v>
      </c>
      <c r="AE34" s="21" t="s">
        <v>51</v>
      </c>
      <c r="AF34" s="21">
        <v>1.00763044311739E-2</v>
      </c>
      <c r="AG34" s="21"/>
      <c r="AH34" s="21">
        <v>3.0814816766863869E-2</v>
      </c>
    </row>
    <row r="35" spans="1:34">
      <c r="A35" s="13" t="s">
        <v>48</v>
      </c>
      <c r="B35" s="13" t="s">
        <v>49</v>
      </c>
      <c r="C35" s="13">
        <v>33</v>
      </c>
      <c r="D35" s="14">
        <v>44782</v>
      </c>
      <c r="E35" s="14">
        <v>44789</v>
      </c>
      <c r="R35" s="18"/>
      <c r="S35" s="18"/>
      <c r="T35" s="18"/>
      <c r="U35" s="18"/>
      <c r="V35" s="18"/>
      <c r="AC35" s="18"/>
      <c r="AD35" s="21"/>
      <c r="AE35" s="21"/>
      <c r="AF35" s="21"/>
      <c r="AG35" s="21"/>
      <c r="AH35" s="21"/>
    </row>
    <row r="36" spans="1:34">
      <c r="A36" s="13" t="s">
        <v>48</v>
      </c>
      <c r="B36" s="13" t="s">
        <v>49</v>
      </c>
      <c r="C36" s="13">
        <v>34</v>
      </c>
      <c r="D36" s="14">
        <v>44789</v>
      </c>
      <c r="E36" s="14">
        <v>44796</v>
      </c>
      <c r="R36" s="18"/>
      <c r="S36" s="18"/>
      <c r="T36" s="18"/>
      <c r="U36" s="18"/>
      <c r="V36" s="18"/>
      <c r="AC36" s="18"/>
      <c r="AD36" s="21"/>
      <c r="AE36" s="21"/>
      <c r="AF36" s="21"/>
      <c r="AG36" s="21"/>
      <c r="AH36" s="21"/>
    </row>
    <row r="37" spans="1:34">
      <c r="A37" s="13" t="s">
        <v>48</v>
      </c>
      <c r="B37" s="13" t="s">
        <v>49</v>
      </c>
      <c r="C37" s="13">
        <v>35</v>
      </c>
      <c r="D37" s="14">
        <v>44796</v>
      </c>
      <c r="E37" s="14">
        <v>44802</v>
      </c>
      <c r="P37" s="18">
        <v>4.8000000000000001E-2</v>
      </c>
      <c r="Q37" s="18">
        <v>0.48618769983779392</v>
      </c>
      <c r="R37" s="18">
        <v>2.1700000000000001E-2</v>
      </c>
      <c r="S37" s="18">
        <v>1.408625265752933</v>
      </c>
      <c r="T37" s="18">
        <v>0.88679941232155601</v>
      </c>
      <c r="U37" s="18" t="s">
        <v>50</v>
      </c>
      <c r="V37" s="18" t="s">
        <v>50</v>
      </c>
      <c r="Z37" s="20">
        <v>-8.305779394277728</v>
      </c>
      <c r="AA37" s="10">
        <v>-52.143754716867463</v>
      </c>
      <c r="AB37" s="17">
        <v>0.37654353823355702</v>
      </c>
      <c r="AC37" s="18" t="s">
        <v>51</v>
      </c>
      <c r="AD37" s="21">
        <v>0.18255710454233659</v>
      </c>
      <c r="AE37" s="21">
        <v>0.37958801270255982</v>
      </c>
      <c r="AF37" s="21">
        <v>1.7069698186774299E-2</v>
      </c>
      <c r="AG37" s="21"/>
      <c r="AH37" s="21">
        <v>7.9487430131306616E-2</v>
      </c>
    </row>
    <row r="38" spans="1:34">
      <c r="A38" s="13" t="s">
        <v>48</v>
      </c>
      <c r="B38" s="13" t="s">
        <v>49</v>
      </c>
      <c r="C38" s="13">
        <v>36</v>
      </c>
      <c r="D38" s="14">
        <v>44802</v>
      </c>
      <c r="E38" s="14">
        <v>44810</v>
      </c>
      <c r="P38" s="18">
        <v>8.3000000000000001E-3</v>
      </c>
      <c r="Q38" s="18">
        <v>0.69940084367033983</v>
      </c>
      <c r="R38" s="18">
        <v>2.7400000000000001E-2</v>
      </c>
      <c r="S38" s="18">
        <v>2.8E-3</v>
      </c>
      <c r="T38" s="18">
        <v>0.23581008446014329</v>
      </c>
      <c r="U38" s="18" t="s">
        <v>50</v>
      </c>
      <c r="V38" s="18" t="s">
        <v>50</v>
      </c>
      <c r="Z38" s="20">
        <v>-8.8457900315865636</v>
      </c>
      <c r="AA38" s="10">
        <v>-57.374986764150457</v>
      </c>
      <c r="AB38" s="17">
        <v>0.43177211699819318</v>
      </c>
      <c r="AC38" s="18" t="s">
        <v>154</v>
      </c>
      <c r="AD38" s="21" t="s">
        <v>51</v>
      </c>
      <c r="AE38" s="21" t="s">
        <v>51</v>
      </c>
      <c r="AF38" s="21">
        <v>1.6160597865725001E-2</v>
      </c>
      <c r="AG38" s="21"/>
      <c r="AH38" s="21">
        <v>4.8381820764742949E-2</v>
      </c>
    </row>
    <row r="39" spans="1:34">
      <c r="A39" s="13" t="s">
        <v>48</v>
      </c>
      <c r="B39" s="13" t="s">
        <v>49</v>
      </c>
      <c r="C39" s="13">
        <v>37</v>
      </c>
      <c r="D39" s="14">
        <v>44810</v>
      </c>
      <c r="E39" s="14">
        <v>44817</v>
      </c>
      <c r="P39" s="18">
        <v>7.1999999999999998E-3</v>
      </c>
      <c r="Q39" s="18">
        <v>0.36947395911643532</v>
      </c>
      <c r="R39" s="18" t="s">
        <v>50</v>
      </c>
      <c r="S39" s="18">
        <v>1.32E-2</v>
      </c>
      <c r="T39" s="18">
        <v>0.19007862703237019</v>
      </c>
      <c r="U39" s="18" t="s">
        <v>50</v>
      </c>
      <c r="V39" s="18" t="s">
        <v>50</v>
      </c>
      <c r="Z39" s="20">
        <v>-7.6995826637726514</v>
      </c>
      <c r="AA39" s="10">
        <v>-48.859436652783778</v>
      </c>
      <c r="AB39" s="17">
        <v>0.26643861371182148</v>
      </c>
      <c r="AC39" s="18" t="s">
        <v>51</v>
      </c>
      <c r="AD39" s="21" t="s">
        <v>51</v>
      </c>
      <c r="AE39" s="21" t="s">
        <v>51</v>
      </c>
      <c r="AF39" s="21">
        <v>1.6117285446064031E-2</v>
      </c>
      <c r="AG39" s="21"/>
      <c r="AH39" s="21">
        <v>4.5034772113488192E-2</v>
      </c>
    </row>
    <row r="40" spans="1:34">
      <c r="A40" s="13" t="s">
        <v>151</v>
      </c>
      <c r="B40" s="13" t="s">
        <v>49</v>
      </c>
      <c r="C40" s="13">
        <v>38</v>
      </c>
      <c r="D40" s="14">
        <v>44817</v>
      </c>
      <c r="E40" s="14">
        <v>44824</v>
      </c>
      <c r="P40" s="18">
        <v>3.6400000000000002E-2</v>
      </c>
      <c r="Q40" s="18">
        <v>1.2028917910524799</v>
      </c>
      <c r="R40" s="18">
        <v>1.8800000000000001E-2</v>
      </c>
      <c r="S40" s="18">
        <v>5.1000000000000004E-3</v>
      </c>
      <c r="T40" s="18">
        <v>0.7327724894997224</v>
      </c>
      <c r="U40" s="18" t="s">
        <v>50</v>
      </c>
      <c r="V40" s="18">
        <v>3.3384079933388849E-2</v>
      </c>
      <c r="Z40" s="20">
        <v>-7.4519991413081623</v>
      </c>
      <c r="AA40" s="10">
        <v>-49.020577347249287</v>
      </c>
      <c r="AB40" s="17">
        <v>0.74579027842585932</v>
      </c>
      <c r="AC40" s="18">
        <v>8.770489190983366E-2</v>
      </c>
      <c r="AD40" s="21">
        <v>6.0536166815977323E-2</v>
      </c>
      <c r="AE40" s="21">
        <v>0.2042345897290887</v>
      </c>
      <c r="AF40" s="21">
        <v>1.7217525854728029E-2</v>
      </c>
      <c r="AG40" s="21"/>
      <c r="AH40" s="21">
        <v>6.6142037891611549E-2</v>
      </c>
    </row>
    <row r="41" spans="1:34">
      <c r="A41" s="13" t="s">
        <v>151</v>
      </c>
      <c r="B41" s="13" t="s">
        <v>49</v>
      </c>
      <c r="C41" s="13">
        <v>39</v>
      </c>
      <c r="D41" s="14">
        <v>44824</v>
      </c>
      <c r="E41" s="14">
        <v>44831</v>
      </c>
      <c r="P41" s="18">
        <v>1.3299999999999999E-2</v>
      </c>
      <c r="Q41" s="18">
        <v>1.0879765136268471</v>
      </c>
      <c r="R41" s="18">
        <v>3.4000000000000002E-2</v>
      </c>
      <c r="S41" s="18">
        <v>4.7000000000000002E-3</v>
      </c>
      <c r="T41" s="18">
        <v>0.46466710108378317</v>
      </c>
      <c r="U41" s="18" t="s">
        <v>50</v>
      </c>
      <c r="V41" s="18" t="s">
        <v>50</v>
      </c>
      <c r="Z41" s="20">
        <v>-6.7495576645096511</v>
      </c>
      <c r="AA41" s="10">
        <v>-37.776977191434497</v>
      </c>
      <c r="AB41" s="17">
        <v>0.69587455535941489</v>
      </c>
      <c r="AC41" s="18" t="s">
        <v>154</v>
      </c>
      <c r="AD41" s="21">
        <v>1.1713684776600661E-2</v>
      </c>
      <c r="AE41" s="21">
        <v>3.2012891327495588E-2</v>
      </c>
      <c r="AF41" s="21">
        <v>1.6325847605943931E-2</v>
      </c>
      <c r="AG41" s="21"/>
      <c r="AH41" s="21">
        <v>4.9489184944552213E-2</v>
      </c>
    </row>
    <row r="42" spans="1:34">
      <c r="A42" s="13" t="s">
        <v>151</v>
      </c>
      <c r="B42" s="13" t="s">
        <v>49</v>
      </c>
      <c r="C42" s="13">
        <v>40</v>
      </c>
      <c r="D42" s="14">
        <v>44831</v>
      </c>
      <c r="E42" s="14">
        <v>44838</v>
      </c>
      <c r="P42" s="18">
        <v>0.34079999999999999</v>
      </c>
      <c r="Q42" s="18">
        <v>2.2652205398329062</v>
      </c>
      <c r="R42" s="18">
        <v>3.8399999999999997E-2</v>
      </c>
      <c r="S42" s="18">
        <v>1.03E-2</v>
      </c>
      <c r="T42" s="18">
        <v>1.1588050249762589</v>
      </c>
      <c r="U42" s="18" t="s">
        <v>50</v>
      </c>
      <c r="V42" s="18">
        <v>3.8391207327227332E-2</v>
      </c>
      <c r="Z42" s="20">
        <v>-3.521636375856275</v>
      </c>
      <c r="AA42" s="10">
        <v>-12.47412072170499</v>
      </c>
      <c r="AB42" s="17">
        <v>1.1956417711261249</v>
      </c>
      <c r="AC42" s="18">
        <v>5.3186061503000879E-4</v>
      </c>
      <c r="AD42" s="21">
        <v>0.38082443511806602</v>
      </c>
      <c r="AE42" s="21">
        <v>0.44608330162230442</v>
      </c>
      <c r="AF42" s="21">
        <v>9.5081474062727184E-3</v>
      </c>
      <c r="AG42" s="21"/>
      <c r="AH42" s="21">
        <v>0.12517285506950401</v>
      </c>
    </row>
    <row r="43" spans="1:34">
      <c r="A43" s="13" t="s">
        <v>151</v>
      </c>
      <c r="B43" s="13" t="s">
        <v>49</v>
      </c>
      <c r="C43" s="13">
        <v>41</v>
      </c>
      <c r="D43" s="14">
        <v>44838</v>
      </c>
      <c r="E43" s="14">
        <v>44845</v>
      </c>
      <c r="P43" s="18">
        <v>9.2999999999999992E-3</v>
      </c>
      <c r="Q43" s="18">
        <v>0.92545820597068673</v>
      </c>
      <c r="R43" s="18">
        <v>1.7100000000000001E-2</v>
      </c>
      <c r="S43" s="18">
        <v>5.8900000000000001E-2</v>
      </c>
      <c r="T43" s="18">
        <v>0.40266113094177131</v>
      </c>
      <c r="U43" s="18" t="s">
        <v>50</v>
      </c>
      <c r="V43" s="18" t="s">
        <v>50</v>
      </c>
      <c r="Z43" s="20">
        <v>-4.3854525001152878</v>
      </c>
      <c r="AA43" s="10">
        <v>-13.964739211308469</v>
      </c>
      <c r="AB43" s="17">
        <v>0.53950273012457117</v>
      </c>
      <c r="AC43" s="18" t="s">
        <v>51</v>
      </c>
      <c r="AD43" s="21">
        <v>0.13505518602984251</v>
      </c>
      <c r="AE43" s="21">
        <v>7.7434349584500475E-2</v>
      </c>
      <c r="AF43" s="21">
        <v>8.0641759047894602E-3</v>
      </c>
      <c r="AG43" s="21"/>
      <c r="AH43" s="21">
        <v>1.110607027683839E-2</v>
      </c>
    </row>
    <row r="44" spans="1:34">
      <c r="A44" s="13" t="s">
        <v>151</v>
      </c>
      <c r="B44" s="13" t="s">
        <v>49</v>
      </c>
      <c r="C44" s="13">
        <v>42</v>
      </c>
      <c r="D44" s="14">
        <v>44845</v>
      </c>
      <c r="E44" s="14">
        <v>44853</v>
      </c>
      <c r="P44" s="18">
        <v>8.8000000000000005E-3</v>
      </c>
      <c r="Q44" s="18">
        <v>1.0703818744195761</v>
      </c>
      <c r="R44" s="18">
        <v>6.2799999999999995E-2</v>
      </c>
      <c r="S44" s="18">
        <v>2.0999999999999999E-3</v>
      </c>
      <c r="T44" s="18">
        <v>0.36243167140648158</v>
      </c>
      <c r="U44" s="18" t="s">
        <v>50</v>
      </c>
      <c r="V44" s="18">
        <v>2.0508609492089939E-2</v>
      </c>
      <c r="Z44" s="20">
        <v>-5.916862067745944</v>
      </c>
      <c r="AA44" s="10">
        <v>-30.249320096440201</v>
      </c>
      <c r="AB44" s="17">
        <v>0.64773548791445079</v>
      </c>
      <c r="AC44" s="18">
        <v>1.9382828184196791E-2</v>
      </c>
      <c r="AD44" s="21">
        <v>2.4887350531210349E-2</v>
      </c>
      <c r="AE44" s="21">
        <v>4.6893558441900858E-2</v>
      </c>
      <c r="AF44" s="21">
        <v>1.666396936778439E-2</v>
      </c>
      <c r="AG44" s="21"/>
      <c r="AH44" s="21">
        <v>1.439309158088538E-2</v>
      </c>
    </row>
    <row r="45" spans="1:34">
      <c r="A45" s="13" t="s">
        <v>151</v>
      </c>
      <c r="B45" s="13" t="s">
        <v>49</v>
      </c>
      <c r="C45" s="13">
        <v>43</v>
      </c>
      <c r="D45" s="14">
        <v>44852</v>
      </c>
      <c r="E45" s="14">
        <v>44859</v>
      </c>
      <c r="P45" s="18">
        <v>1.2699999999999999E-2</v>
      </c>
      <c r="Q45" s="18">
        <v>4.1154722120748044</v>
      </c>
      <c r="R45" s="18" t="s">
        <v>50</v>
      </c>
      <c r="S45" s="18">
        <v>2.5899999999999999E-2</v>
      </c>
      <c r="T45" s="18">
        <v>0.79908241844157168</v>
      </c>
      <c r="U45" s="18" t="s">
        <v>50</v>
      </c>
      <c r="V45" s="18" t="s">
        <v>50</v>
      </c>
      <c r="Z45" s="20">
        <v>-4.8442584463202936</v>
      </c>
      <c r="AA45" s="10">
        <v>-21.371452314876979</v>
      </c>
      <c r="AB45" s="17">
        <v>2.1659102797144509</v>
      </c>
      <c r="AC45" s="18">
        <v>1.9179174613266139E-2</v>
      </c>
      <c r="AD45" s="21">
        <v>0.19169305058674641</v>
      </c>
      <c r="AE45" s="21">
        <v>0.13087916497171739</v>
      </c>
      <c r="AF45" s="21">
        <v>8.9837105832604423E-3</v>
      </c>
      <c r="AG45" s="21"/>
      <c r="AH45" s="21">
        <v>5.6001672338217628E-3</v>
      </c>
    </row>
    <row r="46" spans="1:34">
      <c r="A46" s="13" t="s">
        <v>151</v>
      </c>
      <c r="B46" s="13" t="s">
        <v>49</v>
      </c>
      <c r="C46" s="13">
        <v>44</v>
      </c>
      <c r="E46" s="14">
        <v>44867</v>
      </c>
      <c r="P46" s="18">
        <v>1.5900000000000001E-2</v>
      </c>
      <c r="Q46" s="18">
        <v>1.83113025530266</v>
      </c>
      <c r="R46" s="18">
        <v>4.8500000000000001E-2</v>
      </c>
      <c r="S46" s="18">
        <v>2.3599999999999999E-2</v>
      </c>
      <c r="T46" s="18">
        <v>0.74754043450600172</v>
      </c>
      <c r="U46" s="18" t="s">
        <v>50</v>
      </c>
      <c r="V46" s="18">
        <v>2.5515736885928401E-2</v>
      </c>
      <c r="Z46" s="20">
        <v>-5.9308754902822649</v>
      </c>
      <c r="AA46" s="10">
        <v>-27.055638214444318</v>
      </c>
      <c r="AB46" s="17">
        <v>1.0480404191669861</v>
      </c>
      <c r="AC46" s="18">
        <v>8.6192830678445173E-2</v>
      </c>
      <c r="AD46" s="21">
        <v>8.4284969057243198E-2</v>
      </c>
      <c r="AE46" s="21">
        <v>7.4834536000690594E-2</v>
      </c>
      <c r="AF46" s="21">
        <v>1.6922055016950339E-2</v>
      </c>
      <c r="AG46" s="21"/>
      <c r="AH46" s="21">
        <v>1.411026244488116E-2</v>
      </c>
    </row>
    <row r="47" spans="1:34">
      <c r="A47" s="13" t="s">
        <v>48</v>
      </c>
      <c r="B47" s="13" t="s">
        <v>49</v>
      </c>
      <c r="C47" s="13">
        <v>45</v>
      </c>
      <c r="E47" s="14">
        <v>44873</v>
      </c>
      <c r="P47" s="18">
        <v>8.5000000000000006E-3</v>
      </c>
      <c r="Q47" s="18">
        <v>0.4199523134436467</v>
      </c>
      <c r="R47" s="18">
        <v>4.1700000000000001E-2</v>
      </c>
      <c r="S47" s="18">
        <v>3.4099999999999998E-2</v>
      </c>
      <c r="T47" s="18">
        <v>0.25396710019355601</v>
      </c>
      <c r="U47" s="18" t="s">
        <v>50</v>
      </c>
      <c r="V47" s="18" t="s">
        <v>50</v>
      </c>
      <c r="Z47" s="20">
        <v>-5.820436374579355</v>
      </c>
      <c r="AA47" s="10">
        <v>-23.494889226218</v>
      </c>
      <c r="AB47" s="17">
        <v>0.25529053305898969</v>
      </c>
      <c r="AC47" s="18" t="s">
        <v>51</v>
      </c>
      <c r="AD47" s="21">
        <v>2.892824763816693E-2</v>
      </c>
      <c r="AE47" s="21">
        <v>2.4038779789248139E-2</v>
      </c>
      <c r="AF47" s="21">
        <v>1.6603805924066069E-2</v>
      </c>
      <c r="AG47" s="21"/>
      <c r="AH47" s="21">
        <v>1.6135246160728221E-2</v>
      </c>
    </row>
    <row r="48" spans="1:34">
      <c r="A48" s="13" t="s">
        <v>48</v>
      </c>
      <c r="B48" s="13" t="s">
        <v>49</v>
      </c>
      <c r="C48" s="13">
        <v>46</v>
      </c>
      <c r="E48" s="14">
        <v>44880</v>
      </c>
      <c r="P48" s="18">
        <v>1.2E-2</v>
      </c>
      <c r="Q48" s="18">
        <v>1.2823339415400019</v>
      </c>
      <c r="R48" s="18">
        <v>3.8399999999999997E-2</v>
      </c>
      <c r="S48" s="18">
        <v>0.23019999999999999</v>
      </c>
      <c r="T48" s="18">
        <v>0.71128298228167097</v>
      </c>
      <c r="U48" s="18" t="s">
        <v>50</v>
      </c>
      <c r="V48" s="18">
        <v>5.7704412989175703E-2</v>
      </c>
      <c r="Z48" s="20">
        <v>-6.4320221724145084</v>
      </c>
      <c r="AA48" s="10">
        <v>-31.778986436612701</v>
      </c>
      <c r="AB48" s="17">
        <v>0.7555525382327557</v>
      </c>
      <c r="AC48" s="18">
        <v>5.0537216075150937E-2</v>
      </c>
      <c r="AD48" s="21">
        <v>8.9210378906180721E-2</v>
      </c>
      <c r="AE48" s="21">
        <v>7.112138079812573E-2</v>
      </c>
      <c r="AF48" s="21">
        <v>1.6927325378994509E-2</v>
      </c>
      <c r="AG48" s="21"/>
      <c r="AH48" s="18">
        <v>1.9074449365384039E-2</v>
      </c>
    </row>
    <row r="49" spans="1:35">
      <c r="A49" s="13" t="s">
        <v>48</v>
      </c>
      <c r="B49" s="13" t="s">
        <v>49</v>
      </c>
      <c r="C49" s="13">
        <v>47</v>
      </c>
      <c r="E49" s="14">
        <v>44887</v>
      </c>
      <c r="P49" s="18">
        <v>1.66E-2</v>
      </c>
      <c r="Q49" s="18">
        <v>0.71198944779947126</v>
      </c>
      <c r="R49" s="21" t="s">
        <v>50</v>
      </c>
      <c r="S49" s="21">
        <v>0.32235357137926818</v>
      </c>
      <c r="T49" s="21">
        <v>0.58595281137676491</v>
      </c>
      <c r="U49" s="21" t="s">
        <v>50</v>
      </c>
      <c r="V49" s="21">
        <v>2.9218483154789619E-2</v>
      </c>
      <c r="Z49" s="20">
        <v>-3.717529859822442</v>
      </c>
      <c r="AA49" s="10">
        <v>-11.56415135379412</v>
      </c>
      <c r="AB49" s="17">
        <v>0.36580576032213341</v>
      </c>
      <c r="AC49" s="18">
        <v>5.2811152843114058E-2</v>
      </c>
      <c r="AD49" s="21">
        <v>3.0295171197971201E-2</v>
      </c>
      <c r="AE49" s="21">
        <v>9.1832920773678203E-2</v>
      </c>
      <c r="AF49" s="21">
        <v>7.9000235606213505E-3</v>
      </c>
      <c r="AG49" s="21"/>
      <c r="AH49" s="21">
        <v>3.5465603924690198E-2</v>
      </c>
    </row>
    <row r="50" spans="1:35">
      <c r="A50" s="13" t="s">
        <v>48</v>
      </c>
      <c r="B50" s="13" t="s">
        <v>49</v>
      </c>
      <c r="C50" s="13">
        <v>48</v>
      </c>
      <c r="E50" s="14">
        <v>44894</v>
      </c>
      <c r="P50" s="18">
        <v>1.18E-2</v>
      </c>
      <c r="Q50" s="18">
        <v>0.172016060693372</v>
      </c>
      <c r="R50" s="21">
        <v>9.7000000000000003E-3</v>
      </c>
      <c r="S50" s="21">
        <v>2.7199999999999998E-2</v>
      </c>
      <c r="T50" s="21">
        <v>0.186997483612069</v>
      </c>
      <c r="U50" s="21" t="s">
        <v>50</v>
      </c>
      <c r="V50" s="21">
        <v>1.7647393838467959E-2</v>
      </c>
      <c r="Z50" s="20">
        <v>-6.5274915174244859</v>
      </c>
      <c r="AA50" s="10">
        <v>-33.877639484135273</v>
      </c>
      <c r="AB50" s="17">
        <v>7.6571639266021063E-2</v>
      </c>
      <c r="AC50" s="18" t="s">
        <v>154</v>
      </c>
      <c r="AD50" s="21" t="s">
        <v>51</v>
      </c>
      <c r="AE50" s="21">
        <v>1.952932582240069E-3</v>
      </c>
      <c r="AF50" s="21">
        <v>1.8144480675404591E-3</v>
      </c>
      <c r="AG50" s="21"/>
      <c r="AH50" s="21">
        <v>2.9262747678966271E-2</v>
      </c>
    </row>
    <row r="51" spans="1:35">
      <c r="A51" s="13" t="s">
        <v>48</v>
      </c>
      <c r="B51" s="13" t="s">
        <v>49</v>
      </c>
      <c r="C51" s="13">
        <v>49</v>
      </c>
      <c r="E51" s="14">
        <v>44901</v>
      </c>
      <c r="P51" s="18">
        <v>1.0999999999999999E-2</v>
      </c>
      <c r="Q51" s="18">
        <v>0.1801653652736771</v>
      </c>
      <c r="R51" s="21">
        <v>1.47E-2</v>
      </c>
      <c r="S51" s="21">
        <v>4.4999999999999997E-3</v>
      </c>
      <c r="T51" s="21">
        <v>0.1180645719294226</v>
      </c>
      <c r="U51" s="21" t="s">
        <v>50</v>
      </c>
      <c r="V51" s="21">
        <v>2.766164862614489E-2</v>
      </c>
      <c r="Z51" s="20">
        <v>-5.2017157513634631</v>
      </c>
      <c r="AA51" s="10">
        <v>-14.607494020989771</v>
      </c>
      <c r="AB51" s="17">
        <v>5.2302028832367183E-2</v>
      </c>
      <c r="AC51" s="18" t="s">
        <v>154</v>
      </c>
      <c r="AD51" s="21" t="s">
        <v>51</v>
      </c>
      <c r="AE51" s="21" t="s">
        <v>51</v>
      </c>
      <c r="AF51" s="21">
        <v>1.767049354418614E-3</v>
      </c>
      <c r="AG51" s="21"/>
      <c r="AH51" s="21">
        <v>2.758437408263234E-2</v>
      </c>
    </row>
    <row r="52" spans="1:35">
      <c r="A52" s="13" t="s">
        <v>48</v>
      </c>
      <c r="B52" s="13" t="s">
        <v>49</v>
      </c>
      <c r="C52" s="13">
        <v>50</v>
      </c>
      <c r="E52" s="14">
        <v>44908</v>
      </c>
      <c r="P52" s="18">
        <v>9.9000000000000008E-3</v>
      </c>
      <c r="Q52" s="18">
        <v>0.26712283788388541</v>
      </c>
      <c r="R52" s="21">
        <v>5.2299999999999999E-2</v>
      </c>
      <c r="S52" s="21">
        <v>1.0999999999999999E-2</v>
      </c>
      <c r="T52" s="21">
        <v>0.2149441239737156</v>
      </c>
      <c r="U52" s="21" t="s">
        <v>50</v>
      </c>
      <c r="V52" s="21">
        <v>8.3455353871773538E-2</v>
      </c>
      <c r="Z52" s="20">
        <v>-4.4309319206529976</v>
      </c>
      <c r="AA52" s="10">
        <v>-7.3176684866292039</v>
      </c>
      <c r="AB52" s="17">
        <v>0.2119105348757703</v>
      </c>
      <c r="AC52" s="18" t="s">
        <v>154</v>
      </c>
      <c r="AD52" s="21" t="s">
        <v>51</v>
      </c>
      <c r="AE52" s="21">
        <v>1.474814920392269E-2</v>
      </c>
      <c r="AF52" s="21">
        <v>1.837408727210727E-3</v>
      </c>
      <c r="AG52" s="21"/>
      <c r="AH52" s="21">
        <v>2.531456422995982E-2</v>
      </c>
    </row>
    <row r="53" spans="1:35">
      <c r="A53" s="13" t="s">
        <v>48</v>
      </c>
      <c r="B53" s="13" t="s">
        <v>49</v>
      </c>
      <c r="C53" s="13">
        <v>51</v>
      </c>
      <c r="E53" s="14">
        <v>44915</v>
      </c>
      <c r="P53" s="18" t="s">
        <v>50</v>
      </c>
      <c r="Q53" s="18">
        <v>0.36634051578277682</v>
      </c>
      <c r="R53" s="21">
        <v>3.2814052288992847E-2</v>
      </c>
      <c r="S53" s="21">
        <v>3.1289279289198113E-2</v>
      </c>
      <c r="T53" s="21">
        <v>0.43070951766510762</v>
      </c>
      <c r="U53" s="21" t="s">
        <v>50</v>
      </c>
      <c r="V53" s="21">
        <v>8.2865432386275431E-2</v>
      </c>
      <c r="Z53" s="20">
        <v>-4.7485226419882158</v>
      </c>
      <c r="AA53" s="10">
        <v>-5.9243594433028104</v>
      </c>
      <c r="AB53" s="17">
        <v>0.13953952170899589</v>
      </c>
      <c r="AC53" s="18">
        <v>1.9124715566591521E-2</v>
      </c>
      <c r="AD53" s="21" t="s">
        <v>51</v>
      </c>
      <c r="AE53" s="21">
        <v>5.9249498699806967E-2</v>
      </c>
      <c r="AF53" s="21">
        <v>7.5637509858289594E-3</v>
      </c>
      <c r="AG53" s="21"/>
      <c r="AH53" s="21">
        <v>2.8255882076681411E-2</v>
      </c>
    </row>
    <row r="54" spans="1:35">
      <c r="A54" s="13" t="s">
        <v>48</v>
      </c>
      <c r="B54" s="13" t="s">
        <v>49</v>
      </c>
      <c r="C54" s="13">
        <v>52</v>
      </c>
      <c r="E54" s="14">
        <v>44930</v>
      </c>
      <c r="P54" s="18" t="s">
        <v>50</v>
      </c>
      <c r="Q54" s="18">
        <v>0.53512781564386136</v>
      </c>
      <c r="R54" s="21">
        <v>1.8685232428880909E-2</v>
      </c>
      <c r="S54" s="21">
        <v>0.1354811737765895</v>
      </c>
      <c r="T54" s="21">
        <v>0.42093442745593862</v>
      </c>
      <c r="U54" s="21" t="s">
        <v>50</v>
      </c>
      <c r="V54" s="21">
        <v>2.302845055115664E-2</v>
      </c>
      <c r="Z54" s="20">
        <v>-4.3531351743495579</v>
      </c>
      <c r="AA54" s="10">
        <v>-4.7738200629902927</v>
      </c>
      <c r="AB54" s="17">
        <v>0.26939002889424118</v>
      </c>
      <c r="AC54" s="18">
        <v>2.9596812169697891E-2</v>
      </c>
      <c r="AD54" s="21" t="s">
        <v>51</v>
      </c>
      <c r="AE54" s="21">
        <v>8.8912148933654594E-2</v>
      </c>
      <c r="AF54" s="21">
        <v>7.5392999550431394E-3</v>
      </c>
      <c r="AG54" s="21"/>
      <c r="AH54" s="21">
        <v>3.1799576266544789E-2</v>
      </c>
    </row>
    <row r="55" spans="1:35">
      <c r="A55" s="13" t="s">
        <v>48</v>
      </c>
      <c r="B55" s="13" t="s">
        <v>49</v>
      </c>
      <c r="C55" s="13">
        <v>53</v>
      </c>
      <c r="E55" s="14">
        <v>44937</v>
      </c>
      <c r="P55" s="18">
        <v>2.92E-2</v>
      </c>
      <c r="Q55" s="18">
        <v>2.5867228164797309</v>
      </c>
      <c r="R55" s="21">
        <v>4.2803185975327243E-2</v>
      </c>
      <c r="S55" s="21">
        <v>2.0498351899753371</v>
      </c>
      <c r="T55" s="21">
        <v>1.2844097150616669</v>
      </c>
      <c r="U55" s="21" t="s">
        <v>50</v>
      </c>
      <c r="V55" s="21">
        <v>0.1695258888371371</v>
      </c>
      <c r="Z55" s="20">
        <v>-4.0563342219078953</v>
      </c>
      <c r="AA55" s="10">
        <v>-4.1724560168915783</v>
      </c>
      <c r="AB55" s="17">
        <v>1.429173662982842</v>
      </c>
      <c r="AC55" s="18">
        <v>0.18287922546087571</v>
      </c>
      <c r="AD55" s="21">
        <v>7.2002758781060563E-2</v>
      </c>
      <c r="AE55" s="21">
        <v>0.37709229256893462</v>
      </c>
      <c r="AF55" s="21">
        <v>8.906860558529751E-3</v>
      </c>
      <c r="AG55" s="21"/>
      <c r="AH55" s="18">
        <v>3.6024448074711439E-2</v>
      </c>
    </row>
    <row r="56" spans="1:35">
      <c r="A56" s="13" t="s">
        <v>48</v>
      </c>
      <c r="B56" s="13" t="s">
        <v>49</v>
      </c>
      <c r="C56" s="13">
        <v>54</v>
      </c>
      <c r="E56" s="14">
        <v>44945</v>
      </c>
      <c r="P56" s="18">
        <v>2.3199999999999998E-2</v>
      </c>
      <c r="Q56" s="18">
        <v>0.80325758411080384</v>
      </c>
      <c r="R56" s="21">
        <v>1.6937576306836129E-2</v>
      </c>
      <c r="S56" s="21">
        <v>0.32060197303515853</v>
      </c>
      <c r="T56" s="21" t="s">
        <v>50</v>
      </c>
      <c r="U56" s="21" t="s">
        <v>50</v>
      </c>
      <c r="V56" s="21">
        <v>2.3716231951560311E-2</v>
      </c>
      <c r="Z56" s="20">
        <v>-3.8081322558309498</v>
      </c>
      <c r="AA56" s="10">
        <v>-1.031241325727043</v>
      </c>
      <c r="AB56" s="17">
        <v>0.28749263809824249</v>
      </c>
      <c r="AC56" s="18">
        <v>4.9972837200840982E-2</v>
      </c>
      <c r="AD56" s="21">
        <v>3.7445030689348943E-2</v>
      </c>
      <c r="AE56" s="21">
        <v>0.14182370096089411</v>
      </c>
      <c r="AF56" s="21">
        <v>7.766708195672883E-3</v>
      </c>
      <c r="AG56" s="21"/>
      <c r="AH56" s="18">
        <v>4.2365741437917381E-2</v>
      </c>
    </row>
    <row r="57" spans="1:35">
      <c r="A57" s="13" t="s">
        <v>48</v>
      </c>
      <c r="B57" s="13" t="s">
        <v>49</v>
      </c>
      <c r="C57" s="13">
        <v>55</v>
      </c>
      <c r="E57" s="14">
        <v>44953</v>
      </c>
      <c r="Z57" s="20">
        <v>-4.3063224328789511</v>
      </c>
      <c r="AA57" s="10">
        <v>-2.0117483026851861</v>
      </c>
      <c r="AB57" s="17">
        <v>1.405462143276885</v>
      </c>
      <c r="AC57" s="18">
        <v>3.9927511252754913E-2</v>
      </c>
      <c r="AD57" s="21">
        <v>9.2163674459669137E-2</v>
      </c>
      <c r="AE57" s="21">
        <v>0.17554144809405389</v>
      </c>
      <c r="AF57" s="21">
        <v>1.6265712064886782E-2</v>
      </c>
      <c r="AG57" s="21"/>
      <c r="AH57" s="21">
        <v>2.3710681441133238E-2</v>
      </c>
    </row>
    <row r="58" spans="1:35">
      <c r="A58" s="13" t="s">
        <v>48</v>
      </c>
      <c r="B58" s="13" t="s">
        <v>49</v>
      </c>
      <c r="C58" s="13">
        <v>56</v>
      </c>
      <c r="E58" s="14">
        <v>44959</v>
      </c>
      <c r="Z58" s="20">
        <v>-2.1776180421012619</v>
      </c>
      <c r="AA58" s="10">
        <v>15.89790060489962</v>
      </c>
      <c r="AB58" s="17">
        <v>11.136519966820339</v>
      </c>
      <c r="AC58" s="18">
        <v>1.390758990078395</v>
      </c>
      <c r="AD58" s="21">
        <v>1.642198412506777</v>
      </c>
      <c r="AE58" s="21">
        <v>2.4260609429466</v>
      </c>
      <c r="AF58" s="21">
        <v>2.976236769178776E-2</v>
      </c>
      <c r="AG58" s="21"/>
      <c r="AH58" s="21">
        <v>0.1067326335086116</v>
      </c>
      <c r="AI58" s="17" t="s">
        <v>54</v>
      </c>
    </row>
    <row r="59" spans="1:35">
      <c r="A59" s="13" t="s">
        <v>48</v>
      </c>
      <c r="B59" s="13" t="s">
        <v>49</v>
      </c>
      <c r="C59" s="13">
        <v>57</v>
      </c>
      <c r="E59" s="14">
        <v>44966</v>
      </c>
      <c r="Z59" s="20">
        <v>-3.8418017499635071</v>
      </c>
      <c r="AA59" s="10">
        <v>-6.5561514479745728</v>
      </c>
      <c r="AB59" s="17">
        <v>0.22627684438134779</v>
      </c>
      <c r="AC59" s="18" t="s">
        <v>51</v>
      </c>
      <c r="AD59" s="21" t="s">
        <v>51</v>
      </c>
      <c r="AE59" s="21">
        <v>1.186260259325387E-2</v>
      </c>
      <c r="AF59" s="21">
        <v>1.503419803987833E-2</v>
      </c>
      <c r="AG59" s="21"/>
      <c r="AH59" s="21">
        <v>2.3147539529424631E-2</v>
      </c>
    </row>
    <row r="60" spans="1:35">
      <c r="A60" s="13" t="s">
        <v>48</v>
      </c>
      <c r="B60" s="13" t="s">
        <v>49</v>
      </c>
      <c r="C60" s="13">
        <v>58</v>
      </c>
      <c r="E60" s="14">
        <v>44973</v>
      </c>
      <c r="P60" s="18">
        <v>4.8061009954260922E-2</v>
      </c>
      <c r="Q60" s="18">
        <v>0.41834227910528521</v>
      </c>
      <c r="R60" s="21">
        <v>1.6659500307564679E-2</v>
      </c>
      <c r="S60" s="21">
        <v>0.11062909152131099</v>
      </c>
      <c r="T60" s="21">
        <v>0.4124092303806276</v>
      </c>
      <c r="U60" s="21" t="s">
        <v>50</v>
      </c>
      <c r="V60" s="21">
        <v>2.2095984818218131E-2</v>
      </c>
      <c r="Z60" s="20">
        <v>-3.2567007785869619</v>
      </c>
      <c r="AA60" s="10">
        <v>-7.1530467232787753</v>
      </c>
      <c r="AB60" s="17">
        <v>0.560926605333807</v>
      </c>
      <c r="AC60" s="18" t="s">
        <v>51</v>
      </c>
      <c r="AD60" s="21">
        <v>9.2292056760306981E-2</v>
      </c>
      <c r="AE60" s="21">
        <v>0.1290015897540554</v>
      </c>
      <c r="AF60" s="21">
        <v>1.166928287773128E-2</v>
      </c>
      <c r="AG60" s="21"/>
      <c r="AH60" s="21">
        <v>7.6900988995330516E-2</v>
      </c>
    </row>
    <row r="61" spans="1:35">
      <c r="A61" s="13" t="s">
        <v>48</v>
      </c>
      <c r="B61" s="13" t="s">
        <v>49</v>
      </c>
      <c r="C61" s="13">
        <v>59</v>
      </c>
      <c r="E61" s="14">
        <v>44980</v>
      </c>
      <c r="P61" s="18">
        <v>3.8075453369355673E-2</v>
      </c>
      <c r="Q61" s="18">
        <v>3.9377118800925039</v>
      </c>
      <c r="R61" s="21">
        <v>2.2095182068854791E-2</v>
      </c>
      <c r="S61" s="21">
        <v>1.496023457837607</v>
      </c>
      <c r="T61" s="21">
        <v>1.477718439115165</v>
      </c>
      <c r="U61" s="21">
        <v>3.5707345381750619E-2</v>
      </c>
      <c r="V61" s="21">
        <v>0.4265754669574463</v>
      </c>
      <c r="Z61" s="20">
        <v>-3.5182609648302852</v>
      </c>
      <c r="AA61" s="10">
        <v>2.921915124341131</v>
      </c>
      <c r="AB61" s="17">
        <v>2.2445212750100318</v>
      </c>
      <c r="AC61" s="18">
        <v>0.17923200952601279</v>
      </c>
      <c r="AD61" s="21">
        <v>0.1227324851228126</v>
      </c>
      <c r="AE61" s="21">
        <v>0.21296835203263939</v>
      </c>
      <c r="AF61" s="21">
        <v>1.229890131616135E-2</v>
      </c>
      <c r="AG61" s="21"/>
      <c r="AH61" s="21">
        <v>6.1983446542462663E-2</v>
      </c>
    </row>
    <row r="62" spans="1:35">
      <c r="A62" s="13" t="s">
        <v>48</v>
      </c>
      <c r="B62" s="13" t="s">
        <v>49</v>
      </c>
      <c r="C62" s="13">
        <v>60</v>
      </c>
      <c r="E62" s="14">
        <v>44987</v>
      </c>
      <c r="P62" s="18">
        <v>5.4719143310959978E-2</v>
      </c>
      <c r="Q62" s="18">
        <v>7.3235155205315374</v>
      </c>
      <c r="R62" s="21">
        <v>2.3968895119852309E-2</v>
      </c>
      <c r="S62" s="21">
        <v>1.9000789263032849</v>
      </c>
      <c r="T62" s="21">
        <v>2.3524250515298322</v>
      </c>
      <c r="U62" s="21" t="s">
        <v>50</v>
      </c>
      <c r="V62" s="21">
        <v>0.24924340791050739</v>
      </c>
      <c r="Z62" s="20">
        <v>-2.8989787591659471</v>
      </c>
      <c r="AA62" s="10">
        <v>3.3395123001754219</v>
      </c>
      <c r="AB62" s="17">
        <v>4.187446766954614</v>
      </c>
      <c r="AC62" s="18">
        <v>0.47174397518334232</v>
      </c>
      <c r="AD62" s="21">
        <v>0.2281702272995175</v>
      </c>
      <c r="AE62" s="21">
        <v>0.43166591904079071</v>
      </c>
      <c r="AF62" s="21">
        <v>1.3778157411959761E-2</v>
      </c>
      <c r="AG62" s="21"/>
      <c r="AH62" s="21">
        <v>8.0810655852632932E-2</v>
      </c>
    </row>
    <row r="63" spans="1:35">
      <c r="A63" s="13" t="s">
        <v>48</v>
      </c>
      <c r="B63" s="13" t="s">
        <v>49</v>
      </c>
      <c r="C63" s="13">
        <v>61</v>
      </c>
      <c r="E63" s="14">
        <v>44994</v>
      </c>
      <c r="W63" s="34"/>
      <c r="AC63" s="18"/>
      <c r="AD63" s="21"/>
      <c r="AE63" s="21"/>
      <c r="AF63" s="21"/>
      <c r="AG63" s="21"/>
      <c r="AH63" s="21"/>
    </row>
    <row r="64" spans="1:35">
      <c r="A64" s="13" t="s">
        <v>48</v>
      </c>
      <c r="B64" s="13" t="s">
        <v>49</v>
      </c>
      <c r="C64" s="13">
        <v>62</v>
      </c>
      <c r="E64" s="14">
        <v>45001</v>
      </c>
      <c r="P64" s="18">
        <v>9.8434893499788026E-2</v>
      </c>
      <c r="Q64" s="18">
        <v>7.8518292032944412</v>
      </c>
      <c r="R64" s="21">
        <v>8.5425318268565642E-2</v>
      </c>
      <c r="S64" s="21">
        <v>3.9770081997852391</v>
      </c>
      <c r="T64" s="21">
        <v>3.9995096971396511</v>
      </c>
      <c r="U64" s="21" t="s">
        <v>50</v>
      </c>
      <c r="V64" s="21">
        <v>1.325231409046157</v>
      </c>
      <c r="Z64" s="20">
        <v>-3.1120471826600151</v>
      </c>
      <c r="AA64" s="10">
        <v>3.1509846072171088</v>
      </c>
      <c r="AB64" s="17">
        <v>4.3553462940443941</v>
      </c>
      <c r="AC64" s="18">
        <v>0.54459172331473082</v>
      </c>
      <c r="AD64" s="21">
        <v>0.54974238162153766</v>
      </c>
      <c r="AE64" s="21">
        <v>0.6632107356689545</v>
      </c>
      <c r="AF64" s="21">
        <v>8.0411319158988151E-3</v>
      </c>
      <c r="AG64" s="21"/>
      <c r="AH64" s="21">
        <v>7.7735308002181688E-2</v>
      </c>
    </row>
    <row r="65" spans="1:35">
      <c r="A65" s="13" t="s">
        <v>48</v>
      </c>
      <c r="B65" s="13" t="s">
        <v>49</v>
      </c>
      <c r="C65" s="13">
        <v>63</v>
      </c>
      <c r="E65" s="14">
        <v>45008</v>
      </c>
      <c r="P65" s="18">
        <v>9.74E-2</v>
      </c>
      <c r="Q65" s="18">
        <v>2.5169910757510681</v>
      </c>
      <c r="R65" s="21" t="s">
        <v>50</v>
      </c>
      <c r="S65" s="21">
        <v>0.40386953385869329</v>
      </c>
      <c r="T65" s="21">
        <v>0.8051260946511879</v>
      </c>
      <c r="U65" s="21" t="s">
        <v>50</v>
      </c>
      <c r="V65" s="21">
        <v>8.9514236022427363E-2</v>
      </c>
      <c r="Z65" s="20">
        <v>-3.0451447455960401</v>
      </c>
      <c r="AA65" s="10">
        <v>-3.3348188387971991</v>
      </c>
      <c r="AB65" s="17">
        <v>1.44506863527072</v>
      </c>
      <c r="AC65" s="18">
        <v>0.20978618147135619</v>
      </c>
      <c r="AD65" s="21">
        <v>0.12233526876342581</v>
      </c>
      <c r="AE65" s="21">
        <v>0.3782971153764399</v>
      </c>
      <c r="AF65" s="21">
        <v>1.27030106927355E-2</v>
      </c>
      <c r="AG65" s="21"/>
      <c r="AH65" s="21">
        <v>6.7281637041549699E-2</v>
      </c>
    </row>
    <row r="66" spans="1:35">
      <c r="A66" s="13" t="s">
        <v>48</v>
      </c>
      <c r="B66" s="13" t="s">
        <v>49</v>
      </c>
      <c r="C66" s="13">
        <v>64</v>
      </c>
      <c r="E66" s="14">
        <v>45015</v>
      </c>
      <c r="P66" s="18">
        <v>3.8214128150053407E-2</v>
      </c>
      <c r="Q66" s="18">
        <v>0.3016847619338856</v>
      </c>
      <c r="R66" s="21">
        <v>1.3471742846899721E-2</v>
      </c>
      <c r="S66" s="21">
        <v>0.30487169541420628</v>
      </c>
      <c r="T66" s="21">
        <v>0.48964375520169462</v>
      </c>
      <c r="U66" s="21" t="s">
        <v>50</v>
      </c>
      <c r="V66" s="21">
        <v>2.7569416699960051E-2</v>
      </c>
      <c r="Z66" s="20">
        <v>-4.3004937678066417</v>
      </c>
      <c r="AA66" s="10">
        <v>-12.231977778627471</v>
      </c>
      <c r="AB66" s="17">
        <v>0.4148478757283055</v>
      </c>
      <c r="AC66" s="18" t="s">
        <v>51</v>
      </c>
      <c r="AD66" s="21">
        <v>2.5061245564721241E-2</v>
      </c>
      <c r="AE66" s="21">
        <v>9.6729790558499423E-2</v>
      </c>
      <c r="AF66" s="21">
        <v>1.133427788436946E-2</v>
      </c>
      <c r="AG66" s="21"/>
      <c r="AH66" s="21">
        <v>7.106591660849905E-2</v>
      </c>
    </row>
    <row r="67" spans="1:35">
      <c r="A67" s="13" t="s">
        <v>48</v>
      </c>
      <c r="B67" s="13" t="s">
        <v>49</v>
      </c>
      <c r="C67" s="13">
        <v>65</v>
      </c>
      <c r="E67" s="14">
        <v>45022</v>
      </c>
      <c r="W67" s="34"/>
      <c r="Z67" s="20">
        <v>-2.9143594764150702</v>
      </c>
      <c r="AA67" s="10">
        <v>-4.6443372173774033</v>
      </c>
      <c r="AB67" s="17">
        <v>1.440546035693937</v>
      </c>
      <c r="AC67" s="18">
        <v>0.1120746888413382</v>
      </c>
      <c r="AD67" s="21">
        <v>0.23507024859893591</v>
      </c>
      <c r="AE67" s="21">
        <v>0.45254721965031908</v>
      </c>
      <c r="AF67" s="21">
        <v>1.1954814305276149E-2</v>
      </c>
      <c r="AG67" s="21"/>
      <c r="AH67" s="21">
        <v>4.1969812831469902E-2</v>
      </c>
    </row>
    <row r="68" spans="1:35">
      <c r="A68" s="13" t="s">
        <v>48</v>
      </c>
      <c r="B68" s="13" t="s">
        <v>49</v>
      </c>
      <c r="C68" s="13">
        <v>66</v>
      </c>
      <c r="E68" s="14">
        <v>45029</v>
      </c>
      <c r="P68" s="18">
        <v>0.10315567599794399</v>
      </c>
      <c r="Q68" s="18">
        <v>3.3580598871028098</v>
      </c>
      <c r="R68" s="21">
        <v>2.6591524801592329E-2</v>
      </c>
      <c r="S68" s="21">
        <v>1.3509978615142719</v>
      </c>
      <c r="T68" s="21">
        <v>2.385472042587979</v>
      </c>
      <c r="U68" s="21" t="s">
        <v>50</v>
      </c>
      <c r="V68" s="21">
        <v>0.16782610866959649</v>
      </c>
      <c r="Z68" s="20">
        <v>-2.5772737172623938</v>
      </c>
      <c r="AA68" s="10">
        <v>-4.7375876057265547</v>
      </c>
      <c r="AB68" s="17">
        <v>1.901761022540112</v>
      </c>
      <c r="AC68" s="18">
        <v>0.22837574605076499</v>
      </c>
      <c r="AD68" s="21">
        <v>0.30394226893626791</v>
      </c>
      <c r="AE68" s="21">
        <v>0.71159849704156763</v>
      </c>
      <c r="AF68" s="21">
        <v>1.349248994247456E-2</v>
      </c>
      <c r="AG68" s="21"/>
      <c r="AH68" s="21">
        <v>0.11180737623159059</v>
      </c>
    </row>
    <row r="69" spans="1:35">
      <c r="A69" s="13" t="s">
        <v>48</v>
      </c>
      <c r="B69" s="13" t="s">
        <v>49</v>
      </c>
      <c r="C69" s="13">
        <v>67</v>
      </c>
      <c r="E69" s="14">
        <v>45036</v>
      </c>
      <c r="P69" s="18">
        <v>7.1576460687594504E-2</v>
      </c>
      <c r="Q69" s="18">
        <v>0.49512461400815611</v>
      </c>
      <c r="R69" s="21">
        <v>1.065820340478691E-2</v>
      </c>
      <c r="S69" s="21">
        <v>0.71338353220352191</v>
      </c>
      <c r="T69" s="21">
        <v>0.91802053837762931</v>
      </c>
      <c r="U69" s="21" t="s">
        <v>50</v>
      </c>
      <c r="V69" s="21">
        <v>0.197929984019177</v>
      </c>
      <c r="Z69" s="20">
        <v>-3.1444536933140941</v>
      </c>
      <c r="AA69" s="10">
        <v>-11.299435815129311</v>
      </c>
      <c r="AB69" s="17">
        <v>0.51718268746255336</v>
      </c>
      <c r="AC69" s="18">
        <v>1.4651051172960479E-2</v>
      </c>
      <c r="AD69" s="21">
        <v>0.18375479458037311</v>
      </c>
      <c r="AE69" s="21">
        <v>0.21839846571712079</v>
      </c>
      <c r="AF69" s="21">
        <v>1.1674702299701779E-2</v>
      </c>
      <c r="AG69" s="21"/>
      <c r="AH69" s="21">
        <v>7.25658703912824E-2</v>
      </c>
    </row>
    <row r="70" spans="1:35">
      <c r="A70" s="13" t="s">
        <v>48</v>
      </c>
      <c r="B70" s="13" t="s">
        <v>49</v>
      </c>
      <c r="C70" s="13">
        <v>68</v>
      </c>
      <c r="E70" s="14">
        <v>45043</v>
      </c>
      <c r="P70" s="18">
        <v>9.1146313746408386E-2</v>
      </c>
      <c r="Q70" s="18">
        <v>2.58013248546037</v>
      </c>
      <c r="R70" s="21">
        <v>3.052422553432876E-2</v>
      </c>
      <c r="S70" s="21">
        <v>0.42118279244294748</v>
      </c>
      <c r="T70" s="21">
        <v>1.5644549499005611</v>
      </c>
      <c r="U70" s="21" t="s">
        <v>50</v>
      </c>
      <c r="V70" s="21">
        <v>3.099031162604873E-2</v>
      </c>
      <c r="Z70" s="20">
        <v>-2.8713540870894461</v>
      </c>
      <c r="AA70" s="10">
        <v>-2.9062141591517872</v>
      </c>
      <c r="AB70" s="17">
        <v>1.591396444741966</v>
      </c>
      <c r="AC70" s="18">
        <v>0.13481970026995749</v>
      </c>
      <c r="AD70" s="21">
        <v>5.4632952607358058E-2</v>
      </c>
      <c r="AE70" s="21">
        <v>0.51066896531480399</v>
      </c>
      <c r="AF70" s="21">
        <v>1.2737008341904931E-2</v>
      </c>
      <c r="AG70" s="21"/>
      <c r="AH70" s="21">
        <v>0.1248161742243647</v>
      </c>
    </row>
    <row r="71" spans="1:35">
      <c r="A71" s="13" t="s">
        <v>48</v>
      </c>
      <c r="B71" s="13" t="s">
        <v>49</v>
      </c>
      <c r="C71" s="13">
        <v>69</v>
      </c>
      <c r="E71" s="14">
        <v>45050</v>
      </c>
      <c r="P71" s="18">
        <v>7.1800000000000003E-2</v>
      </c>
      <c r="Q71" s="18">
        <v>0.9641567481724469</v>
      </c>
      <c r="R71" s="21">
        <v>4.8599999999999997E-2</v>
      </c>
      <c r="S71" s="21">
        <v>1.4582593649640031E-2</v>
      </c>
      <c r="T71" s="21">
        <v>0.80812443736289563</v>
      </c>
      <c r="U71" s="21" t="s">
        <v>50</v>
      </c>
      <c r="V71" s="21">
        <v>0.18932024665231509</v>
      </c>
      <c r="AC71" s="18"/>
      <c r="AD71" s="21"/>
      <c r="AE71" s="21"/>
      <c r="AF71" s="21"/>
      <c r="AG71" s="21"/>
      <c r="AH71" s="21"/>
      <c r="AI71" s="17" t="s">
        <v>55</v>
      </c>
    </row>
    <row r="72" spans="1:35">
      <c r="A72" s="13" t="s">
        <v>48</v>
      </c>
      <c r="B72" s="13" t="s">
        <v>49</v>
      </c>
      <c r="C72" s="13">
        <v>70</v>
      </c>
      <c r="E72" s="14">
        <v>45057</v>
      </c>
      <c r="P72" s="18">
        <v>0.11509999999999999</v>
      </c>
      <c r="Q72" s="18">
        <v>0.52934621616510602</v>
      </c>
      <c r="R72" s="21">
        <v>1.6500000000000001E-2</v>
      </c>
      <c r="S72" s="21">
        <v>9.901891178973618E-2</v>
      </c>
      <c r="T72" s="21">
        <v>0.33065550712417052</v>
      </c>
      <c r="U72" s="21" t="s">
        <v>50</v>
      </c>
      <c r="V72" s="21">
        <v>8.6071401298106046E-2</v>
      </c>
      <c r="Z72" s="20">
        <v>-6.4381561339484108</v>
      </c>
      <c r="AA72" s="10">
        <v>-36.358408086432433</v>
      </c>
      <c r="AB72" s="17">
        <v>1.1202993692811121</v>
      </c>
      <c r="AC72" s="18">
        <v>1.662109607054236E-3</v>
      </c>
      <c r="AD72" s="21">
        <v>0.12789423561833341</v>
      </c>
      <c r="AE72" s="21">
        <v>0.1722413539909555</v>
      </c>
      <c r="AF72" s="21">
        <v>1.3928582839975129E-2</v>
      </c>
      <c r="AG72" s="21"/>
      <c r="AH72" s="21">
        <v>4.6672944755066517E-2</v>
      </c>
    </row>
    <row r="73" spans="1:35">
      <c r="A73" s="13" t="s">
        <v>48</v>
      </c>
      <c r="B73" s="13" t="s">
        <v>49</v>
      </c>
      <c r="C73" s="13">
        <v>71</v>
      </c>
      <c r="E73" s="14">
        <v>45064</v>
      </c>
      <c r="P73" s="18">
        <v>0.18990000000000001</v>
      </c>
      <c r="Q73" s="18">
        <v>6.8332911726611494</v>
      </c>
      <c r="R73" s="21">
        <v>2.8500000000000001E-2</v>
      </c>
      <c r="S73" s="21">
        <v>2.7650994184831069E-2</v>
      </c>
      <c r="T73" s="21">
        <v>4.3661115789532694</v>
      </c>
      <c r="U73" s="21" t="s">
        <v>50</v>
      </c>
      <c r="V73" s="21">
        <v>6.7482759878862994E-3</v>
      </c>
      <c r="Z73" s="20">
        <v>-2.018426526108946</v>
      </c>
      <c r="AA73" s="10">
        <v>2.3454632688999788</v>
      </c>
      <c r="AB73" s="17">
        <v>4.7196429158594908</v>
      </c>
      <c r="AC73" s="18">
        <v>0.59629872664369887</v>
      </c>
      <c r="AD73" s="21">
        <v>0.21483656633161921</v>
      </c>
      <c r="AE73" s="21">
        <v>1.941147460724522</v>
      </c>
      <c r="AF73" s="21">
        <v>1.9132918033475291E-2</v>
      </c>
      <c r="AG73" s="21"/>
      <c r="AH73" s="21">
        <v>0.18878838168014681</v>
      </c>
    </row>
    <row r="74" spans="1:35">
      <c r="A74" s="13" t="s">
        <v>48</v>
      </c>
      <c r="B74" s="13" t="s">
        <v>49</v>
      </c>
      <c r="C74" s="13">
        <v>72</v>
      </c>
      <c r="E74" s="14">
        <v>45071</v>
      </c>
      <c r="P74" s="18">
        <v>3.7699999999999997E-2</v>
      </c>
      <c r="Q74" s="18">
        <v>0.26396756503005647</v>
      </c>
      <c r="R74" s="21">
        <v>3.1099999999999999E-2</v>
      </c>
      <c r="S74" s="21">
        <v>9.3673407110119553E-2</v>
      </c>
      <c r="T74" s="21">
        <v>0.40382880790144882</v>
      </c>
      <c r="U74" s="21" t="s">
        <v>50</v>
      </c>
      <c r="V74" s="21" t="s">
        <v>50</v>
      </c>
      <c r="Z74" s="20">
        <v>-3.0694291967586258</v>
      </c>
      <c r="AA74" s="10">
        <v>-10.053883128886531</v>
      </c>
      <c r="AB74" s="17">
        <v>0.9119644290028367</v>
      </c>
      <c r="AC74" s="18">
        <v>5.9701780991565038E-3</v>
      </c>
      <c r="AD74" s="21">
        <v>0.39895856014595138</v>
      </c>
      <c r="AE74" s="21">
        <v>0.1355729559102429</v>
      </c>
      <c r="AF74" s="21">
        <v>1.337399563356278E-2</v>
      </c>
      <c r="AG74" s="21"/>
      <c r="AH74" s="21">
        <v>3.1048715786916609E-2</v>
      </c>
    </row>
    <row r="75" spans="1:35">
      <c r="A75" s="13" t="s">
        <v>48</v>
      </c>
      <c r="B75" s="13" t="s">
        <v>49</v>
      </c>
      <c r="C75" s="13">
        <v>73</v>
      </c>
      <c r="E75" s="14">
        <v>45078</v>
      </c>
      <c r="P75" s="18">
        <v>2.47E-2</v>
      </c>
      <c r="Q75" s="18">
        <v>1.526246760646979</v>
      </c>
      <c r="R75" s="21">
        <v>1.61E-2</v>
      </c>
      <c r="S75" s="21">
        <v>2.158937109718408E-2</v>
      </c>
      <c r="T75" s="21">
        <v>0.59873962059941654</v>
      </c>
      <c r="U75" s="21" t="s">
        <v>50</v>
      </c>
      <c r="V75" s="21" t="s">
        <v>50</v>
      </c>
      <c r="Z75" s="20">
        <v>-6.8914525466220704</v>
      </c>
      <c r="AA75" s="10">
        <v>-43.043072493482001</v>
      </c>
      <c r="AB75" s="17">
        <v>1.3808757778033349</v>
      </c>
      <c r="AC75" s="18">
        <v>6.7347285184075428E-2</v>
      </c>
      <c r="AD75" s="21">
        <v>0.29795027583788652</v>
      </c>
      <c r="AE75" s="21">
        <v>0.15270901151111729</v>
      </c>
      <c r="AF75" s="21">
        <v>1.347047568615484E-2</v>
      </c>
      <c r="AG75" s="21"/>
      <c r="AH75" s="21">
        <v>3.653632688924844E-2</v>
      </c>
    </row>
    <row r="76" spans="1:35">
      <c r="A76" s="13" t="s">
        <v>48</v>
      </c>
      <c r="B76" s="13" t="s">
        <v>49</v>
      </c>
      <c r="C76" s="13">
        <v>74</v>
      </c>
      <c r="E76" s="14">
        <v>45085</v>
      </c>
      <c r="P76" s="18">
        <v>2.3999999999999998E-3</v>
      </c>
      <c r="Q76" s="18">
        <v>0.25911345278166809</v>
      </c>
      <c r="R76" s="21">
        <v>0.1265</v>
      </c>
      <c r="S76" s="21">
        <v>0.34205694166792328</v>
      </c>
      <c r="T76" s="21">
        <v>0.71414758618193808</v>
      </c>
      <c r="U76" s="21" t="s">
        <v>50</v>
      </c>
      <c r="V76" s="21">
        <v>0.12854332879885291</v>
      </c>
      <c r="Z76" s="20">
        <v>-3.4084160792797968</v>
      </c>
      <c r="AA76" s="10">
        <v>-12.50208379333827</v>
      </c>
      <c r="AB76" s="17">
        <v>0.58144229392173263</v>
      </c>
      <c r="AC76" s="18" t="s">
        <v>51</v>
      </c>
      <c r="AD76" s="21">
        <v>5.6049105103332317E-2</v>
      </c>
      <c r="AE76" s="21">
        <v>0.1223258179238924</v>
      </c>
      <c r="AF76" s="21">
        <v>1.3199246343346949E-2</v>
      </c>
      <c r="AG76" s="21"/>
      <c r="AH76" s="21">
        <v>3.3937025978333382E-2</v>
      </c>
    </row>
    <row r="77" spans="1:35">
      <c r="A77" s="13" t="s">
        <v>48</v>
      </c>
      <c r="B77" s="13" t="s">
        <v>49</v>
      </c>
      <c r="C77" s="13">
        <v>75</v>
      </c>
      <c r="E77" s="14">
        <v>45092</v>
      </c>
      <c r="P77" s="18">
        <v>2.0999999999999999E-3</v>
      </c>
      <c r="Q77" s="18">
        <v>6.9111059159927921E-2</v>
      </c>
      <c r="R77" s="21">
        <v>1.1299999999999999E-2</v>
      </c>
      <c r="S77" s="21">
        <v>1.3688041512960431E-2</v>
      </c>
      <c r="T77" s="21">
        <v>0.2369028094249806</v>
      </c>
      <c r="U77" s="21" t="s">
        <v>50</v>
      </c>
      <c r="V77" s="21">
        <v>2.104672965917867E-2</v>
      </c>
      <c r="Z77" s="20">
        <v>-8.8003141990430844</v>
      </c>
      <c r="AA77" s="10">
        <v>-55.084486641068807</v>
      </c>
      <c r="AB77" s="17">
        <v>0.4375367376197381</v>
      </c>
      <c r="AC77" s="18" t="s">
        <v>51</v>
      </c>
      <c r="AD77" s="21">
        <v>3.2757150239575428E-2</v>
      </c>
      <c r="AE77" s="21">
        <v>6.6310197700510498E-2</v>
      </c>
      <c r="AF77" s="21">
        <v>1.300785400478505E-2</v>
      </c>
      <c r="AG77" s="21"/>
      <c r="AH77" s="21">
        <v>3.4741356576969161E-2</v>
      </c>
      <c r="AI77" s="35"/>
    </row>
    <row r="78" spans="1:35">
      <c r="A78" s="13" t="s">
        <v>48</v>
      </c>
      <c r="B78" s="13" t="s">
        <v>49</v>
      </c>
      <c r="C78" s="13">
        <v>76</v>
      </c>
      <c r="E78" s="14">
        <v>45098</v>
      </c>
      <c r="P78" s="18">
        <v>6.7799999999999999E-2</v>
      </c>
      <c r="Q78" s="18">
        <v>9.2068250010227226E-2</v>
      </c>
      <c r="R78" s="21">
        <v>9.2999999999999992E-3</v>
      </c>
      <c r="S78" s="21">
        <v>1.305357419272694E-2</v>
      </c>
      <c r="T78" s="21">
        <v>0.45451114371955093</v>
      </c>
      <c r="U78" s="21" t="s">
        <v>50</v>
      </c>
      <c r="V78" s="21">
        <v>2.8376043236883731E-2</v>
      </c>
      <c r="Z78" s="20">
        <v>-5.6852899181165037</v>
      </c>
      <c r="AA78" s="10">
        <v>-29.435005664845381</v>
      </c>
      <c r="AB78" s="17">
        <v>0.40102455939966353</v>
      </c>
      <c r="AC78" s="18" t="s">
        <v>51</v>
      </c>
      <c r="AD78" s="21">
        <v>3.6440864694204933E-2</v>
      </c>
      <c r="AE78" s="21">
        <v>0.1814257002429171</v>
      </c>
      <c r="AF78" s="21">
        <v>1.318092525061897E-2</v>
      </c>
      <c r="AG78" s="21"/>
      <c r="AH78" s="21">
        <v>4.5794346980300993E-2</v>
      </c>
    </row>
    <row r="79" spans="1:35">
      <c r="A79" s="13" t="s">
        <v>48</v>
      </c>
      <c r="B79" s="13" t="s">
        <v>49</v>
      </c>
      <c r="C79" s="13">
        <v>77</v>
      </c>
      <c r="E79" s="14">
        <v>45104</v>
      </c>
      <c r="P79" s="18">
        <v>6.1499999999999999E-2</v>
      </c>
      <c r="Q79" s="18">
        <v>0.27899386199265508</v>
      </c>
      <c r="R79" s="21">
        <v>1.4E-2</v>
      </c>
      <c r="S79" s="21">
        <v>0.23627111362164471</v>
      </c>
      <c r="T79" s="21">
        <v>0.58473489614509488</v>
      </c>
      <c r="U79" s="21" t="s">
        <v>50</v>
      </c>
      <c r="V79" s="21">
        <v>1.371741608147361E-2</v>
      </c>
      <c r="Z79" s="20">
        <v>-5.0008660855420448</v>
      </c>
      <c r="AA79" s="10">
        <v>-23.507102314126211</v>
      </c>
      <c r="AB79" s="17">
        <v>0.54833413324729929</v>
      </c>
      <c r="AC79" s="18" t="s">
        <v>51</v>
      </c>
      <c r="AD79" s="21">
        <v>0.10807686865180149</v>
      </c>
      <c r="AE79" s="21">
        <v>0.24741954465758101</v>
      </c>
      <c r="AF79" s="21">
        <v>1.328971944129667E-2</v>
      </c>
      <c r="AG79" s="21"/>
      <c r="AH79" s="21">
        <v>4.7717793751585372E-2</v>
      </c>
    </row>
    <row r="80" spans="1:35">
      <c r="A80" s="13" t="s">
        <v>48</v>
      </c>
      <c r="B80" s="13" t="s">
        <v>49</v>
      </c>
      <c r="C80" s="13">
        <v>78</v>
      </c>
      <c r="E80" s="14">
        <v>45111</v>
      </c>
      <c r="P80" s="18">
        <v>3.2099999999999997E-2</v>
      </c>
      <c r="Q80" s="18">
        <v>0.1196454212884273</v>
      </c>
      <c r="R80" s="21">
        <v>2.7E-2</v>
      </c>
      <c r="S80" s="21">
        <v>9.0996500560567739E-2</v>
      </c>
      <c r="T80" s="21">
        <v>0.32709926571779929</v>
      </c>
      <c r="U80" s="21" t="s">
        <v>50</v>
      </c>
      <c r="V80" s="21">
        <v>1.5549744475899879E-2</v>
      </c>
      <c r="Z80" s="20">
        <v>-11.359557660952399</v>
      </c>
      <c r="AA80" s="10">
        <v>-74.746292377135418</v>
      </c>
      <c r="AB80" s="17">
        <v>0.438242677249082</v>
      </c>
      <c r="AC80" s="18" t="s">
        <v>51</v>
      </c>
      <c r="AD80" s="21">
        <v>5.5002655281007777E-2</v>
      </c>
      <c r="AE80" s="21">
        <v>0.12518611249257569</v>
      </c>
      <c r="AF80" s="21">
        <v>1.2996113248937411E-2</v>
      </c>
      <c r="AG80" s="21"/>
      <c r="AH80" s="21">
        <v>3.7335518962453608E-2</v>
      </c>
    </row>
    <row r="81" spans="1:36">
      <c r="A81" s="13" t="s">
        <v>48</v>
      </c>
      <c r="B81" s="13" t="s">
        <v>49</v>
      </c>
      <c r="C81" s="13">
        <v>79</v>
      </c>
      <c r="E81" s="14">
        <v>45125</v>
      </c>
      <c r="P81" s="18">
        <v>0.10970000000000001</v>
      </c>
      <c r="Q81" s="18">
        <v>0.52516945232499379</v>
      </c>
      <c r="R81" s="21">
        <v>8.9999999999999993E-3</v>
      </c>
      <c r="S81" s="21">
        <v>0.1115798348004533</v>
      </c>
      <c r="T81" s="21">
        <v>0.15901422789527361</v>
      </c>
      <c r="U81" s="21" t="s">
        <v>50</v>
      </c>
      <c r="V81" s="21">
        <v>1.7382072870326139E-2</v>
      </c>
      <c r="Z81" s="20">
        <v>-8.8587231439172403</v>
      </c>
      <c r="AA81" s="10">
        <v>-57.664814640066929</v>
      </c>
      <c r="AB81" s="17">
        <v>0.60622478019046044</v>
      </c>
      <c r="AC81" s="18">
        <v>5.5961403968987647E-2</v>
      </c>
      <c r="AD81" s="21">
        <v>0.71695475677343767</v>
      </c>
      <c r="AE81" s="21">
        <v>0.30394552572389472</v>
      </c>
      <c r="AF81" s="21">
        <v>1.3433318292378919E-2</v>
      </c>
      <c r="AG81" s="21"/>
      <c r="AH81" s="21">
        <v>6.2872273767274417E-2</v>
      </c>
    </row>
    <row r="82" spans="1:36">
      <c r="A82" s="13" t="s">
        <v>48</v>
      </c>
      <c r="B82" s="13" t="s">
        <v>49</v>
      </c>
      <c r="C82" s="13">
        <v>80</v>
      </c>
      <c r="E82" s="14">
        <v>45132</v>
      </c>
      <c r="P82" s="18">
        <v>6.5799999999999997E-2</v>
      </c>
      <c r="Q82" s="18">
        <v>0.53304088739792499</v>
      </c>
      <c r="R82" s="21">
        <v>0.1565</v>
      </c>
      <c r="S82" s="21">
        <v>1.7072127347927901E-2</v>
      </c>
      <c r="T82" s="21">
        <v>0.95685209842937891</v>
      </c>
      <c r="U82" s="21" t="s">
        <v>50</v>
      </c>
      <c r="V82" s="21">
        <v>0.1389265230339351</v>
      </c>
      <c r="Z82" s="20">
        <v>-8.2624502342816921</v>
      </c>
      <c r="AA82" s="10">
        <v>-53.60661793614279</v>
      </c>
      <c r="AB82" s="17">
        <v>0.65997630531629337</v>
      </c>
      <c r="AC82" s="18">
        <v>3.3675257049412287E-2</v>
      </c>
      <c r="AD82" s="21">
        <v>0.16550611119182029</v>
      </c>
      <c r="AE82" s="21">
        <v>0.32098447423560678</v>
      </c>
      <c r="AF82" s="21">
        <v>1.3294171545874671E-2</v>
      </c>
      <c r="AG82" s="21"/>
      <c r="AH82" s="21">
        <v>4.880844244591484E-2</v>
      </c>
    </row>
    <row r="83" spans="1:36">
      <c r="A83" s="13" t="s">
        <v>48</v>
      </c>
      <c r="B83" s="13" t="s">
        <v>49</v>
      </c>
      <c r="C83" s="13">
        <v>81</v>
      </c>
      <c r="E83" s="14">
        <v>45139</v>
      </c>
      <c r="P83" s="18" t="s">
        <v>50</v>
      </c>
      <c r="Q83" s="18">
        <v>2.080678860991517</v>
      </c>
      <c r="R83" s="21">
        <v>1.44E-2</v>
      </c>
      <c r="S83" s="21">
        <v>1.2207641724819871E-2</v>
      </c>
      <c r="T83" s="21">
        <v>0.42856401848025227</v>
      </c>
      <c r="U83" s="21" t="s">
        <v>50</v>
      </c>
      <c r="V83" s="21">
        <v>3.5094580683113372E-2</v>
      </c>
      <c r="Z83" s="20">
        <v>-8.0653648374670563</v>
      </c>
      <c r="AA83" s="10">
        <v>-52.520237629872653</v>
      </c>
      <c r="AB83" s="17">
        <v>1.345660461200207</v>
      </c>
      <c r="AC83" s="18">
        <v>6.4717054457529746E-2</v>
      </c>
      <c r="AD83" s="21">
        <v>3.592951263435102E-2</v>
      </c>
      <c r="AE83" s="21">
        <v>0.14589701093809571</v>
      </c>
      <c r="AF83" s="21">
        <v>1.303419301905195E-2</v>
      </c>
      <c r="AG83" s="21"/>
      <c r="AH83" s="21">
        <v>3.1910586159476763E-2</v>
      </c>
    </row>
    <row r="84" spans="1:36">
      <c r="A84" s="13" t="s">
        <v>48</v>
      </c>
      <c r="B84" s="13" t="s">
        <v>49</v>
      </c>
      <c r="C84" s="13">
        <v>82</v>
      </c>
      <c r="E84" s="14">
        <v>45146</v>
      </c>
      <c r="P84" s="18">
        <v>0.13450000000000001</v>
      </c>
      <c r="Q84" s="18">
        <v>1.744410356154297</v>
      </c>
      <c r="R84" s="21">
        <v>3.2899999999999999E-2</v>
      </c>
      <c r="S84" s="21">
        <v>1.0875315490356431E-2</v>
      </c>
      <c r="T84" s="21">
        <v>0.6405012076853841</v>
      </c>
      <c r="U84" s="21" t="s">
        <v>50</v>
      </c>
      <c r="V84" s="21">
        <v>1.843023249006695E-2</v>
      </c>
      <c r="Z84" s="20">
        <v>-5.7589116855545974</v>
      </c>
      <c r="AA84" s="10">
        <v>-39.162746011518507</v>
      </c>
      <c r="AB84" s="17">
        <v>1.1096631460163431</v>
      </c>
      <c r="AC84" s="18">
        <v>0.1831427843262014</v>
      </c>
      <c r="AD84" s="21">
        <v>0.25400452292789433</v>
      </c>
      <c r="AE84" s="21">
        <v>0.35384462120318438</v>
      </c>
      <c r="AF84" s="21">
        <v>5.1277540947873013E-3</v>
      </c>
      <c r="AG84" s="21"/>
      <c r="AH84" s="21">
        <v>5.2379482136888027E-2</v>
      </c>
    </row>
    <row r="85" spans="1:36">
      <c r="A85" s="13" t="s">
        <v>48</v>
      </c>
      <c r="B85" s="13" t="s">
        <v>49</v>
      </c>
      <c r="C85" s="13">
        <v>83</v>
      </c>
      <c r="E85" s="14">
        <v>45153</v>
      </c>
      <c r="P85" s="18">
        <v>6.0699999999999997E-2</v>
      </c>
      <c r="Q85" s="18">
        <v>0.32249669816370452</v>
      </c>
      <c r="R85" s="21" t="s">
        <v>50</v>
      </c>
      <c r="S85" s="21">
        <v>2.920431986556089E-2</v>
      </c>
      <c r="T85" s="21">
        <v>0.19177336322972541</v>
      </c>
      <c r="U85" s="21">
        <v>5.0038962932972893E-2</v>
      </c>
      <c r="V85" s="21">
        <v>5.2622471667757048E-2</v>
      </c>
      <c r="Z85" s="20">
        <v>-8.6905744992762362</v>
      </c>
      <c r="AA85" s="10">
        <v>-60.080686666898863</v>
      </c>
      <c r="AB85" s="17">
        <v>0.16173093118743251</v>
      </c>
      <c r="AC85" s="18">
        <v>5.5077375640186672E-2</v>
      </c>
      <c r="AD85" s="21">
        <v>0.25472403457508952</v>
      </c>
      <c r="AE85" s="21">
        <v>0.22077948513661849</v>
      </c>
      <c r="AF85" s="21">
        <v>4.5804454049231391E-3</v>
      </c>
      <c r="AG85" s="21"/>
      <c r="AH85" s="21">
        <v>0.17813643005017571</v>
      </c>
    </row>
    <row r="86" spans="1:36">
      <c r="A86" s="13" t="s">
        <v>48</v>
      </c>
      <c r="B86" s="13" t="s">
        <v>49</v>
      </c>
      <c r="C86" s="13">
        <v>84</v>
      </c>
      <c r="E86" s="14">
        <v>45159</v>
      </c>
      <c r="P86" s="18">
        <v>0.10299999999999999</v>
      </c>
      <c r="Q86" s="18">
        <v>0.23016304206261989</v>
      </c>
      <c r="R86" s="21">
        <v>6.0600000000000001E-2</v>
      </c>
      <c r="S86" s="21">
        <v>1.035189448774328E-2</v>
      </c>
      <c r="T86" s="21">
        <v>0.56627881429517513</v>
      </c>
      <c r="U86" s="21" t="s">
        <v>50</v>
      </c>
      <c r="V86" s="21">
        <v>3.1066494794865469E-2</v>
      </c>
      <c r="Z86" s="20">
        <v>-6.321684640240596</v>
      </c>
      <c r="AA86" s="10">
        <v>-36.491673018473371</v>
      </c>
      <c r="AB86" s="17">
        <v>0.17937607315683429</v>
      </c>
      <c r="AC86" s="18">
        <v>8.1213651063743883E-2</v>
      </c>
      <c r="AD86" s="21">
        <v>0.27544787210134619</v>
      </c>
      <c r="AE86" s="21">
        <v>0.35588596650867937</v>
      </c>
      <c r="AF86" s="21">
        <v>4.9863808201888833E-3</v>
      </c>
      <c r="AG86" s="21"/>
      <c r="AH86" s="21">
        <v>0.19373271982095441</v>
      </c>
    </row>
    <row r="87" spans="1:36">
      <c r="A87" s="13" t="s">
        <v>48</v>
      </c>
      <c r="B87" s="13" t="s">
        <v>49</v>
      </c>
      <c r="C87" s="13">
        <v>85</v>
      </c>
      <c r="E87" s="14">
        <v>45167</v>
      </c>
      <c r="P87" s="18">
        <v>0.15890000000000001</v>
      </c>
      <c r="Q87" s="18">
        <v>0.40533831155969258</v>
      </c>
      <c r="R87" s="21">
        <v>2.0299999999999999E-2</v>
      </c>
      <c r="S87" s="21" t="s">
        <v>50</v>
      </c>
      <c r="T87" s="21">
        <v>3.5413616197092393E-2</v>
      </c>
      <c r="U87" s="21" t="s">
        <v>50</v>
      </c>
      <c r="V87" s="21">
        <v>2.2146780226772401E-2</v>
      </c>
      <c r="Z87" s="20">
        <v>-5.2733539097183053</v>
      </c>
      <c r="AA87" s="10">
        <v>-32.676900842326248</v>
      </c>
      <c r="AB87" s="17">
        <v>0.23150324484996501</v>
      </c>
      <c r="AC87" s="18">
        <v>0.1452655061763726</v>
      </c>
      <c r="AD87" s="21">
        <v>0.17055806153469699</v>
      </c>
      <c r="AE87" s="21">
        <v>0.63364796845649607</v>
      </c>
      <c r="AF87" s="21">
        <v>5.6733235434327936E-3</v>
      </c>
      <c r="AG87" s="21"/>
      <c r="AH87" s="21">
        <v>0.13370564846463431</v>
      </c>
    </row>
    <row r="88" spans="1:36" s="39" customFormat="1" ht="16.2">
      <c r="A88" s="36" t="s">
        <v>48</v>
      </c>
      <c r="B88" s="36" t="s">
        <v>49</v>
      </c>
      <c r="C88" s="36">
        <v>86</v>
      </c>
      <c r="D88" s="37"/>
      <c r="E88" s="37">
        <v>45175</v>
      </c>
      <c r="F88" s="38"/>
      <c r="K88" s="40"/>
      <c r="M88" s="36"/>
      <c r="N88" s="36"/>
      <c r="O88" s="36"/>
      <c r="P88" s="41" t="s">
        <v>50</v>
      </c>
      <c r="Q88" s="41">
        <v>1.328805975946167</v>
      </c>
      <c r="R88" s="42">
        <v>0.19220000000000001</v>
      </c>
      <c r="S88" s="42">
        <v>2.8156462653067361E-2</v>
      </c>
      <c r="T88" s="42">
        <v>0.50059051596250104</v>
      </c>
      <c r="U88" s="42" t="s">
        <v>50</v>
      </c>
      <c r="V88" s="42">
        <v>0.12695342640186591</v>
      </c>
      <c r="W88" s="41"/>
      <c r="X88" s="43"/>
      <c r="Y88" s="43"/>
      <c r="Z88" s="40">
        <v>-8.2922878325584488</v>
      </c>
      <c r="AA88" s="44">
        <v>-53.049325937361537</v>
      </c>
      <c r="AB88" s="40">
        <v>0.76016833407601692</v>
      </c>
      <c r="AC88" s="41">
        <v>8.5925902601673682E-2</v>
      </c>
      <c r="AD88" s="42">
        <v>1.6322995648240669E-2</v>
      </c>
      <c r="AE88" s="42">
        <v>0.19176917338612209</v>
      </c>
      <c r="AF88" s="42">
        <v>4.4067542966709696E-3</v>
      </c>
      <c r="AG88" s="42"/>
      <c r="AH88" s="42">
        <v>2.9598846142865419E-2</v>
      </c>
      <c r="AI88" s="45"/>
      <c r="AJ88" s="40"/>
    </row>
    <row r="89" spans="1:36">
      <c r="A89" s="13" t="s">
        <v>152</v>
      </c>
      <c r="B89" s="13" t="s">
        <v>49</v>
      </c>
      <c r="C89" s="13">
        <v>87</v>
      </c>
      <c r="E89" s="14">
        <v>45182</v>
      </c>
      <c r="P89" s="18" t="s">
        <v>50</v>
      </c>
      <c r="Q89" s="18">
        <v>0.25101998523934582</v>
      </c>
      <c r="R89" s="21">
        <v>0.1084</v>
      </c>
      <c r="S89" s="21">
        <v>1.4888698647222941E-2</v>
      </c>
      <c r="T89" s="21">
        <v>0.36105756479039353</v>
      </c>
      <c r="U89" s="21" t="s">
        <v>50</v>
      </c>
      <c r="V89" s="21">
        <v>8.9787949034811507E-2</v>
      </c>
      <c r="Z89" s="20">
        <v>-7.0245223379562942</v>
      </c>
      <c r="AA89" s="10">
        <v>-42.43304901266648</v>
      </c>
      <c r="AB89" s="17">
        <v>0.14697471608998269</v>
      </c>
      <c r="AC89" s="18">
        <v>3.4887958666403741E-2</v>
      </c>
      <c r="AD89" s="21" t="s">
        <v>51</v>
      </c>
      <c r="AE89" s="21">
        <v>0.1278353252645491</v>
      </c>
      <c r="AF89" s="21">
        <v>4.2097945488494756E-3</v>
      </c>
      <c r="AG89" s="21"/>
      <c r="AH89" s="21">
        <v>2.8427920081961919E-2</v>
      </c>
    </row>
    <row r="90" spans="1:36" ht="16.2">
      <c r="A90" s="13" t="s">
        <v>152</v>
      </c>
      <c r="B90" s="13" t="s">
        <v>49</v>
      </c>
      <c r="C90" s="13">
        <v>88</v>
      </c>
      <c r="E90" s="14">
        <v>45189</v>
      </c>
      <c r="P90" s="18">
        <v>5.21E-2</v>
      </c>
      <c r="Q90" s="18">
        <v>0.90179553387750155</v>
      </c>
      <c r="R90" s="21">
        <v>1.1900000000000001E-2</v>
      </c>
      <c r="S90" s="21">
        <v>2.3913514949201522</v>
      </c>
      <c r="T90" s="21">
        <v>1.524340817564612</v>
      </c>
      <c r="U90" s="21" t="s">
        <v>50</v>
      </c>
      <c r="V90" s="21">
        <v>0.2295301439349362</v>
      </c>
      <c r="Z90" s="20">
        <v>-5.9499743606617779</v>
      </c>
      <c r="AA90" s="10">
        <v>-34.94825463322595</v>
      </c>
      <c r="AB90" s="17">
        <v>0.59419613965116702</v>
      </c>
      <c r="AC90" s="18">
        <v>0.20578099635835151</v>
      </c>
      <c r="AD90" s="21">
        <v>0.35925112370405171</v>
      </c>
      <c r="AE90" s="21">
        <v>0.88333946052224799</v>
      </c>
      <c r="AF90" s="21">
        <v>7.5393031429706499E-3</v>
      </c>
      <c r="AG90" s="21"/>
      <c r="AH90" s="21">
        <v>6.7623118401720167E-2</v>
      </c>
      <c r="AI90" s="46"/>
    </row>
    <row r="91" spans="1:36">
      <c r="A91" s="13" t="s">
        <v>152</v>
      </c>
      <c r="B91" s="13" t="s">
        <v>49</v>
      </c>
      <c r="C91" s="13">
        <v>89</v>
      </c>
      <c r="E91" s="14">
        <v>45196</v>
      </c>
      <c r="P91" s="18">
        <v>3.3E-3</v>
      </c>
      <c r="Q91" s="18">
        <v>1.197802853879455</v>
      </c>
      <c r="R91" s="21" t="s">
        <v>50</v>
      </c>
      <c r="S91" s="21">
        <v>4.4929240364387987E-2</v>
      </c>
      <c r="T91" s="21">
        <v>1.1758038937522239</v>
      </c>
      <c r="U91" s="21" t="s">
        <v>50</v>
      </c>
      <c r="V91" s="21" t="s">
        <v>50</v>
      </c>
      <c r="Z91" s="20">
        <v>-4.6980110421963079</v>
      </c>
      <c r="AA91" s="10">
        <v>-22.128290170001371</v>
      </c>
      <c r="AB91" s="17">
        <v>0.51307909538498775</v>
      </c>
      <c r="AC91" s="18">
        <v>9.6550240386445302E-2</v>
      </c>
      <c r="AD91" s="21">
        <v>0.36217117384959491</v>
      </c>
      <c r="AE91" s="21">
        <v>0.3300721690178145</v>
      </c>
      <c r="AF91" s="21">
        <v>5.5523099962221639E-3</v>
      </c>
      <c r="AG91" s="21"/>
      <c r="AH91" s="21">
        <v>3.5695910148839508E-2</v>
      </c>
    </row>
    <row r="92" spans="1:36">
      <c r="A92" s="13" t="s">
        <v>152</v>
      </c>
      <c r="B92" s="13" t="s">
        <v>49</v>
      </c>
      <c r="C92" s="13">
        <v>90</v>
      </c>
      <c r="E92" s="14">
        <v>45202</v>
      </c>
      <c r="P92" s="18">
        <v>1.24E-2</v>
      </c>
      <c r="Q92" s="18">
        <v>2.6575785341885561</v>
      </c>
      <c r="R92" s="21" t="s">
        <v>50</v>
      </c>
      <c r="S92" s="21">
        <v>0.71443789576504502</v>
      </c>
      <c r="T92" s="21">
        <v>2.0988916607486652</v>
      </c>
      <c r="U92" s="21" t="s">
        <v>50</v>
      </c>
      <c r="V92" s="21">
        <v>4.8162614383710507E-2</v>
      </c>
      <c r="Z92" s="20">
        <v>-4.3108577268475479</v>
      </c>
      <c r="AA92" s="10">
        <v>-19.356066593516289</v>
      </c>
      <c r="AB92" s="17">
        <v>1.428911134945039</v>
      </c>
      <c r="AC92" s="18">
        <v>0.1987545015520342</v>
      </c>
      <c r="AD92" s="21">
        <v>8.2967803862462858E-2</v>
      </c>
      <c r="AE92" s="21">
        <v>0.45937431510399512</v>
      </c>
      <c r="AF92" s="21">
        <v>6.4593988973020867E-3</v>
      </c>
      <c r="AG92" s="21"/>
      <c r="AH92" s="21">
        <v>4.2233604932008187E-2</v>
      </c>
    </row>
    <row r="93" spans="1:36" ht="16.2">
      <c r="A93" s="13" t="s">
        <v>152</v>
      </c>
      <c r="B93" s="13" t="s">
        <v>49</v>
      </c>
      <c r="C93" s="13">
        <v>91</v>
      </c>
      <c r="E93" s="14">
        <v>45210</v>
      </c>
      <c r="P93" s="18" t="s">
        <v>50</v>
      </c>
      <c r="Q93" s="18">
        <v>1.0698828085524039</v>
      </c>
      <c r="R93" s="21">
        <v>9.4999999999999998E-3</v>
      </c>
      <c r="S93" s="21">
        <v>4.0909389961226533E-2</v>
      </c>
      <c r="T93" s="21">
        <v>0.45482215887580402</v>
      </c>
      <c r="U93" s="21" t="s">
        <v>50</v>
      </c>
      <c r="V93" s="21">
        <v>2.1403470679431311E-2</v>
      </c>
      <c r="Z93" s="20">
        <v>-4.7676842733444138</v>
      </c>
      <c r="AA93" s="10">
        <v>-10.30587973656381</v>
      </c>
      <c r="AB93" s="17">
        <v>0.58069189621365203</v>
      </c>
      <c r="AC93" s="18">
        <v>7.248334350034305E-2</v>
      </c>
      <c r="AD93" s="21">
        <v>5.5609110533348244E-3</v>
      </c>
      <c r="AE93" s="21">
        <v>0.1453553628614585</v>
      </c>
      <c r="AF93" s="21">
        <v>4.4055132677089026E-3</v>
      </c>
      <c r="AG93" s="21"/>
      <c r="AH93" s="21">
        <v>2.455744996147128E-2</v>
      </c>
      <c r="AI93" s="46"/>
    </row>
    <row r="94" spans="1:36" ht="16.2">
      <c r="A94" s="13" t="s">
        <v>152</v>
      </c>
      <c r="B94" s="13" t="s">
        <v>49</v>
      </c>
      <c r="C94" s="13">
        <v>92</v>
      </c>
      <c r="E94" s="14">
        <v>45217</v>
      </c>
      <c r="P94" s="18" t="s">
        <v>50</v>
      </c>
      <c r="Q94" s="18">
        <v>5.6089012995404683</v>
      </c>
      <c r="R94" s="21">
        <v>0.1444</v>
      </c>
      <c r="S94" s="21">
        <v>3.6963939616065962</v>
      </c>
      <c r="T94" s="21">
        <v>2.9551410991818918</v>
      </c>
      <c r="U94" s="21" t="s">
        <v>50</v>
      </c>
      <c r="V94" s="21">
        <v>0.73572394567421773</v>
      </c>
      <c r="AC94" s="18"/>
      <c r="AD94" s="21"/>
      <c r="AE94" s="21"/>
      <c r="AF94" s="21"/>
      <c r="AG94" s="21"/>
      <c r="AH94" s="21"/>
      <c r="AI94" s="46" t="s">
        <v>56</v>
      </c>
    </row>
    <row r="95" spans="1:36" ht="16.2">
      <c r="A95" s="13" t="s">
        <v>152</v>
      </c>
      <c r="B95" s="13" t="s">
        <v>49</v>
      </c>
      <c r="C95" s="13">
        <v>93</v>
      </c>
      <c r="E95" s="14">
        <v>45224</v>
      </c>
      <c r="AB95" s="17">
        <v>1.5862956034191049</v>
      </c>
      <c r="AC95" s="18">
        <v>0.10772903234415319</v>
      </c>
      <c r="AD95" s="21">
        <v>9.3303769557015984E-2</v>
      </c>
      <c r="AE95" s="21">
        <v>0.20518753782282781</v>
      </c>
      <c r="AF95" s="21">
        <v>1.0808414002508921E-2</v>
      </c>
      <c r="AG95" s="21"/>
      <c r="AH95" s="21">
        <v>4.3520614009624578E-2</v>
      </c>
      <c r="AI95" s="46"/>
    </row>
    <row r="96" spans="1:36" ht="16.2">
      <c r="A96" s="13" t="s">
        <v>152</v>
      </c>
      <c r="B96" s="13" t="s">
        <v>49</v>
      </c>
      <c r="C96" s="13">
        <v>94</v>
      </c>
      <c r="E96" s="14">
        <v>45231</v>
      </c>
      <c r="P96" s="18">
        <v>4.7999999999999996E-3</v>
      </c>
      <c r="Q96" s="18">
        <v>0.97451255754890487</v>
      </c>
      <c r="R96" s="21" t="s">
        <v>50</v>
      </c>
      <c r="S96" s="21">
        <v>0.62669010228577415</v>
      </c>
      <c r="T96" s="21">
        <v>0.9018290839841695</v>
      </c>
      <c r="U96" s="21" t="s">
        <v>50</v>
      </c>
      <c r="V96" s="21">
        <v>6.1542186235850123E-2</v>
      </c>
      <c r="AB96" s="17">
        <v>0.52225007910686194</v>
      </c>
      <c r="AC96" s="18">
        <v>7.8308170239249519E-2</v>
      </c>
      <c r="AD96" s="21">
        <v>3.2469396911007772E-3</v>
      </c>
      <c r="AE96" s="21">
        <v>0.16367904566337749</v>
      </c>
      <c r="AF96" s="21">
        <v>4.6780573832082657E-3</v>
      </c>
      <c r="AG96" s="21"/>
      <c r="AH96" s="21">
        <v>2.7829747620948218E-2</v>
      </c>
      <c r="AI96" s="46"/>
    </row>
    <row r="97" spans="1:36" ht="16.2">
      <c r="A97" s="13" t="s">
        <v>152</v>
      </c>
      <c r="B97" s="13" t="s">
        <v>49</v>
      </c>
      <c r="C97" s="13">
        <v>95</v>
      </c>
      <c r="E97" s="14">
        <v>45238</v>
      </c>
      <c r="P97" s="18">
        <v>5.3800000000000001E-2</v>
      </c>
      <c r="Q97" s="18">
        <v>2.3979029378280128</v>
      </c>
      <c r="R97" s="21" t="s">
        <v>50</v>
      </c>
      <c r="S97" s="21">
        <v>3.0161859741487471</v>
      </c>
      <c r="T97" s="21">
        <v>1.7889650927917251</v>
      </c>
      <c r="U97" s="21" t="s">
        <v>50</v>
      </c>
      <c r="V97" s="21">
        <v>0.2384498585030293</v>
      </c>
      <c r="Z97" s="20">
        <v>-3.4345552319950681</v>
      </c>
      <c r="AA97" s="10">
        <v>-6.332754578065888</v>
      </c>
      <c r="AB97" s="17">
        <v>1.3745470469886609</v>
      </c>
      <c r="AC97" s="18">
        <v>0.21837898090945651</v>
      </c>
      <c r="AD97" s="21">
        <v>8.8689051619137343E-2</v>
      </c>
      <c r="AE97" s="21">
        <v>0.61897029595974906</v>
      </c>
      <c r="AF97" s="21">
        <v>6.5965021331672036E-3</v>
      </c>
      <c r="AG97" s="21"/>
      <c r="AH97" s="21">
        <v>5.1644295068658551E-2</v>
      </c>
      <c r="AI97" s="46"/>
    </row>
    <row r="98" spans="1:36" ht="16.2">
      <c r="A98" s="13" t="s">
        <v>152</v>
      </c>
      <c r="B98" s="13" t="s">
        <v>49</v>
      </c>
      <c r="C98" s="13">
        <v>96</v>
      </c>
      <c r="E98" s="14">
        <v>45245</v>
      </c>
      <c r="P98" s="18" t="s">
        <v>50</v>
      </c>
      <c r="Q98" s="18">
        <v>0.67377355249053683</v>
      </c>
      <c r="R98" s="21" t="s">
        <v>50</v>
      </c>
      <c r="S98" s="21">
        <v>0.32474220704880541</v>
      </c>
      <c r="T98" s="21">
        <v>0.37470231031744272</v>
      </c>
      <c r="U98" s="21" t="s">
        <v>50</v>
      </c>
      <c r="V98" s="21">
        <v>2.9579875700183281E-2</v>
      </c>
      <c r="Z98" s="20">
        <v>-4.5522000532987228</v>
      </c>
      <c r="AA98" s="10">
        <v>-8.6452661925721888</v>
      </c>
      <c r="AB98" s="17">
        <v>0.32733913966350542</v>
      </c>
      <c r="AC98" s="18">
        <v>4.8646792403158078E-2</v>
      </c>
      <c r="AD98" s="21" t="s">
        <v>51</v>
      </c>
      <c r="AE98" s="18">
        <v>0.13229617452430911</v>
      </c>
      <c r="AF98" s="18">
        <v>4.3934431167108419E-3</v>
      </c>
      <c r="AG98" s="21"/>
      <c r="AH98" s="21">
        <v>2.8153238674176781E-2</v>
      </c>
      <c r="AI98" s="46"/>
    </row>
    <row r="99" spans="1:36" ht="16.2">
      <c r="A99" s="13" t="s">
        <v>152</v>
      </c>
      <c r="B99" s="13" t="s">
        <v>49</v>
      </c>
      <c r="C99" s="13">
        <v>97</v>
      </c>
      <c r="E99" s="14">
        <v>45253</v>
      </c>
      <c r="P99" s="18" t="s">
        <v>50</v>
      </c>
      <c r="Q99" s="18">
        <v>0.70574364747399421</v>
      </c>
      <c r="R99" s="21" t="s">
        <v>50</v>
      </c>
      <c r="S99" s="21">
        <v>0.19779571328379059</v>
      </c>
      <c r="T99" s="21">
        <v>0.31637610212125372</v>
      </c>
      <c r="U99" s="21" t="s">
        <v>50</v>
      </c>
      <c r="V99" s="21">
        <v>1.3227065658679329E-2</v>
      </c>
      <c r="Z99" s="20">
        <v>-3.6378286795715029</v>
      </c>
      <c r="AA99" s="10">
        <v>0.61698809448886438</v>
      </c>
      <c r="AB99" s="17">
        <v>0.39723740575153382</v>
      </c>
      <c r="AC99" s="18">
        <v>6.2980542075923865E-2</v>
      </c>
      <c r="AD99" s="21">
        <v>1.0011689487492689E-2</v>
      </c>
      <c r="AE99" s="21">
        <v>0.18678559349109281</v>
      </c>
      <c r="AF99" s="18">
        <v>4.5656796324577108E-3</v>
      </c>
      <c r="AG99" s="21"/>
      <c r="AH99" s="21">
        <v>3.4330830081815492E-2</v>
      </c>
      <c r="AI99" s="46"/>
    </row>
    <row r="100" spans="1:36" ht="16.2">
      <c r="A100" s="13" t="s">
        <v>152</v>
      </c>
      <c r="B100" s="13" t="s">
        <v>49</v>
      </c>
      <c r="C100" s="13">
        <v>98</v>
      </c>
      <c r="E100" s="14">
        <v>45259</v>
      </c>
      <c r="P100" s="18">
        <v>3.2199999999999999E-2</v>
      </c>
      <c r="Q100" s="18">
        <v>5.9442229415242984</v>
      </c>
      <c r="R100" s="21" t="s">
        <v>50</v>
      </c>
      <c r="S100" s="21">
        <v>2.2074061270373848</v>
      </c>
      <c r="T100" s="21">
        <v>1.9013924417447039</v>
      </c>
      <c r="U100" s="21" t="s">
        <v>50</v>
      </c>
      <c r="V100" s="21">
        <v>0.44583322221119309</v>
      </c>
      <c r="Z100" s="20">
        <v>-3.5053058842434028</v>
      </c>
      <c r="AA100" s="10">
        <v>3.1178490712626439</v>
      </c>
      <c r="AB100" s="17">
        <v>3.2649055972171732</v>
      </c>
      <c r="AC100" s="18">
        <v>0.39663325620441148</v>
      </c>
      <c r="AD100" s="21">
        <v>0.14358048255086009</v>
      </c>
      <c r="AE100" s="21">
        <v>0.53858033621592116</v>
      </c>
      <c r="AF100" s="18">
        <v>7.0828833074195767E-3</v>
      </c>
      <c r="AG100" s="21"/>
      <c r="AH100" s="21">
        <v>3.1669076640328073E-2</v>
      </c>
      <c r="AI100" s="46"/>
    </row>
    <row r="101" spans="1:36" ht="16.2">
      <c r="A101" s="13" t="s">
        <v>152</v>
      </c>
      <c r="B101" s="13" t="s">
        <v>49</v>
      </c>
      <c r="C101" s="13">
        <v>99</v>
      </c>
      <c r="E101" s="14">
        <v>45266</v>
      </c>
      <c r="P101" s="18" t="s">
        <v>50</v>
      </c>
      <c r="Q101" s="18">
        <v>0.31885597866778398</v>
      </c>
      <c r="R101" s="21" t="s">
        <v>50</v>
      </c>
      <c r="S101" s="21">
        <v>0.36149749840504453</v>
      </c>
      <c r="T101" s="21">
        <v>0.36395057469159742</v>
      </c>
      <c r="U101" s="21" t="s">
        <v>50</v>
      </c>
      <c r="V101" s="21">
        <v>1.917354203740804E-2</v>
      </c>
      <c r="Z101" s="20">
        <v>-4.7734305192122992</v>
      </c>
      <c r="AA101" s="10">
        <v>-9.7718744150239729</v>
      </c>
      <c r="AB101" s="17">
        <v>0.1139701632441843</v>
      </c>
      <c r="AC101" s="18">
        <v>3.6288791335429282E-2</v>
      </c>
      <c r="AD101" s="21">
        <v>6.1037751271151563E-5</v>
      </c>
      <c r="AE101" s="21">
        <v>0.12737671066270201</v>
      </c>
      <c r="AF101" s="21">
        <v>4.3554072261186199E-3</v>
      </c>
      <c r="AG101" s="21"/>
      <c r="AH101" s="21">
        <v>2.7541476326904301E-2</v>
      </c>
      <c r="AI101" s="46"/>
    </row>
    <row r="102" spans="1:36" ht="16.2">
      <c r="A102" s="13" t="s">
        <v>152</v>
      </c>
      <c r="B102" s="13" t="s">
        <v>49</v>
      </c>
      <c r="C102" s="13">
        <v>100</v>
      </c>
      <c r="E102" s="14">
        <v>45273</v>
      </c>
      <c r="P102" s="18">
        <v>1.67E-2</v>
      </c>
      <c r="Q102" s="18">
        <v>0.28102639345137859</v>
      </c>
      <c r="R102" s="21" t="s">
        <v>50</v>
      </c>
      <c r="S102" s="21">
        <v>5.2097205498420722E-2</v>
      </c>
      <c r="T102" s="21">
        <v>0.3620218218479439</v>
      </c>
      <c r="U102" s="21" t="s">
        <v>50</v>
      </c>
      <c r="V102" s="21">
        <v>2.1403470679431311E-2</v>
      </c>
      <c r="Z102" s="20">
        <v>-4.1345198067768232</v>
      </c>
      <c r="AA102" s="10">
        <v>-10.17368638786127</v>
      </c>
      <c r="AB102" s="17">
        <v>8.1521477087052999E-2</v>
      </c>
      <c r="AC102" s="18">
        <v>3.2674426747967382E-2</v>
      </c>
      <c r="AD102" s="21">
        <v>1.794034712093304E-2</v>
      </c>
      <c r="AE102" s="21">
        <v>0.15956393646247791</v>
      </c>
      <c r="AF102" s="21">
        <v>4.4464636766796996E-3</v>
      </c>
      <c r="AG102" s="21"/>
      <c r="AH102" s="21">
        <v>3.2776590623671373E-2</v>
      </c>
      <c r="AI102" s="46"/>
    </row>
    <row r="103" spans="1:36">
      <c r="A103" s="13" t="s">
        <v>152</v>
      </c>
      <c r="B103" s="13" t="s">
        <v>49</v>
      </c>
      <c r="C103" s="13">
        <v>101</v>
      </c>
      <c r="E103" s="14">
        <v>45279</v>
      </c>
      <c r="Z103" s="20">
        <v>-4.4218321001710787</v>
      </c>
      <c r="AA103" s="10">
        <v>-5.9808203067179448</v>
      </c>
      <c r="AB103" s="17">
        <v>0.27655174190640419</v>
      </c>
      <c r="AC103" s="18">
        <v>5.5897348794025963E-2</v>
      </c>
      <c r="AD103" s="21">
        <v>1.8353359861114051E-2</v>
      </c>
      <c r="AE103" s="21">
        <v>0.1935979325779689</v>
      </c>
      <c r="AF103" s="21">
        <v>4.6654042405251126E-3</v>
      </c>
      <c r="AG103" s="21"/>
      <c r="AH103" s="21">
        <v>2.7944357812028021E-2</v>
      </c>
    </row>
    <row r="104" spans="1:36" s="48" customFormat="1">
      <c r="A104" s="12" t="s">
        <v>152</v>
      </c>
      <c r="B104" s="12" t="s">
        <v>49</v>
      </c>
      <c r="C104" s="12">
        <v>102</v>
      </c>
      <c r="D104" s="47"/>
      <c r="E104" s="47">
        <v>45286</v>
      </c>
      <c r="F104" s="3"/>
      <c r="K104" s="20"/>
      <c r="M104" s="12"/>
      <c r="N104" s="12"/>
      <c r="O104" s="12"/>
      <c r="P104" s="11" t="s">
        <v>50</v>
      </c>
      <c r="Q104" s="11">
        <v>1.9779995725723409</v>
      </c>
      <c r="R104" s="49" t="s">
        <v>50</v>
      </c>
      <c r="S104" s="49">
        <v>0.9097191861836541</v>
      </c>
      <c r="T104" s="49">
        <v>0.73420002369361204</v>
      </c>
      <c r="U104" s="49" t="s">
        <v>50</v>
      </c>
      <c r="V104" s="49">
        <v>2.9579875700183281E-2</v>
      </c>
      <c r="W104" s="11"/>
      <c r="X104" s="50"/>
      <c r="Y104" s="50"/>
      <c r="Z104" s="20">
        <v>-5.0704396025086123</v>
      </c>
      <c r="AA104" s="10">
        <v>-6.1904461710193459</v>
      </c>
      <c r="AB104" s="20">
        <v>1.0832706800219709</v>
      </c>
      <c r="AC104" s="49">
        <v>0.1492310067505703</v>
      </c>
      <c r="AD104" s="50">
        <v>4.7368057994042728E-2</v>
      </c>
      <c r="AE104" s="50">
        <v>0.28501777988418858</v>
      </c>
      <c r="AF104" s="50">
        <v>5.288949975573342E-3</v>
      </c>
      <c r="AG104" s="50"/>
      <c r="AH104" s="50">
        <v>2.7270990131325969E-2</v>
      </c>
      <c r="AI104" s="51"/>
      <c r="AJ104" s="20"/>
    </row>
    <row r="105" spans="1:36">
      <c r="A105" s="13" t="s">
        <v>152</v>
      </c>
      <c r="B105" s="13" t="s">
        <v>49</v>
      </c>
      <c r="C105" s="13">
        <v>103</v>
      </c>
      <c r="E105" s="14">
        <v>45293</v>
      </c>
      <c r="P105" s="18">
        <v>2.3E-2</v>
      </c>
      <c r="Q105" s="18">
        <v>4.561597343640992</v>
      </c>
      <c r="R105" s="21" t="s">
        <v>50</v>
      </c>
      <c r="S105" s="21">
        <v>4.5981905363632798</v>
      </c>
      <c r="T105" s="21">
        <v>3.009073061019985</v>
      </c>
      <c r="U105" s="21">
        <v>6.2387382975157328E-2</v>
      </c>
      <c r="V105" s="21">
        <v>1.1683301022267321</v>
      </c>
      <c r="Z105" s="20">
        <v>-3.6094565905988198</v>
      </c>
      <c r="AA105" s="10">
        <v>-5.0596524071838376</v>
      </c>
      <c r="AB105" s="17">
        <v>2.5659545472018732</v>
      </c>
      <c r="AC105" s="18">
        <v>0.36280434468835571</v>
      </c>
      <c r="AD105" s="21">
        <v>0.1950151822689547</v>
      </c>
      <c r="AE105" s="21">
        <v>0.63879915978218549</v>
      </c>
      <c r="AF105" s="21">
        <v>7.7713080116854939E-3</v>
      </c>
      <c r="AG105" s="21"/>
      <c r="AH105" s="21">
        <v>3.4244401470546533E-2</v>
      </c>
    </row>
    <row r="106" spans="1:36">
      <c r="A106" s="13" t="s">
        <v>152</v>
      </c>
      <c r="B106" s="13" t="s">
        <v>49</v>
      </c>
      <c r="C106" s="13">
        <v>104</v>
      </c>
      <c r="E106" s="14">
        <v>45300</v>
      </c>
      <c r="P106" s="18">
        <v>7.3099999999999998E-2</v>
      </c>
      <c r="Q106" s="18">
        <v>19.50444609947516</v>
      </c>
      <c r="R106" s="21" t="s">
        <v>50</v>
      </c>
      <c r="S106" s="21">
        <v>14.9744037894657</v>
      </c>
      <c r="T106" s="21">
        <v>9.1831059736861853</v>
      </c>
      <c r="U106" s="21">
        <v>0</v>
      </c>
      <c r="V106" s="21">
        <v>2.4237799276858309</v>
      </c>
      <c r="Z106" s="20">
        <v>-2.8602897855732992</v>
      </c>
      <c r="AA106" s="10">
        <v>7.5206898118226757</v>
      </c>
      <c r="AB106" s="17">
        <v>13.169346941626049</v>
      </c>
      <c r="AC106" s="18">
        <v>1.718172264427557</v>
      </c>
      <c r="AD106" s="21">
        <v>0.64316156540758695</v>
      </c>
      <c r="AE106" s="21">
        <v>2.2911452554710112</v>
      </c>
      <c r="AF106" s="21">
        <v>1.8837782911508252E-2</v>
      </c>
      <c r="AG106" s="21"/>
      <c r="AH106" s="21">
        <v>0.11465131309531031</v>
      </c>
      <c r="AI106" s="17" t="s">
        <v>54</v>
      </c>
    </row>
    <row r="107" spans="1:36" ht="16.2">
      <c r="A107" s="13" t="s">
        <v>152</v>
      </c>
      <c r="B107" s="13" t="s">
        <v>49</v>
      </c>
      <c r="C107" s="13">
        <v>105</v>
      </c>
      <c r="E107" s="14">
        <v>45307</v>
      </c>
      <c r="P107" s="18">
        <v>2.76E-2</v>
      </c>
      <c r="Q107" s="18">
        <v>4.6875378981740674</v>
      </c>
      <c r="R107" s="21" t="s">
        <v>50</v>
      </c>
      <c r="S107" s="21">
        <v>2.7939201845006529</v>
      </c>
      <c r="T107" s="21">
        <v>3.358860582011808</v>
      </c>
      <c r="U107" s="21">
        <v>5.7083429832964119E-2</v>
      </c>
      <c r="V107" s="21">
        <v>0.52887543818115057</v>
      </c>
      <c r="Z107" s="20">
        <v>-3.0922892900781132</v>
      </c>
      <c r="AA107" s="10">
        <v>7.3198106297156968</v>
      </c>
      <c r="AB107" s="17">
        <v>2.612717528699581</v>
      </c>
      <c r="AC107" s="18">
        <v>0.2176765957271373</v>
      </c>
      <c r="AD107" s="21">
        <v>0.17326183185487001</v>
      </c>
      <c r="AE107" s="21">
        <v>0.3550167868474508</v>
      </c>
      <c r="AF107" s="21">
        <v>1.423829434340777E-2</v>
      </c>
      <c r="AG107" s="21"/>
      <c r="AH107" s="21">
        <v>6.4098859975499052E-3</v>
      </c>
      <c r="AI107" s="46"/>
    </row>
    <row r="108" spans="1:36" s="56" customFormat="1" ht="16.2">
      <c r="A108" s="52" t="s">
        <v>152</v>
      </c>
      <c r="B108" s="52" t="s">
        <v>49</v>
      </c>
      <c r="C108" s="52">
        <v>106</v>
      </c>
      <c r="D108" s="53"/>
      <c r="E108" s="53">
        <v>45314</v>
      </c>
      <c r="F108" s="54"/>
      <c r="G108" s="55"/>
      <c r="K108" s="57"/>
      <c r="M108" s="52"/>
      <c r="N108" s="52"/>
      <c r="O108" s="52"/>
      <c r="P108" s="58">
        <v>2.4299999999999999E-2</v>
      </c>
      <c r="Q108" s="58">
        <v>2.0797150408989631</v>
      </c>
      <c r="R108" s="59" t="s">
        <v>50</v>
      </c>
      <c r="S108" s="59">
        <v>0.28217223258405499</v>
      </c>
      <c r="T108" s="59">
        <v>0.85939441432605357</v>
      </c>
      <c r="U108" s="59" t="s">
        <v>50</v>
      </c>
      <c r="V108" s="59">
        <v>3.6265510773936763E-2</v>
      </c>
      <c r="W108" s="58"/>
      <c r="X108" s="60"/>
      <c r="Y108" s="60"/>
      <c r="Z108" s="57">
        <v>-5.1615265879545698</v>
      </c>
      <c r="AA108" s="61">
        <v>-12.2502320601665</v>
      </c>
      <c r="AB108" s="57">
        <v>1.125265630130541</v>
      </c>
      <c r="AC108" s="59" t="s">
        <v>51</v>
      </c>
      <c r="AD108" s="57">
        <v>8.6974055074609202E-2</v>
      </c>
      <c r="AE108" s="60">
        <v>5.6754102162525612E-2</v>
      </c>
      <c r="AF108" s="57">
        <v>1.2458974070926519E-2</v>
      </c>
      <c r="AG108" s="57"/>
      <c r="AH108" s="57" t="s">
        <v>51</v>
      </c>
      <c r="AI108" s="62"/>
      <c r="AJ108" s="57"/>
    </row>
    <row r="109" spans="1:36">
      <c r="A109" s="13" t="s">
        <v>152</v>
      </c>
      <c r="B109" s="13" t="s">
        <v>49</v>
      </c>
      <c r="C109" s="13">
        <v>107</v>
      </c>
      <c r="E109" s="14">
        <v>45322</v>
      </c>
      <c r="P109" s="18">
        <v>2.0299999999999999E-2</v>
      </c>
      <c r="Q109" s="18">
        <v>2.8746415276777042</v>
      </c>
      <c r="R109" s="21" t="s">
        <v>50</v>
      </c>
      <c r="S109" s="21">
        <v>5.3508455969575177</v>
      </c>
      <c r="T109" s="21">
        <v>1.9112166480492001</v>
      </c>
      <c r="U109" s="21" t="s">
        <v>50</v>
      </c>
      <c r="V109" s="21">
        <v>0.46868164901231041</v>
      </c>
      <c r="Z109" s="20">
        <v>-4.4714166478848973</v>
      </c>
      <c r="AA109" s="10">
        <v>1.161192018596336</v>
      </c>
      <c r="AB109" s="17">
        <v>1.2287563936026991</v>
      </c>
      <c r="AC109" s="18">
        <v>0.1058272831816887</v>
      </c>
      <c r="AD109" s="21">
        <v>0.1158041885758371</v>
      </c>
      <c r="AE109" s="21">
        <v>0.32391808058575489</v>
      </c>
      <c r="AF109" s="21">
        <v>1.3672123993521461E-2</v>
      </c>
      <c r="AG109" s="21"/>
      <c r="AH109" s="21">
        <v>7.8322821922273134E-3</v>
      </c>
    </row>
    <row r="110" spans="1:36" ht="16.2">
      <c r="A110" s="13" t="s">
        <v>152</v>
      </c>
      <c r="B110" s="13" t="s">
        <v>49</v>
      </c>
      <c r="C110" s="13">
        <v>108</v>
      </c>
      <c r="E110" s="14">
        <v>45329</v>
      </c>
      <c r="P110" s="18">
        <v>1.23E-2</v>
      </c>
      <c r="Q110" s="18">
        <v>0.48312358201861327</v>
      </c>
      <c r="R110" s="21" t="s">
        <v>50</v>
      </c>
      <c r="S110" s="21">
        <v>0.1475354356720219</v>
      </c>
      <c r="T110" s="21">
        <v>0.60828068863687257</v>
      </c>
      <c r="U110" s="21" t="s">
        <v>50</v>
      </c>
      <c r="V110" s="21">
        <v>2.0419966043507352E-2</v>
      </c>
      <c r="Z110" s="20">
        <v>-3.1756851614638411</v>
      </c>
      <c r="AA110" s="10">
        <v>-2.3428738145200252</v>
      </c>
      <c r="AB110" s="17">
        <v>0.17894275492225589</v>
      </c>
      <c r="AC110" s="18" t="s">
        <v>154</v>
      </c>
      <c r="AD110" s="21">
        <v>3.3007430848384298E-2</v>
      </c>
      <c r="AE110" s="21" t="s">
        <v>51</v>
      </c>
      <c r="AF110" s="21">
        <v>1.191649612537307E-2</v>
      </c>
      <c r="AG110" s="21"/>
      <c r="AH110" s="21">
        <v>1.3400146989982361E-3</v>
      </c>
      <c r="AI110" s="46"/>
    </row>
    <row r="111" spans="1:36" ht="16.2">
      <c r="A111" s="13" t="s">
        <v>152</v>
      </c>
      <c r="B111" s="13" t="s">
        <v>49</v>
      </c>
      <c r="C111" s="13">
        <v>109</v>
      </c>
      <c r="E111" s="14">
        <v>45337</v>
      </c>
      <c r="P111" s="18">
        <v>1.52E-2</v>
      </c>
      <c r="Q111" s="18">
        <v>0.17890318234129771</v>
      </c>
      <c r="R111" s="21" t="s">
        <v>50</v>
      </c>
      <c r="S111" s="21">
        <v>6.7480481751117705E-2</v>
      </c>
      <c r="T111" s="21">
        <v>0.88912118470726886</v>
      </c>
      <c r="U111" s="21" t="s">
        <v>50</v>
      </c>
      <c r="V111" s="21">
        <v>2.0419966043507352E-2</v>
      </c>
      <c r="Z111" s="20">
        <v>-5.7343724643290264</v>
      </c>
      <c r="AA111" s="10">
        <v>-21.812870545432261</v>
      </c>
      <c r="AB111" s="17">
        <v>2.4651093438823549E-2</v>
      </c>
      <c r="AC111" s="18" t="s">
        <v>154</v>
      </c>
      <c r="AD111" s="21">
        <v>4.2693258354598321E-2</v>
      </c>
      <c r="AE111" s="21" t="s">
        <v>51</v>
      </c>
      <c r="AF111" s="21">
        <v>1.194626672589425E-2</v>
      </c>
      <c r="AG111" s="21"/>
      <c r="AH111" s="21" t="s">
        <v>51</v>
      </c>
      <c r="AI111" s="46"/>
    </row>
    <row r="112" spans="1:36" ht="16.2">
      <c r="A112" s="13" t="s">
        <v>152</v>
      </c>
      <c r="B112" s="13" t="s">
        <v>49</v>
      </c>
      <c r="C112" s="13">
        <v>110</v>
      </c>
      <c r="E112" s="14">
        <v>45343</v>
      </c>
      <c r="P112" s="18">
        <v>2.46E-2</v>
      </c>
      <c r="Q112" s="18">
        <v>1.1677456174242951</v>
      </c>
      <c r="R112" s="21" t="s">
        <v>50</v>
      </c>
      <c r="S112" s="21">
        <v>8.3433841547370269E-2</v>
      </c>
      <c r="T112" s="21">
        <v>1.005752905235999</v>
      </c>
      <c r="U112" s="21" t="s">
        <v>50</v>
      </c>
      <c r="V112" s="21">
        <v>5.8147453496910723E-2</v>
      </c>
      <c r="Z112" s="20">
        <v>-1.400336371047135</v>
      </c>
      <c r="AA112" s="10">
        <v>8.0404925727519512</v>
      </c>
      <c r="AB112" s="17">
        <v>1.408495609380561</v>
      </c>
      <c r="AC112" s="18">
        <v>0.1122858043695423</v>
      </c>
      <c r="AD112" s="21">
        <v>0.54931011912259198</v>
      </c>
      <c r="AE112" s="21">
        <v>0.76944603377572629</v>
      </c>
      <c r="AF112" s="21">
        <v>1.489669131107472E-2</v>
      </c>
      <c r="AG112" s="21"/>
      <c r="AH112" s="21">
        <v>6.7840791284271146E-2</v>
      </c>
      <c r="AI112" s="46"/>
    </row>
    <row r="113" spans="1:36" ht="16.2">
      <c r="A113" s="13" t="s">
        <v>152</v>
      </c>
      <c r="B113" s="13" t="s">
        <v>49</v>
      </c>
      <c r="C113" s="13">
        <v>111</v>
      </c>
      <c r="E113" s="14">
        <v>45349</v>
      </c>
      <c r="P113" s="18">
        <v>3.3599999999999998E-2</v>
      </c>
      <c r="Q113" s="18">
        <v>2.2535537206128669</v>
      </c>
      <c r="R113" s="21" t="s">
        <v>50</v>
      </c>
      <c r="S113" s="21">
        <v>4.4102180537520318E-2</v>
      </c>
      <c r="T113" s="21">
        <v>0.80331973844079474</v>
      </c>
      <c r="U113" s="21" t="s">
        <v>50</v>
      </c>
      <c r="V113" s="21">
        <v>1.8910866545371219E-2</v>
      </c>
      <c r="Z113" s="20">
        <v>-2.801678349616056</v>
      </c>
      <c r="AA113" s="10">
        <v>0.31869973253349593</v>
      </c>
      <c r="AB113" s="17">
        <v>1.0221456810364209</v>
      </c>
      <c r="AC113" s="18">
        <v>7.2561946360213368E-3</v>
      </c>
      <c r="AD113" s="21">
        <v>0.13362306689793191</v>
      </c>
      <c r="AE113" s="21">
        <v>0.3331583051129775</v>
      </c>
      <c r="AF113" s="21">
        <v>1.327632291974247E-2</v>
      </c>
      <c r="AG113" s="21"/>
      <c r="AH113" s="21">
        <v>7.6341052731643128E-2</v>
      </c>
      <c r="AI113" s="46"/>
    </row>
    <row r="114" spans="1:36" ht="16.2">
      <c r="A114" s="13" t="s">
        <v>152</v>
      </c>
      <c r="B114" s="13" t="s">
        <v>49</v>
      </c>
      <c r="C114" s="13">
        <v>112</v>
      </c>
      <c r="E114" s="14">
        <v>45356</v>
      </c>
      <c r="P114" s="18" t="s">
        <v>50</v>
      </c>
      <c r="Q114" s="18">
        <v>0.65841631824499269</v>
      </c>
      <c r="R114" s="21" t="s">
        <v>50</v>
      </c>
      <c r="S114" s="21">
        <v>1.703430478573132E-2</v>
      </c>
      <c r="T114" s="21">
        <v>0.88331634411050675</v>
      </c>
      <c r="U114" s="21" t="s">
        <v>50</v>
      </c>
      <c r="V114" s="21">
        <v>2.9474563032324159E-2</v>
      </c>
      <c r="Z114" s="20">
        <v>-5.1560639762917502</v>
      </c>
      <c r="AA114" s="10">
        <v>-12.542998129573331</v>
      </c>
      <c r="AB114" s="17">
        <v>0.1885130161434643</v>
      </c>
      <c r="AC114" s="18" t="s">
        <v>51</v>
      </c>
      <c r="AD114" s="21">
        <v>0.1043122642557327</v>
      </c>
      <c r="AE114" s="21">
        <v>0.14289555328160389</v>
      </c>
      <c r="AF114" s="21">
        <v>1.24469933306657E-2</v>
      </c>
      <c r="AG114" s="21"/>
      <c r="AH114" s="21">
        <v>3.1204017517607381E-2</v>
      </c>
      <c r="AI114" s="46"/>
    </row>
    <row r="115" spans="1:36" s="66" customFormat="1" ht="16.2">
      <c r="A115" s="63" t="s">
        <v>152</v>
      </c>
      <c r="B115" s="63" t="s">
        <v>49</v>
      </c>
      <c r="C115" s="63">
        <v>113</v>
      </c>
      <c r="D115" s="64"/>
      <c r="E115" s="64">
        <v>45363</v>
      </c>
      <c r="F115" s="65"/>
      <c r="K115" s="67"/>
      <c r="M115" s="63"/>
      <c r="N115" s="63"/>
      <c r="O115" s="63"/>
      <c r="P115" s="68" t="s">
        <v>50</v>
      </c>
      <c r="Q115" s="68">
        <v>1.165746084035127</v>
      </c>
      <c r="R115" s="69" t="s">
        <v>50</v>
      </c>
      <c r="S115" s="69">
        <v>2.145498068610693E-2</v>
      </c>
      <c r="T115" s="69">
        <v>1.1776421460456781</v>
      </c>
      <c r="U115" s="69" t="s">
        <v>50</v>
      </c>
      <c r="V115" s="69">
        <v>3.4001861526732569E-2</v>
      </c>
      <c r="W115" s="68"/>
      <c r="X115" s="70"/>
      <c r="Y115" s="70"/>
      <c r="Z115" s="67">
        <v>-3.0420332627801629</v>
      </c>
      <c r="AA115" s="71">
        <v>-1.534783296804751</v>
      </c>
      <c r="AB115" s="67">
        <v>0.46435724639209391</v>
      </c>
      <c r="AC115" s="68" t="s">
        <v>51</v>
      </c>
      <c r="AD115" s="69">
        <v>0.1222900631354804</v>
      </c>
      <c r="AE115" s="69">
        <v>0.18808751469935331</v>
      </c>
      <c r="AF115" s="69">
        <v>1.2609447518720949E-2</v>
      </c>
      <c r="AG115" s="69"/>
      <c r="AH115" s="69">
        <v>3.8033712222935577E-2</v>
      </c>
      <c r="AI115" s="72"/>
      <c r="AJ115" s="67"/>
    </row>
    <row r="116" spans="1:36" s="66" customFormat="1" ht="16.2">
      <c r="A116" s="63" t="s">
        <v>152</v>
      </c>
      <c r="B116" s="63" t="s">
        <v>49</v>
      </c>
      <c r="C116" s="63">
        <v>114</v>
      </c>
      <c r="D116" s="64"/>
      <c r="E116" s="64">
        <v>45370</v>
      </c>
      <c r="F116" s="65"/>
      <c r="K116" s="67"/>
      <c r="M116" s="63"/>
      <c r="N116" s="63"/>
      <c r="O116" s="63"/>
      <c r="P116" s="68">
        <v>6.4000000000000001E-2</v>
      </c>
      <c r="Q116" s="68">
        <v>2.2391008314024341</v>
      </c>
      <c r="R116" s="69" t="s">
        <v>50</v>
      </c>
      <c r="S116" s="69">
        <v>7.0847494419870566E-2</v>
      </c>
      <c r="T116" s="69">
        <v>1.5383584456352219</v>
      </c>
      <c r="U116" s="69" t="s">
        <v>50</v>
      </c>
      <c r="V116" s="69">
        <v>4.8338306759025847E-2</v>
      </c>
      <c r="W116" s="68"/>
      <c r="X116" s="70"/>
      <c r="Y116" s="70"/>
      <c r="Z116" s="67">
        <v>-1.2921766601232869</v>
      </c>
      <c r="AA116" s="71">
        <v>9.5773389179115807</v>
      </c>
      <c r="AB116" s="67">
        <v>0.77243507846631576</v>
      </c>
      <c r="AC116" s="68">
        <v>5.5741649751095197E-2</v>
      </c>
      <c r="AD116" s="69">
        <v>0.29585972362175422</v>
      </c>
      <c r="AE116" s="69">
        <v>0.65673875818618122</v>
      </c>
      <c r="AF116" s="69">
        <v>1.403980508255707E-2</v>
      </c>
      <c r="AG116" s="69"/>
      <c r="AH116" s="69">
        <v>8.9258512337300269E-2</v>
      </c>
      <c r="AI116" s="72"/>
      <c r="AJ116" s="67"/>
    </row>
    <row r="117" spans="1:36" ht="16.2">
      <c r="A117" s="13" t="s">
        <v>152</v>
      </c>
      <c r="B117" s="13" t="s">
        <v>49</v>
      </c>
      <c r="C117" s="13">
        <v>115</v>
      </c>
      <c r="E117" s="14">
        <v>45377</v>
      </c>
      <c r="AC117" s="18"/>
      <c r="AD117" s="21"/>
      <c r="AE117" s="21"/>
      <c r="AF117" s="21"/>
      <c r="AG117" s="21"/>
      <c r="AH117" s="21"/>
      <c r="AI117" s="46" t="s">
        <v>57</v>
      </c>
    </row>
    <row r="118" spans="1:36" ht="16.2">
      <c r="A118" s="13" t="s">
        <v>152</v>
      </c>
      <c r="B118" s="13" t="s">
        <v>49</v>
      </c>
      <c r="C118" s="13">
        <v>116</v>
      </c>
      <c r="E118" s="14">
        <v>45384</v>
      </c>
      <c r="G118" s="73"/>
      <c r="P118" s="18">
        <v>1.8599999999999998E-2</v>
      </c>
      <c r="Q118" s="18">
        <v>1.5281569829532859</v>
      </c>
      <c r="R118" s="21" t="s">
        <v>50</v>
      </c>
      <c r="S118" s="21">
        <v>2.4107794904074029E-2</v>
      </c>
      <c r="T118" s="21">
        <v>1.043842473565868</v>
      </c>
      <c r="U118" s="21" t="s">
        <v>50</v>
      </c>
      <c r="V118" s="21">
        <v>2.7210913785119958E-2</v>
      </c>
      <c r="Z118" s="20">
        <v>-3.9502834952518069</v>
      </c>
      <c r="AA118" s="10">
        <v>-14.55655469326352</v>
      </c>
      <c r="AB118" s="17">
        <v>0.44686052255890701</v>
      </c>
      <c r="AC118" s="18" t="s">
        <v>51</v>
      </c>
      <c r="AD118" s="21">
        <v>0.24422504289109079</v>
      </c>
      <c r="AE118" s="21">
        <v>0.46351326711197383</v>
      </c>
      <c r="AF118" s="21">
        <v>1.3215033837875549E-2</v>
      </c>
      <c r="AG118" s="21"/>
      <c r="AH118" s="21">
        <v>5.7084592626034679E-2</v>
      </c>
      <c r="AI118" s="46"/>
    </row>
    <row r="119" spans="1:36" ht="16.2">
      <c r="A119" s="13" t="s">
        <v>152</v>
      </c>
      <c r="B119" s="13" t="s">
        <v>49</v>
      </c>
      <c r="C119" s="13">
        <v>117</v>
      </c>
      <c r="E119" s="14">
        <v>45391</v>
      </c>
      <c r="G119" s="73"/>
      <c r="P119" s="18">
        <v>2.12E-2</v>
      </c>
      <c r="Q119" s="18">
        <v>1.7546773800923201</v>
      </c>
      <c r="R119" s="21" t="s">
        <v>50</v>
      </c>
      <c r="S119" s="21">
        <v>3.6491647308859398E-2</v>
      </c>
      <c r="T119" s="21">
        <v>2.386836016618044</v>
      </c>
      <c r="U119" s="21" t="s">
        <v>50</v>
      </c>
      <c r="V119" s="21">
        <v>3.6265510773936763E-2</v>
      </c>
      <c r="Z119" s="20">
        <v>-2.5758904008861361</v>
      </c>
      <c r="AA119" s="10">
        <v>-5.108705781973824</v>
      </c>
      <c r="AB119" s="17">
        <v>0.59398565465230058</v>
      </c>
      <c r="AC119" s="18">
        <v>3.4868436487380562E-2</v>
      </c>
      <c r="AD119" s="21">
        <v>0.1259661272271243</v>
      </c>
      <c r="AE119" s="21">
        <v>0.79554987227264307</v>
      </c>
      <c r="AF119" s="21">
        <v>1.3787182644929971E-2</v>
      </c>
      <c r="AG119" s="21"/>
      <c r="AH119" s="21">
        <v>6.7054305587420371E-2</v>
      </c>
      <c r="AI119" s="46"/>
    </row>
    <row r="120" spans="1:36" ht="16.2">
      <c r="A120" s="13" t="s">
        <v>152</v>
      </c>
      <c r="B120" s="13" t="s">
        <v>49</v>
      </c>
      <c r="C120" s="13">
        <v>118</v>
      </c>
      <c r="E120" s="14">
        <v>45398</v>
      </c>
      <c r="P120" s="18">
        <v>4.2700000000000002E-2</v>
      </c>
      <c r="Q120" s="18">
        <v>6.9589287347973077</v>
      </c>
      <c r="R120" s="21" t="s">
        <v>50</v>
      </c>
      <c r="S120" s="21">
        <v>0.15642777002105471</v>
      </c>
      <c r="T120" s="21">
        <v>3.6157449868581208</v>
      </c>
      <c r="U120" s="21" t="s">
        <v>50</v>
      </c>
      <c r="V120" s="21">
        <v>0.2022664555689116</v>
      </c>
      <c r="Z120" s="20">
        <v>-3.1680375051358931</v>
      </c>
      <c r="AA120" s="10">
        <v>-4.0664726164235852</v>
      </c>
      <c r="AB120" s="17">
        <v>4.0952042209069894</v>
      </c>
      <c r="AC120" s="18">
        <v>0.36760275455337649</v>
      </c>
      <c r="AD120" s="21">
        <v>0.27186428375813809</v>
      </c>
      <c r="AE120" s="21">
        <v>1.03059353285554</v>
      </c>
      <c r="AF120" s="21">
        <v>1.567112528635832E-2</v>
      </c>
      <c r="AG120" s="21"/>
      <c r="AH120" s="21">
        <v>8.0858769176253745E-2</v>
      </c>
      <c r="AI120" s="46"/>
    </row>
    <row r="121" spans="1:36" ht="16.2">
      <c r="A121" s="13" t="s">
        <v>152</v>
      </c>
      <c r="B121" s="13" t="s">
        <v>49</v>
      </c>
      <c r="C121" s="13">
        <v>119</v>
      </c>
      <c r="E121" s="14">
        <v>45405</v>
      </c>
      <c r="P121" s="18">
        <v>6.6400000000000001E-2</v>
      </c>
      <c r="Q121" s="18">
        <v>1.4170882041713271</v>
      </c>
      <c r="R121" s="21" t="s">
        <v>50</v>
      </c>
      <c r="S121" s="21">
        <v>2.3754068632309611E-2</v>
      </c>
      <c r="T121" s="21">
        <v>1.130274469490645</v>
      </c>
      <c r="U121" s="21" t="s">
        <v>50</v>
      </c>
      <c r="V121" s="21">
        <v>3.7774610272072899E-2</v>
      </c>
      <c r="Z121" s="20">
        <v>-3.2445140684153819</v>
      </c>
      <c r="AA121" s="10">
        <v>-12.481215361928729</v>
      </c>
      <c r="AB121" s="17">
        <v>0.65485302044487126</v>
      </c>
      <c r="AC121" s="18">
        <v>6.6031935936533472E-3</v>
      </c>
      <c r="AD121" s="21">
        <v>0.14332776318914431</v>
      </c>
      <c r="AE121" s="21">
        <v>0.35051146802971439</v>
      </c>
      <c r="AF121" s="21">
        <v>1.2858050685569731E-2</v>
      </c>
      <c r="AG121" s="21"/>
      <c r="AH121" s="21">
        <v>5.7217487445413093E-2</v>
      </c>
      <c r="AI121" s="46"/>
    </row>
    <row r="122" spans="1:36" ht="16.2">
      <c r="A122" s="13" t="s">
        <v>152</v>
      </c>
      <c r="B122" s="13" t="s">
        <v>49</v>
      </c>
      <c r="C122" s="13">
        <v>120</v>
      </c>
      <c r="E122" s="14">
        <v>45412</v>
      </c>
      <c r="G122" s="74"/>
      <c r="Z122" s="20">
        <v>-4.6495589926193501</v>
      </c>
      <c r="AA122" s="10">
        <v>-21.44437954603935</v>
      </c>
      <c r="AB122" s="17">
        <v>0.15994337367910361</v>
      </c>
      <c r="AC122" s="18">
        <v>5.6207450920643144E-3</v>
      </c>
      <c r="AD122" s="21">
        <v>5.1193882078722733E-2</v>
      </c>
      <c r="AE122" s="21">
        <v>0.25126371745368581</v>
      </c>
      <c r="AF122" s="21">
        <v>5.8629970705050896E-3</v>
      </c>
      <c r="AG122" s="21"/>
      <c r="AH122" s="21">
        <v>0.1004369243621407</v>
      </c>
      <c r="AI122" s="46"/>
    </row>
    <row r="123" spans="1:36" ht="16.2">
      <c r="A123" s="13" t="s">
        <v>152</v>
      </c>
      <c r="B123" s="32" t="s">
        <v>153</v>
      </c>
      <c r="C123" s="13">
        <v>121</v>
      </c>
      <c r="E123" s="14">
        <v>45419</v>
      </c>
      <c r="Z123" s="20">
        <v>-4.0063153818040744</v>
      </c>
      <c r="AA123" s="10">
        <v>-15.75934068081054</v>
      </c>
      <c r="AB123" s="17">
        <v>0.25079225896965801</v>
      </c>
      <c r="AC123" s="18">
        <v>3.023059604687163E-2</v>
      </c>
      <c r="AD123" s="21">
        <v>0.20132435744686869</v>
      </c>
      <c r="AE123" s="21">
        <v>0.41241419961064663</v>
      </c>
      <c r="AF123" s="21">
        <v>6.2002030735410661E-3</v>
      </c>
      <c r="AG123" s="21"/>
      <c r="AH123" s="21">
        <v>0.1237456250989767</v>
      </c>
      <c r="AI123" s="46"/>
    </row>
    <row r="124" spans="1:36" ht="16.2">
      <c r="A124" s="13" t="s">
        <v>152</v>
      </c>
      <c r="B124" s="32" t="s">
        <v>153</v>
      </c>
      <c r="C124" s="13">
        <v>122</v>
      </c>
      <c r="E124" s="14">
        <v>45426</v>
      </c>
      <c r="Z124" s="20">
        <v>-3.3968510444059139</v>
      </c>
      <c r="AA124" s="10">
        <v>-7.0788247996686238</v>
      </c>
      <c r="AB124" s="17">
        <v>0.51313233183416795</v>
      </c>
      <c r="AC124" s="18">
        <v>7.4864495793420013E-2</v>
      </c>
      <c r="AD124" s="21">
        <v>0.17827307578687451</v>
      </c>
      <c r="AE124" s="21">
        <v>0.64706969579123141</v>
      </c>
      <c r="AF124" s="21">
        <v>6.5737081731714834E-3</v>
      </c>
      <c r="AG124" s="21"/>
      <c r="AH124" s="21">
        <v>0.1096235565604735</v>
      </c>
      <c r="AI124" s="46"/>
    </row>
    <row r="125" spans="1:36" ht="16.2">
      <c r="A125" s="13" t="s">
        <v>152</v>
      </c>
      <c r="B125" s="32" t="s">
        <v>153</v>
      </c>
      <c r="C125" s="13">
        <v>123</v>
      </c>
      <c r="E125" s="14">
        <v>45433</v>
      </c>
      <c r="Z125" s="20">
        <v>-3.4266774241252822</v>
      </c>
      <c r="AA125" s="10">
        <v>-19.846630310541329</v>
      </c>
      <c r="AB125" s="17">
        <v>1.361878903478029</v>
      </c>
      <c r="AC125" s="18">
        <v>0.11983948457113849</v>
      </c>
      <c r="AD125" s="21">
        <v>0.10644323392137139</v>
      </c>
      <c r="AE125" s="21">
        <v>0.60639920832981653</v>
      </c>
      <c r="AF125" s="21">
        <v>6.6384107549377043E-3</v>
      </c>
      <c r="AG125" s="21"/>
      <c r="AH125" s="21">
        <v>0.12584738341264759</v>
      </c>
      <c r="AI125" s="46"/>
    </row>
    <row r="126" spans="1:36" ht="16.2">
      <c r="A126" s="13" t="s">
        <v>48</v>
      </c>
      <c r="B126" s="13" t="s">
        <v>49</v>
      </c>
      <c r="C126" s="13">
        <v>124</v>
      </c>
      <c r="E126" s="14">
        <v>45440</v>
      </c>
      <c r="Z126" s="20">
        <v>-8.3911525545236199</v>
      </c>
      <c r="AA126" s="10">
        <v>-52.118257981402813</v>
      </c>
      <c r="AB126" s="17">
        <v>0.36290892308028411</v>
      </c>
      <c r="AC126" s="18" t="s">
        <v>51</v>
      </c>
      <c r="AD126" s="21">
        <v>0.21259350238089739</v>
      </c>
      <c r="AE126" s="21">
        <v>0.1332109998525019</v>
      </c>
      <c r="AF126" s="21">
        <v>5.6203229868752556E-3</v>
      </c>
      <c r="AG126" s="21"/>
      <c r="AH126" s="21">
        <v>9.7877984118555167E-2</v>
      </c>
      <c r="AI126" s="46"/>
    </row>
    <row r="127" spans="1:36" s="56" customFormat="1" ht="16.2">
      <c r="A127" s="52" t="s">
        <v>48</v>
      </c>
      <c r="B127" s="52" t="s">
        <v>49</v>
      </c>
      <c r="C127" s="52">
        <v>125</v>
      </c>
      <c r="D127" s="53"/>
      <c r="E127" s="53">
        <v>45446</v>
      </c>
      <c r="F127" s="54"/>
      <c r="K127" s="57"/>
      <c r="M127" s="52"/>
      <c r="N127" s="52"/>
      <c r="O127" s="52"/>
      <c r="P127" s="58"/>
      <c r="Q127" s="58"/>
      <c r="R127" s="59"/>
      <c r="S127" s="59"/>
      <c r="T127" s="59"/>
      <c r="U127" s="59"/>
      <c r="V127" s="59"/>
      <c r="W127" s="58"/>
      <c r="X127" s="60"/>
      <c r="Y127" s="60"/>
      <c r="Z127" s="57"/>
      <c r="AA127" s="61"/>
      <c r="AB127" s="57">
        <v>1.6793655384747019</v>
      </c>
      <c r="AC127" s="58">
        <v>6.1904397273656028E-2</v>
      </c>
      <c r="AD127" s="59">
        <v>1.0596061153957199</v>
      </c>
      <c r="AE127" s="59">
        <v>0.42281592000897888</v>
      </c>
      <c r="AF127" s="59">
        <v>2.5844135236348272E-2</v>
      </c>
      <c r="AG127" s="59"/>
      <c r="AH127" s="59">
        <v>0.1798200088148561</v>
      </c>
      <c r="AI127" s="62" t="s">
        <v>58</v>
      </c>
      <c r="AJ127" s="57"/>
    </row>
    <row r="128" spans="1:36" ht="16.2">
      <c r="A128" s="13" t="s">
        <v>48</v>
      </c>
      <c r="B128" s="13" t="s">
        <v>49</v>
      </c>
      <c r="C128" s="13">
        <v>126</v>
      </c>
      <c r="E128" s="14">
        <v>45454</v>
      </c>
      <c r="Z128" s="20">
        <v>-7.5236720648543054</v>
      </c>
      <c r="AA128" s="10">
        <v>-44.028116844848213</v>
      </c>
      <c r="AB128" s="17">
        <v>0.23844790783769459</v>
      </c>
      <c r="AC128" s="18" t="s">
        <v>51</v>
      </c>
      <c r="AD128" s="21">
        <v>9.2881777528062814E-2</v>
      </c>
      <c r="AE128" s="21">
        <v>0.23857935638584199</v>
      </c>
      <c r="AF128" s="21">
        <v>6.0112159848863386E-3</v>
      </c>
      <c r="AG128" s="21"/>
      <c r="AH128" s="21">
        <v>9.8820433646323161E-2</v>
      </c>
      <c r="AI128" s="46"/>
    </row>
    <row r="129" spans="1:36" ht="16.2">
      <c r="A129" s="13" t="s">
        <v>48</v>
      </c>
      <c r="B129" s="13" t="s">
        <v>49</v>
      </c>
      <c r="C129" s="13">
        <v>127</v>
      </c>
      <c r="E129" s="14">
        <v>45461</v>
      </c>
      <c r="Z129" s="20">
        <v>-6.4085966881169876</v>
      </c>
      <c r="AA129" s="10">
        <v>-39.991351665709303</v>
      </c>
      <c r="AB129" s="17">
        <v>0.41253229647908007</v>
      </c>
      <c r="AC129" s="18">
        <v>4.5134551443720583E-2</v>
      </c>
      <c r="AD129" s="21">
        <v>0.58587828957960442</v>
      </c>
      <c r="AE129" s="21">
        <v>0.47759707892452291</v>
      </c>
      <c r="AF129" s="21">
        <v>6.6577959206808226E-3</v>
      </c>
      <c r="AG129" s="21"/>
      <c r="AH129" s="21">
        <v>0.1412903895026639</v>
      </c>
      <c r="AI129" s="46"/>
    </row>
    <row r="130" spans="1:36" ht="16.2">
      <c r="A130" s="13" t="s">
        <v>48</v>
      </c>
      <c r="B130" s="13" t="s">
        <v>49</v>
      </c>
      <c r="C130" s="13">
        <v>128</v>
      </c>
      <c r="E130" s="14">
        <v>45468</v>
      </c>
      <c r="Z130" s="20">
        <v>-6.85311755212732</v>
      </c>
      <c r="AA130" s="10">
        <v>-40.532240133347017</v>
      </c>
      <c r="AB130" s="17">
        <v>0.19575524562009941</v>
      </c>
      <c r="AC130" s="18">
        <v>3.1638850400649253E-2</v>
      </c>
      <c r="AD130" s="21">
        <v>0.26479052647718943</v>
      </c>
      <c r="AE130" s="21">
        <v>0.47231130292755058</v>
      </c>
      <c r="AF130" s="21">
        <v>6.3940733903539012E-3</v>
      </c>
      <c r="AG130" s="21"/>
      <c r="AH130" s="21">
        <v>0.1058900599417958</v>
      </c>
      <c r="AI130" s="46"/>
    </row>
    <row r="131" spans="1:36" ht="16.2">
      <c r="A131" s="13" t="s">
        <v>48</v>
      </c>
      <c r="B131" s="13" t="s">
        <v>49</v>
      </c>
      <c r="C131" s="13">
        <v>129</v>
      </c>
      <c r="E131" s="14">
        <v>45475</v>
      </c>
      <c r="Z131" s="20">
        <v>-5.9367649221949446</v>
      </c>
      <c r="AA131" s="10">
        <v>-32.316479986074249</v>
      </c>
      <c r="AB131" s="17">
        <v>0.26357496274273567</v>
      </c>
      <c r="AC131" s="18">
        <v>4.7345362863897032E-2</v>
      </c>
      <c r="AD131" s="21">
        <v>0.2440038212719082</v>
      </c>
      <c r="AE131" s="21">
        <v>0.56982948920250376</v>
      </c>
      <c r="AF131" s="21">
        <v>6.7184888809063608E-3</v>
      </c>
      <c r="AG131" s="21"/>
      <c r="AH131" s="21">
        <v>0.107576017821655</v>
      </c>
      <c r="AI131" s="46"/>
    </row>
    <row r="132" spans="1:36" ht="16.2">
      <c r="A132" s="13" t="s">
        <v>48</v>
      </c>
      <c r="B132" s="13" t="s">
        <v>49</v>
      </c>
      <c r="C132" s="13">
        <v>130</v>
      </c>
      <c r="E132" s="14">
        <v>45482</v>
      </c>
      <c r="Z132" s="20">
        <v>-4.3972925039085551</v>
      </c>
      <c r="AA132" s="10">
        <v>-21.085863581565452</v>
      </c>
      <c r="AB132" s="17">
        <v>0.23689291213922711</v>
      </c>
      <c r="AC132" s="18">
        <v>8.160390866139243E-2</v>
      </c>
      <c r="AD132" s="21">
        <v>0.29726750780748262</v>
      </c>
      <c r="AE132" s="21">
        <v>0.63960944056321656</v>
      </c>
      <c r="AF132" s="21">
        <v>7.9032270965071066E-3</v>
      </c>
      <c r="AG132" s="21"/>
      <c r="AH132" s="21">
        <v>0.11822848562282109</v>
      </c>
      <c r="AI132" s="46"/>
    </row>
    <row r="133" spans="1:36" ht="16.2">
      <c r="A133" s="13" t="s">
        <v>48</v>
      </c>
      <c r="B133" s="13" t="s">
        <v>49</v>
      </c>
      <c r="C133" s="13">
        <v>131</v>
      </c>
      <c r="E133" s="14">
        <v>45489</v>
      </c>
      <c r="Z133" s="20">
        <v>-7.0946034216624403</v>
      </c>
      <c r="AA133" s="10">
        <v>-41.401883587712739</v>
      </c>
      <c r="AB133" s="17">
        <v>0.24141945958033489</v>
      </c>
      <c r="AC133" s="18" t="s">
        <v>51</v>
      </c>
      <c r="AD133" s="21">
        <v>0.14974354231420201</v>
      </c>
      <c r="AE133" s="21">
        <v>0.21136403686934399</v>
      </c>
      <c r="AF133" s="21">
        <v>5.9702815103844674E-3</v>
      </c>
      <c r="AG133" s="21"/>
      <c r="AH133" s="21">
        <v>9.4031749574964213E-2</v>
      </c>
      <c r="AI133" s="46"/>
    </row>
    <row r="134" spans="1:36" ht="16.2">
      <c r="A134" s="13" t="s">
        <v>48</v>
      </c>
      <c r="B134" s="13" t="s">
        <v>49</v>
      </c>
      <c r="C134" s="13">
        <v>132</v>
      </c>
      <c r="E134" s="14">
        <v>45496</v>
      </c>
      <c r="Z134" s="20">
        <v>-8.4278066597209165</v>
      </c>
      <c r="AA134" s="10">
        <v>-51.628932137999243</v>
      </c>
      <c r="AB134" s="17">
        <v>0.90243606404046495</v>
      </c>
      <c r="AC134" s="18">
        <v>0.1065194795670176</v>
      </c>
      <c r="AD134" s="21">
        <v>0.35263245105208368</v>
      </c>
      <c r="AE134" s="21">
        <v>0.97354542326428595</v>
      </c>
      <c r="AF134" s="21">
        <v>9.091773043397311E-3</v>
      </c>
      <c r="AG134" s="21"/>
      <c r="AH134" s="21">
        <v>0.1111541619197124</v>
      </c>
      <c r="AI134" s="46"/>
    </row>
    <row r="135" spans="1:36" ht="16.2">
      <c r="A135" s="13" t="s">
        <v>48</v>
      </c>
      <c r="B135" s="13" t="s">
        <v>49</v>
      </c>
      <c r="C135" s="13">
        <v>133</v>
      </c>
      <c r="E135" s="14">
        <v>45503</v>
      </c>
      <c r="G135" s="16" t="s">
        <v>59</v>
      </c>
      <c r="Z135" s="20">
        <v>-19.145898244177001</v>
      </c>
      <c r="AA135" s="10">
        <v>-135.08009796903141</v>
      </c>
      <c r="AB135" s="17">
        <v>0.33200004593857152</v>
      </c>
      <c r="AC135" s="18" t="s">
        <v>51</v>
      </c>
      <c r="AD135" s="21">
        <v>2.2389444835086859E-2</v>
      </c>
      <c r="AE135" s="21">
        <v>0.115526727698627</v>
      </c>
      <c r="AF135" s="21">
        <v>5.4698041333397576E-3</v>
      </c>
      <c r="AG135" s="21"/>
      <c r="AH135" s="21">
        <v>8.1121482964688782E-2</v>
      </c>
      <c r="AI135" s="46"/>
    </row>
    <row r="136" spans="1:36" ht="16.2">
      <c r="A136" s="13" t="s">
        <v>48</v>
      </c>
      <c r="B136" s="13" t="s">
        <v>49</v>
      </c>
      <c r="C136" s="13">
        <v>134</v>
      </c>
      <c r="E136" s="14">
        <v>45510</v>
      </c>
      <c r="Z136" s="20">
        <v>-7.6965479999999982</v>
      </c>
      <c r="AA136" s="10">
        <v>-49.823703066666667</v>
      </c>
      <c r="AB136" s="17">
        <v>0.16703553539522889</v>
      </c>
      <c r="AC136" s="18">
        <v>3.8461761054181413E-2</v>
      </c>
      <c r="AD136" s="21">
        <v>0.1598715643059703</v>
      </c>
      <c r="AE136" s="21">
        <v>0.31533572243209951</v>
      </c>
      <c r="AF136" s="21">
        <v>6.5895175621772132E-3</v>
      </c>
      <c r="AG136" s="21"/>
      <c r="AH136" s="21">
        <v>7.6132857706725829E-2</v>
      </c>
      <c r="AI136" s="46"/>
    </row>
    <row r="137" spans="1:36">
      <c r="A137" s="13" t="s">
        <v>48</v>
      </c>
      <c r="B137" s="13" t="s">
        <v>49</v>
      </c>
      <c r="C137" s="13">
        <v>135</v>
      </c>
      <c r="E137" s="14">
        <v>45517</v>
      </c>
      <c r="Z137" s="20">
        <v>-7.9684623999999982</v>
      </c>
      <c r="AA137" s="10">
        <v>-48.220883333333333</v>
      </c>
      <c r="AB137" s="17">
        <v>7.6270545406761314E-2</v>
      </c>
      <c r="AC137" s="18" t="s">
        <v>51</v>
      </c>
      <c r="AD137" s="21">
        <v>3.9989481602169591E-3</v>
      </c>
      <c r="AE137" s="21">
        <v>0.1973993076267237</v>
      </c>
      <c r="AF137" s="21">
        <v>6.200627362182784E-3</v>
      </c>
      <c r="AG137" s="21"/>
      <c r="AH137" s="21">
        <v>7.0933208440906129E-2</v>
      </c>
    </row>
    <row r="138" spans="1:36">
      <c r="A138" s="13" t="s">
        <v>48</v>
      </c>
      <c r="B138" s="13" t="s">
        <v>49</v>
      </c>
      <c r="C138" s="13">
        <v>136</v>
      </c>
      <c r="E138" s="14">
        <v>45524</v>
      </c>
      <c r="Z138" s="20">
        <v>-8.4842735999999999</v>
      </c>
      <c r="AA138" s="10">
        <v>-52.965036133333328</v>
      </c>
      <c r="AB138" s="17">
        <v>5.9993683215350063E-2</v>
      </c>
      <c r="AC138" s="18" t="s">
        <v>51</v>
      </c>
      <c r="AD138" s="21">
        <v>1.4851072564585659E-2</v>
      </c>
      <c r="AE138" s="21">
        <v>0.12933807545218609</v>
      </c>
      <c r="AF138" s="21">
        <v>5.7143602514090706E-3</v>
      </c>
      <c r="AG138" s="21"/>
      <c r="AH138" s="21">
        <v>5.8688780073896968E-2</v>
      </c>
    </row>
    <row r="139" spans="1:36">
      <c r="A139" s="13" t="s">
        <v>48</v>
      </c>
      <c r="B139" s="13" t="s">
        <v>49</v>
      </c>
      <c r="C139" s="13">
        <v>137</v>
      </c>
      <c r="E139" s="14">
        <v>45531</v>
      </c>
      <c r="Z139" s="20">
        <v>-7.6954703999999978</v>
      </c>
      <c r="AA139" s="10">
        <v>-47.002173333333332</v>
      </c>
      <c r="AB139" s="17">
        <v>0.1723772209372319</v>
      </c>
      <c r="AC139" s="18">
        <v>1.7710199266145811E-3</v>
      </c>
      <c r="AD139" s="21">
        <v>3.0694314703602441E-2</v>
      </c>
      <c r="AE139" s="21">
        <v>0.27265470576820089</v>
      </c>
      <c r="AF139" s="21">
        <v>6.3759887651798587E-3</v>
      </c>
      <c r="AG139" s="21"/>
      <c r="AH139" s="21">
        <v>6.5019037612689956E-2</v>
      </c>
    </row>
    <row r="140" spans="1:36">
      <c r="A140" s="13" t="s">
        <v>48</v>
      </c>
      <c r="B140" s="13" t="s">
        <v>49</v>
      </c>
      <c r="C140" s="13">
        <v>138</v>
      </c>
      <c r="E140" s="14">
        <v>45545</v>
      </c>
      <c r="Z140" s="20">
        <v>-9.6351503999999988</v>
      </c>
      <c r="AA140" s="10">
        <v>-61.562732666666662</v>
      </c>
      <c r="AB140" s="17">
        <v>0.20203342362292351</v>
      </c>
      <c r="AC140" s="18">
        <v>0.1188942654628965</v>
      </c>
      <c r="AD140" s="21">
        <v>0.70248703757338671</v>
      </c>
      <c r="AE140" s="21">
        <v>0.54197506491391856</v>
      </c>
      <c r="AF140" s="21">
        <v>7.5366154221921267E-3</v>
      </c>
      <c r="AG140" s="21"/>
      <c r="AH140" s="21">
        <v>7.9743313715040051E-2</v>
      </c>
    </row>
    <row r="141" spans="1:36">
      <c r="A141" s="13" t="s">
        <v>48</v>
      </c>
      <c r="B141" s="13" t="s">
        <v>49</v>
      </c>
      <c r="C141" s="13">
        <v>139</v>
      </c>
      <c r="E141" s="14">
        <v>45551</v>
      </c>
      <c r="Z141" s="20">
        <v>-5.989988799999999</v>
      </c>
      <c r="AA141" s="10">
        <v>-33.964223599999997</v>
      </c>
      <c r="AB141" s="17">
        <v>0.16573777614049179</v>
      </c>
      <c r="AC141" s="18">
        <v>4.4903328200883406E-3</v>
      </c>
      <c r="AD141" s="21">
        <v>0.1111340832261733</v>
      </c>
      <c r="AE141" s="21">
        <v>0.16116295034340769</v>
      </c>
      <c r="AF141" s="21">
        <v>5.9996799748790819E-3</v>
      </c>
      <c r="AG141" s="21"/>
      <c r="AH141" s="21">
        <v>6.3642654691608805E-2</v>
      </c>
    </row>
    <row r="142" spans="1:36">
      <c r="A142" s="13" t="s">
        <v>48</v>
      </c>
      <c r="B142" s="13" t="s">
        <v>49</v>
      </c>
      <c r="C142" s="13">
        <v>142</v>
      </c>
      <c r="E142" s="14">
        <v>45559</v>
      </c>
      <c r="AB142" s="17">
        <v>0.48183278807739544</v>
      </c>
      <c r="AC142" s="18">
        <v>-6.5811604450129207E-2</v>
      </c>
      <c r="AD142" s="21">
        <v>0.28695075030336559</v>
      </c>
      <c r="AE142" s="21">
        <v>-3.5054378582956708E-2</v>
      </c>
      <c r="AF142" s="21">
        <v>2.2851103313786523E-3</v>
      </c>
      <c r="AG142" s="21"/>
      <c r="AH142" s="21">
        <v>3.792622804726211E-2</v>
      </c>
    </row>
    <row r="143" spans="1:36" s="56" customFormat="1">
      <c r="A143" s="13" t="s">
        <v>48</v>
      </c>
      <c r="B143" s="13" t="s">
        <v>49</v>
      </c>
      <c r="C143" s="52">
        <v>143</v>
      </c>
      <c r="D143" s="53"/>
      <c r="E143" s="53">
        <v>45565</v>
      </c>
      <c r="F143" s="54"/>
      <c r="K143" s="57"/>
      <c r="M143" s="52"/>
      <c r="N143" s="52"/>
      <c r="O143" s="52"/>
      <c r="P143" s="58"/>
      <c r="Q143" s="58"/>
      <c r="R143" s="59"/>
      <c r="S143" s="59"/>
      <c r="T143" s="59"/>
      <c r="U143" s="59"/>
      <c r="V143" s="59"/>
      <c r="W143" s="58"/>
      <c r="X143" s="60"/>
      <c r="Y143" s="60"/>
      <c r="Z143" s="57"/>
      <c r="AA143" s="61"/>
      <c r="AB143" s="57"/>
      <c r="AC143" s="59"/>
      <c r="AD143" s="101"/>
      <c r="AE143" s="101"/>
      <c r="AF143" s="101"/>
      <c r="AG143" s="101"/>
      <c r="AH143" s="101"/>
      <c r="AI143" s="57"/>
      <c r="AJ143" s="57"/>
    </row>
    <row r="144" spans="1:36">
      <c r="A144" s="13" t="s">
        <v>48</v>
      </c>
      <c r="B144" s="13" t="s">
        <v>49</v>
      </c>
      <c r="C144" s="13">
        <v>144</v>
      </c>
      <c r="E144" s="14">
        <v>45572</v>
      </c>
      <c r="AB144" s="17">
        <v>0.23674995906475865</v>
      </c>
      <c r="AC144" s="18">
        <v>-8.4881325847357303E-2</v>
      </c>
      <c r="AD144" s="21">
        <v>0.20288649248037094</v>
      </c>
      <c r="AE144" s="21">
        <v>-4.9965225720901951E-2</v>
      </c>
      <c r="AF144" s="21">
        <v>1.8986242588402936E-3</v>
      </c>
      <c r="AG144" s="21"/>
      <c r="AH144" s="21">
        <v>3.744249613456755E-2</v>
      </c>
    </row>
    <row r="145" spans="1:36">
      <c r="A145" s="13" t="s">
        <v>48</v>
      </c>
      <c r="B145" s="13" t="s">
        <v>49</v>
      </c>
      <c r="C145" s="13">
        <v>146</v>
      </c>
      <c r="E145" s="14">
        <v>45580</v>
      </c>
      <c r="AB145" s="17">
        <v>1.8321009700759452</v>
      </c>
      <c r="AC145" s="18">
        <v>0.19827937307129906</v>
      </c>
      <c r="AD145" s="21">
        <v>0.28982216255095899</v>
      </c>
      <c r="AE145" s="21">
        <v>0.67034753046375017</v>
      </c>
      <c r="AF145" s="21">
        <v>4.2184649746048889E-3</v>
      </c>
      <c r="AG145" s="21"/>
      <c r="AH145" s="21">
        <v>6.2774949637898717E-2</v>
      </c>
    </row>
    <row r="146" spans="1:36" s="56" customFormat="1">
      <c r="A146" s="13" t="s">
        <v>48</v>
      </c>
      <c r="B146" s="13" t="s">
        <v>49</v>
      </c>
      <c r="C146" s="52">
        <v>147</v>
      </c>
      <c r="D146" s="53"/>
      <c r="E146" s="53">
        <v>45587</v>
      </c>
      <c r="F146" s="54"/>
      <c r="K146" s="57"/>
      <c r="M146" s="52"/>
      <c r="N146" s="52"/>
      <c r="O146" s="52"/>
      <c r="P146" s="58"/>
      <c r="Q146" s="58"/>
      <c r="R146" s="59"/>
      <c r="S146" s="59"/>
      <c r="T146" s="59"/>
      <c r="U146" s="59"/>
      <c r="V146" s="59"/>
      <c r="W146" s="58"/>
      <c r="X146" s="60"/>
      <c r="Y146" s="60"/>
      <c r="Z146" s="57"/>
      <c r="AA146" s="61"/>
      <c r="AB146" s="57"/>
      <c r="AC146" s="59"/>
      <c r="AD146" s="101"/>
      <c r="AE146" s="101"/>
      <c r="AF146" s="101"/>
      <c r="AG146" s="101"/>
      <c r="AH146" s="101"/>
      <c r="AI146" s="57"/>
      <c r="AJ146" s="57"/>
    </row>
    <row r="147" spans="1:36">
      <c r="A147" s="13" t="s">
        <v>48</v>
      </c>
      <c r="B147" s="13" t="s">
        <v>49</v>
      </c>
      <c r="C147" s="13">
        <v>148</v>
      </c>
      <c r="E147" s="14">
        <v>45594</v>
      </c>
      <c r="AB147" s="17">
        <v>0.29348492541910298</v>
      </c>
      <c r="AC147" s="18">
        <v>-5.5774306852259092E-2</v>
      </c>
      <c r="AD147" s="21">
        <v>0.20694713975098827</v>
      </c>
      <c r="AE147" s="21">
        <v>0.11024620909543432</v>
      </c>
      <c r="AF147" s="21">
        <v>2.1513102466580547E-3</v>
      </c>
      <c r="AG147" s="21"/>
      <c r="AH147" s="21">
        <v>5.8743845419690362E-2</v>
      </c>
    </row>
    <row r="148" spans="1:36" s="56" customFormat="1">
      <c r="A148" s="13" t="s">
        <v>48</v>
      </c>
      <c r="B148" s="13" t="s">
        <v>49</v>
      </c>
      <c r="C148" s="52">
        <v>149</v>
      </c>
      <c r="D148" s="53"/>
      <c r="E148" s="53">
        <v>45601</v>
      </c>
      <c r="F148" s="54"/>
      <c r="K148" s="57"/>
      <c r="M148" s="52"/>
      <c r="N148" s="52"/>
      <c r="O148" s="52"/>
      <c r="P148" s="58"/>
      <c r="Q148" s="58"/>
      <c r="R148" s="59"/>
      <c r="S148" s="59"/>
      <c r="T148" s="59"/>
      <c r="U148" s="59"/>
      <c r="V148" s="59"/>
      <c r="W148" s="58"/>
      <c r="X148" s="60"/>
      <c r="Y148" s="60"/>
      <c r="Z148" s="57"/>
      <c r="AA148" s="61"/>
      <c r="AB148" s="57"/>
      <c r="AC148" s="59"/>
      <c r="AD148" s="101"/>
      <c r="AE148" s="101"/>
      <c r="AF148" s="101"/>
      <c r="AG148" s="101"/>
      <c r="AH148" s="101"/>
      <c r="AI148" s="57"/>
      <c r="AJ148" s="57"/>
    </row>
    <row r="149" spans="1:36">
      <c r="A149" s="13" t="s">
        <v>48</v>
      </c>
      <c r="B149" s="13" t="s">
        <v>49</v>
      </c>
      <c r="C149" s="13">
        <v>150</v>
      </c>
      <c r="E149" s="14">
        <v>45608</v>
      </c>
      <c r="AB149" s="17">
        <v>0.97248619865369101</v>
      </c>
      <c r="AC149" s="18">
        <v>2.6329566032392501E-2</v>
      </c>
      <c r="AD149" s="21">
        <v>0.23820003276213222</v>
      </c>
      <c r="AE149" s="21">
        <v>8.7552754081301754E-2</v>
      </c>
      <c r="AF149" s="21">
        <v>2.5288791832003719E-3</v>
      </c>
      <c r="AG149" s="21"/>
      <c r="AH149" s="21">
        <v>7.8961498585337311E-2</v>
      </c>
    </row>
    <row r="150" spans="1:36">
      <c r="A150" s="13" t="s">
        <v>48</v>
      </c>
      <c r="B150" s="13" t="s">
        <v>49</v>
      </c>
      <c r="C150" s="13">
        <v>151</v>
      </c>
      <c r="E150" s="14">
        <v>45615</v>
      </c>
      <c r="AB150" s="17">
        <v>0.48868816032174356</v>
      </c>
      <c r="AC150" s="18">
        <v>-3.4707251872889498E-2</v>
      </c>
      <c r="AD150" s="21">
        <v>0.27525914097959575</v>
      </c>
      <c r="AE150" s="21">
        <v>3.1637797176133115E-3</v>
      </c>
      <c r="AF150" s="21">
        <v>2.2087933619845479E-3</v>
      </c>
      <c r="AG150" s="21"/>
      <c r="AH150" s="21">
        <v>4.5022251709179444E-2</v>
      </c>
    </row>
    <row r="151" spans="1:36">
      <c r="A151" s="13" t="s">
        <v>48</v>
      </c>
      <c r="B151" s="13" t="s">
        <v>49</v>
      </c>
      <c r="C151" s="13">
        <v>152</v>
      </c>
      <c r="E151" s="14">
        <v>45622</v>
      </c>
      <c r="AB151" s="17">
        <v>0.82177990581412008</v>
      </c>
      <c r="AC151" s="18">
        <v>1.455114493885205E-2</v>
      </c>
      <c r="AD151" s="21">
        <v>0.2045390365200285</v>
      </c>
      <c r="AE151" s="21">
        <v>5.8996563765741104E-2</v>
      </c>
      <c r="AF151" s="21">
        <v>2.5470594213467365E-3</v>
      </c>
      <c r="AG151" s="21"/>
      <c r="AH151" s="21">
        <v>4.6554550985518299E-2</v>
      </c>
    </row>
    <row r="152" spans="1:36">
      <c r="A152" s="13" t="s">
        <v>48</v>
      </c>
      <c r="B152" s="13" t="s">
        <v>49</v>
      </c>
      <c r="C152" s="13">
        <v>153</v>
      </c>
      <c r="E152" s="14">
        <v>45629</v>
      </c>
      <c r="AB152" s="17">
        <v>2.7459202889373775</v>
      </c>
      <c r="AC152" s="18">
        <v>0.38184402811766577</v>
      </c>
      <c r="AD152" s="21">
        <v>0.33170275951551198</v>
      </c>
      <c r="AE152" s="21">
        <v>0.84520329730698784</v>
      </c>
      <c r="AF152" s="21">
        <v>5.5867801192833588E-3</v>
      </c>
      <c r="AG152" s="21"/>
      <c r="AH152" s="21">
        <v>8.2158832313994859E-2</v>
      </c>
    </row>
    <row r="153" spans="1:36">
      <c r="A153" s="13" t="s">
        <v>48</v>
      </c>
      <c r="B153" s="13" t="s">
        <v>49</v>
      </c>
      <c r="C153" s="13">
        <v>154</v>
      </c>
      <c r="E153" s="14">
        <v>45636</v>
      </c>
      <c r="AB153" s="17">
        <v>1.6865422449335228</v>
      </c>
      <c r="AC153" s="18">
        <v>0.11366688124439474</v>
      </c>
      <c r="AD153" s="21">
        <v>0.24360099173727229</v>
      </c>
      <c r="AE153" s="21">
        <v>0.24178683895607136</v>
      </c>
      <c r="AF153" s="21">
        <v>3.291384375883913E-3</v>
      </c>
      <c r="AG153" s="21"/>
      <c r="AH153" s="21">
        <v>2.3207058103758015E-2</v>
      </c>
    </row>
    <row r="154" spans="1:36">
      <c r="A154" s="13" t="s">
        <v>48</v>
      </c>
      <c r="B154" s="13" t="s">
        <v>49</v>
      </c>
      <c r="C154" s="13">
        <v>155</v>
      </c>
      <c r="E154" s="14">
        <v>45643</v>
      </c>
      <c r="AB154" s="17">
        <v>2.3648137301998964</v>
      </c>
      <c r="AC154" s="18">
        <v>0.34322191597903823</v>
      </c>
      <c r="AD154" s="21">
        <v>0.43426554281846091</v>
      </c>
      <c r="AE154" s="21">
        <v>0.68393144041267684</v>
      </c>
      <c r="AF154" s="21">
        <v>6.1796162053137363E-3</v>
      </c>
      <c r="AG154" s="21"/>
      <c r="AH154" s="21">
        <v>5.4718310635414907E-2</v>
      </c>
    </row>
    <row r="155" spans="1:36">
      <c r="A155" s="13" t="s">
        <v>48</v>
      </c>
      <c r="B155" s="13" t="s">
        <v>49</v>
      </c>
      <c r="C155" s="13">
        <v>156</v>
      </c>
      <c r="E155" s="14">
        <v>45650</v>
      </c>
      <c r="AB155" s="17">
        <v>1.0650007241448418</v>
      </c>
      <c r="AC155" s="18">
        <v>3.2476189418686047E-2</v>
      </c>
      <c r="AD155" s="21">
        <v>0.1998635920490579</v>
      </c>
      <c r="AE155" s="21">
        <v>0.18484787047858517</v>
      </c>
      <c r="AF155" s="21">
        <v>3.0989153427357237E-3</v>
      </c>
      <c r="AG155" s="21"/>
      <c r="AH155" s="21">
        <v>2.2367087105862601E-2</v>
      </c>
    </row>
    <row r="156" spans="1:36">
      <c r="A156" s="13" t="s">
        <v>48</v>
      </c>
      <c r="B156" s="13" t="s">
        <v>49</v>
      </c>
      <c r="C156" s="13">
        <v>157</v>
      </c>
      <c r="E156" s="14">
        <v>45656</v>
      </c>
      <c r="AB156" s="17">
        <v>0.22428587249922369</v>
      </c>
      <c r="AC156" s="18">
        <v>-5.9436809474631563E-2</v>
      </c>
      <c r="AD156" s="21">
        <v>0.22005034787450586</v>
      </c>
      <c r="AE156" s="21">
        <v>6.378685612673661E-2</v>
      </c>
      <c r="AF156" s="21">
        <v>2.179800623270793E-3</v>
      </c>
      <c r="AG156" s="21"/>
      <c r="AH156" s="21">
        <v>3.4596920107948931E-2</v>
      </c>
    </row>
    <row r="157" spans="1:36" s="56" customFormat="1">
      <c r="A157" s="13" t="s">
        <v>48</v>
      </c>
      <c r="B157" s="13" t="s">
        <v>49</v>
      </c>
      <c r="C157" s="52">
        <v>158</v>
      </c>
      <c r="D157" s="53"/>
      <c r="E157" s="53">
        <v>45664</v>
      </c>
      <c r="F157" s="54"/>
      <c r="K157" s="57"/>
      <c r="M157" s="52"/>
      <c r="N157" s="52"/>
      <c r="O157" s="52"/>
      <c r="P157" s="58"/>
      <c r="Q157" s="58"/>
      <c r="R157" s="59"/>
      <c r="S157" s="59"/>
      <c r="T157" s="59"/>
      <c r="U157" s="59"/>
      <c r="V157" s="59"/>
      <c r="W157" s="58"/>
      <c r="X157" s="60"/>
      <c r="Y157" s="60"/>
      <c r="Z157" s="57"/>
      <c r="AA157" s="61"/>
      <c r="AB157" s="57"/>
      <c r="AC157" s="59"/>
      <c r="AD157" s="101"/>
      <c r="AE157" s="101"/>
      <c r="AF157" s="101"/>
      <c r="AG157" s="101"/>
      <c r="AH157" s="101"/>
      <c r="AI157" s="57"/>
      <c r="AJ157" s="57"/>
    </row>
    <row r="158" spans="1:36">
      <c r="A158" s="13" t="s">
        <v>48</v>
      </c>
      <c r="B158" s="13" t="s">
        <v>49</v>
      </c>
      <c r="C158" s="13">
        <v>159</v>
      </c>
      <c r="E158" s="14">
        <v>45671</v>
      </c>
      <c r="AB158" s="17">
        <v>3.5249682138183691</v>
      </c>
      <c r="AC158" s="18">
        <v>0.42072054063992315</v>
      </c>
      <c r="AD158" s="21">
        <v>0.31159371036611744</v>
      </c>
      <c r="AE158" s="21">
        <v>1.0051645055693861</v>
      </c>
      <c r="AF158" s="21">
        <v>7.4768831372148074E-3</v>
      </c>
      <c r="AG158" s="21"/>
      <c r="AH158" s="21">
        <v>5.996088385812752E-2</v>
      </c>
    </row>
    <row r="159" spans="1:36">
      <c r="A159" s="13" t="s">
        <v>48</v>
      </c>
      <c r="B159" s="13" t="s">
        <v>49</v>
      </c>
      <c r="C159" s="13">
        <v>160</v>
      </c>
      <c r="E159" s="14">
        <v>45677</v>
      </c>
      <c r="AB159" s="17">
        <v>2.4142530699829643</v>
      </c>
      <c r="AC159" s="18">
        <v>0.27203260704346954</v>
      </c>
      <c r="AD159" s="21">
        <v>0.26210966297624727</v>
      </c>
      <c r="AE159" s="21">
        <v>0.70925742186229346</v>
      </c>
      <c r="AF159" s="21">
        <v>5.5625549149004713E-3</v>
      </c>
      <c r="AG159" s="21"/>
      <c r="AH159" s="21">
        <v>6.3021197353379757E-2</v>
      </c>
    </row>
    <row r="160" spans="1:36">
      <c r="A160" s="13" t="s">
        <v>48</v>
      </c>
      <c r="B160" s="13" t="s">
        <v>49</v>
      </c>
      <c r="C160" s="13">
        <v>161</v>
      </c>
      <c r="E160" s="14">
        <v>45684</v>
      </c>
      <c r="AB160" s="17">
        <v>1.7266936776994788</v>
      </c>
      <c r="AC160" s="18">
        <v>0.11357610382755008</v>
      </c>
      <c r="AD160" s="21">
        <v>0.23669861693311475</v>
      </c>
      <c r="AE160" s="21">
        <v>0.37244391549540329</v>
      </c>
      <c r="AF160" s="21">
        <v>3.8634417978447191E-3</v>
      </c>
      <c r="AG160" s="21"/>
      <c r="AH160" s="21">
        <v>5.169581552473404E-2</v>
      </c>
    </row>
    <row r="161" spans="1:34">
      <c r="A161" s="13" t="s">
        <v>48</v>
      </c>
      <c r="B161" s="13" t="s">
        <v>49</v>
      </c>
      <c r="C161" s="13">
        <v>162</v>
      </c>
      <c r="E161" s="14">
        <v>45692</v>
      </c>
      <c r="AB161" s="17">
        <v>0.22572724382568291</v>
      </c>
      <c r="AC161" s="18">
        <v>-6.700190196656261E-2</v>
      </c>
      <c r="AD161" s="21">
        <v>0.19537228641649029</v>
      </c>
      <c r="AE161" s="21">
        <v>-1.1442028015464553E-2</v>
      </c>
      <c r="AF161" s="21">
        <v>2.2703639185282566E-3</v>
      </c>
      <c r="AG161" s="21"/>
      <c r="AH161" s="21">
        <v>4.766735021778358E-2</v>
      </c>
    </row>
    <row r="162" spans="1:34">
      <c r="A162" s="13" t="s">
        <v>48</v>
      </c>
      <c r="B162" s="13" t="s">
        <v>49</v>
      </c>
      <c r="C162" s="13">
        <v>163</v>
      </c>
      <c r="E162" s="14">
        <v>45699</v>
      </c>
      <c r="AB162" s="17">
        <v>1.5880103685699154</v>
      </c>
      <c r="AC162" s="18">
        <v>9.4734155541930973E-2</v>
      </c>
      <c r="AD162" s="21">
        <v>0.24365054056985785</v>
      </c>
      <c r="AE162" s="21">
        <v>0.265108302682101</v>
      </c>
      <c r="AF162" s="21">
        <v>4.100257439534489E-3</v>
      </c>
      <c r="AG162" s="21"/>
      <c r="AH162" s="21">
        <v>3.8603346068257403E-2</v>
      </c>
    </row>
    <row r="163" spans="1:34">
      <c r="A163" s="13" t="s">
        <v>48</v>
      </c>
      <c r="B163" s="13" t="s">
        <v>49</v>
      </c>
      <c r="C163" s="13">
        <v>164</v>
      </c>
      <c r="E163" s="14">
        <v>45706</v>
      </c>
      <c r="AB163" s="17">
        <v>0.41294177336272314</v>
      </c>
      <c r="AC163" s="18">
        <v>-5.9728671253685015E-2</v>
      </c>
      <c r="AD163" s="21">
        <v>0.20521504796483903</v>
      </c>
      <c r="AE163" s="21">
        <v>2.6767721999895668E-2</v>
      </c>
      <c r="AF163" s="21">
        <v>2.5114407333444474E-3</v>
      </c>
      <c r="AG163" s="21"/>
      <c r="AH163" s="21">
        <v>1.6210238344196732E-2</v>
      </c>
    </row>
    <row r="164" spans="1:34">
      <c r="A164" s="13" t="s">
        <v>48</v>
      </c>
      <c r="B164" s="13" t="s">
        <v>49</v>
      </c>
      <c r="C164" s="13">
        <v>165</v>
      </c>
      <c r="E164" s="14">
        <v>45713</v>
      </c>
      <c r="AB164" s="17">
        <v>0.28788682541105981</v>
      </c>
      <c r="AC164" s="18">
        <v>-6.7809788512222538E-2</v>
      </c>
      <c r="AD164" s="21">
        <v>0.1961808684546873</v>
      </c>
      <c r="AE164" s="21">
        <v>-1.5922155967199546E-2</v>
      </c>
      <c r="AF164" s="21">
        <v>2.3536837155124259E-3</v>
      </c>
      <c r="AG164" s="21"/>
      <c r="AH164" s="21">
        <v>1.4222911444630568E-2</v>
      </c>
    </row>
    <row r="165" spans="1:34">
      <c r="A165" s="13" t="s">
        <v>48</v>
      </c>
      <c r="B165" s="13" t="s">
        <v>49</v>
      </c>
      <c r="C165" s="13">
        <v>166</v>
      </c>
      <c r="E165" s="14">
        <v>45720</v>
      </c>
      <c r="AB165" s="17">
        <v>1.1020769839948346</v>
      </c>
      <c r="AC165" s="18">
        <v>0.2274210334657078</v>
      </c>
      <c r="AD165" s="21">
        <v>0.5697933895151146</v>
      </c>
      <c r="AE165" s="21">
        <v>0.85848133767538848</v>
      </c>
      <c r="AF165" s="21">
        <v>6.3335540129747098E-3</v>
      </c>
      <c r="AG165" s="21"/>
      <c r="AH165" s="21">
        <v>0.15449420388365084</v>
      </c>
    </row>
    <row r="166" spans="1:34">
      <c r="A166" s="13" t="s">
        <v>48</v>
      </c>
      <c r="B166" s="13" t="s">
        <v>49</v>
      </c>
      <c r="C166" s="13">
        <v>167</v>
      </c>
      <c r="E166" s="14">
        <v>45727</v>
      </c>
      <c r="AB166" s="17">
        <v>0.72660310269249173</v>
      </c>
      <c r="AC166" s="18">
        <v>-3.3680420060761079E-2</v>
      </c>
      <c r="AD166" s="21">
        <v>0.22523529650641314</v>
      </c>
      <c r="AE166" s="21">
        <v>-8.1421067215004528E-3</v>
      </c>
      <c r="AF166" s="21">
        <v>2.4806703804720089E-3</v>
      </c>
      <c r="AG166" s="21"/>
      <c r="AH166" s="21">
        <v>5.1823154101127582E-2</v>
      </c>
    </row>
    <row r="167" spans="1:34">
      <c r="A167" s="13" t="s">
        <v>48</v>
      </c>
      <c r="B167" s="13" t="s">
        <v>49</v>
      </c>
      <c r="C167" s="13">
        <v>168</v>
      </c>
      <c r="E167" s="14">
        <v>45734</v>
      </c>
      <c r="AB167" s="17">
        <v>0.50714846636068311</v>
      </c>
      <c r="AC167" s="18">
        <v>-2.9697742786037647E-2</v>
      </c>
      <c r="AD167" s="21">
        <v>0.24259134591319845</v>
      </c>
      <c r="AE167" s="21">
        <v>4.4848692021376563E-2</v>
      </c>
      <c r="AF167" s="21">
        <v>2.7771169176003725E-3</v>
      </c>
      <c r="AG167" s="21"/>
      <c r="AH167" s="21">
        <v>6.5569121268191033E-2</v>
      </c>
    </row>
    <row r="168" spans="1:34">
      <c r="A168" s="13" t="s">
        <v>48</v>
      </c>
      <c r="B168" s="13" t="s">
        <v>49</v>
      </c>
      <c r="C168" s="13">
        <v>169</v>
      </c>
      <c r="E168" s="14">
        <v>45740</v>
      </c>
      <c r="AB168" s="17">
        <v>1.2931741283810838</v>
      </c>
      <c r="AC168" s="18">
        <v>0.18828979109422775</v>
      </c>
      <c r="AD168" s="21">
        <v>0.2558719864121915</v>
      </c>
      <c r="AE168" s="21">
        <v>0.87939110137090926</v>
      </c>
      <c r="AF168" s="21">
        <v>6.6707594842329455E-3</v>
      </c>
      <c r="AG168" s="21"/>
      <c r="AH168" s="21">
        <v>8.6994282589175978E-2</v>
      </c>
    </row>
    <row r="169" spans="1:34">
      <c r="A169" s="13" t="s">
        <v>48</v>
      </c>
      <c r="B169" s="13" t="s">
        <v>49</v>
      </c>
      <c r="C169" s="13">
        <v>170</v>
      </c>
      <c r="E169" s="14">
        <v>45747</v>
      </c>
      <c r="AB169" s="17">
        <v>0.14669666669864612</v>
      </c>
      <c r="AC169" s="18">
        <v>-7.8117593802895624E-2</v>
      </c>
      <c r="AD169" s="21">
        <v>0.27104542210052718</v>
      </c>
      <c r="AE169" s="21">
        <v>-3.1566923551255739E-2</v>
      </c>
      <c r="AF169" s="21">
        <v>2.2398703811091574E-3</v>
      </c>
      <c r="AG169" s="21"/>
      <c r="AH169" s="21">
        <v>5.8503895540473631E-2</v>
      </c>
    </row>
    <row r="170" spans="1:34">
      <c r="A170" s="13" t="s">
        <v>48</v>
      </c>
      <c r="B170" s="13" t="s">
        <v>49</v>
      </c>
      <c r="C170" s="13">
        <v>171</v>
      </c>
      <c r="E170" s="14">
        <v>45755</v>
      </c>
      <c r="AB170" s="17">
        <v>0.34304259437373696</v>
      </c>
      <c r="AC170" s="18">
        <v>-2.2253923116957054E-2</v>
      </c>
      <c r="AD170" s="21">
        <v>0.29000097616324094</v>
      </c>
      <c r="AE170" s="21">
        <v>0.2022775240250711</v>
      </c>
      <c r="AF170" s="21">
        <v>3.457366069696502E-3</v>
      </c>
      <c r="AG170" s="21"/>
      <c r="AH170" s="21">
        <v>5.6466799231774438E-2</v>
      </c>
    </row>
    <row r="171" spans="1:34">
      <c r="A171" s="13" t="s">
        <v>48</v>
      </c>
      <c r="B171" s="13" t="s">
        <v>49</v>
      </c>
      <c r="C171" s="13">
        <v>172</v>
      </c>
      <c r="E171" s="14">
        <v>45762</v>
      </c>
      <c r="AB171" s="17">
        <v>0.27709073665883738</v>
      </c>
      <c r="AC171" s="18">
        <v>-6.5477681404373364E-2</v>
      </c>
      <c r="AD171" s="21">
        <v>0.24439495393479682</v>
      </c>
      <c r="AE171" s="21">
        <v>5.4099771682658296E-2</v>
      </c>
      <c r="AF171" s="21">
        <v>2.8074631718959316E-3</v>
      </c>
      <c r="AG171" s="21"/>
      <c r="AH171" s="21">
        <v>6.246945915336595E-2</v>
      </c>
    </row>
    <row r="172" spans="1:34">
      <c r="A172" s="13" t="s">
        <v>48</v>
      </c>
      <c r="B172" s="13" t="s">
        <v>49</v>
      </c>
      <c r="C172" s="13">
        <v>173</v>
      </c>
      <c r="E172" s="14">
        <v>45769</v>
      </c>
      <c r="AB172" s="17">
        <v>0.35928294290458196</v>
      </c>
      <c r="AC172" s="18">
        <v>-4.3216752406295959E-2</v>
      </c>
      <c r="AD172" s="21">
        <v>0.32474565208369544</v>
      </c>
      <c r="AE172" s="21">
        <v>0.1912514021338492</v>
      </c>
      <c r="AF172" s="21">
        <v>3.3651780537629601E-3</v>
      </c>
      <c r="AG172" s="21"/>
      <c r="AH172" s="21">
        <v>6.5794360369712507E-2</v>
      </c>
    </row>
    <row r="173" spans="1:34">
      <c r="A173" s="13" t="s">
        <v>48</v>
      </c>
      <c r="B173" s="13" t="s">
        <v>49</v>
      </c>
      <c r="C173" s="13">
        <v>174</v>
      </c>
      <c r="E173" s="14">
        <v>45776</v>
      </c>
      <c r="AB173" s="17">
        <v>0.27027926069813762</v>
      </c>
      <c r="AC173" s="18">
        <v>-5.2959816029973336E-2</v>
      </c>
      <c r="AD173" s="21">
        <v>0.22412392895959993</v>
      </c>
      <c r="AE173" s="21">
        <v>0.14171250707665839</v>
      </c>
      <c r="AF173" s="21">
        <v>3.1130307162277335E-3</v>
      </c>
      <c r="AG173" s="21"/>
      <c r="AH173" s="21">
        <v>7.2169727213125728E-2</v>
      </c>
    </row>
    <row r="174" spans="1:34">
      <c r="A174" s="13" t="s">
        <v>48</v>
      </c>
      <c r="B174" s="13" t="s">
        <v>49</v>
      </c>
      <c r="C174" s="13">
        <v>175</v>
      </c>
      <c r="E174" s="14">
        <v>45783</v>
      </c>
      <c r="AB174" s="17">
        <v>3.1668988303290235</v>
      </c>
      <c r="AC174" s="18">
        <v>0.51947697235917412</v>
      </c>
      <c r="AD174" s="21">
        <v>0.5513087437382902</v>
      </c>
      <c r="AE174" s="21">
        <v>3.9464995870642539</v>
      </c>
      <c r="AF174" s="21">
        <v>1.1477345032029776E-2</v>
      </c>
      <c r="AG174" s="21"/>
      <c r="AH174" s="21">
        <v>0.17146856417657694</v>
      </c>
    </row>
    <row r="175" spans="1:34">
      <c r="A175" s="13" t="s">
        <v>48</v>
      </c>
      <c r="B175" s="13" t="s">
        <v>49</v>
      </c>
      <c r="C175" s="13">
        <v>176</v>
      </c>
      <c r="E175" s="14">
        <v>45789</v>
      </c>
      <c r="AB175" s="17">
        <v>0.15305691196680637</v>
      </c>
      <c r="AC175" s="18">
        <v>-8.2549400674395479E-2</v>
      </c>
      <c r="AD175" s="21">
        <v>0.18880952026562511</v>
      </c>
      <c r="AE175" s="21">
        <v>2.4087820881265667E-2</v>
      </c>
      <c r="AF175" s="21">
        <v>2.3157331825264978E-3</v>
      </c>
      <c r="AG175" s="21"/>
      <c r="AH175" s="21">
        <v>3.705855134706329E-2</v>
      </c>
    </row>
    <row r="176" spans="1:34">
      <c r="A176" s="13" t="s">
        <v>48</v>
      </c>
      <c r="B176" s="13" t="s">
        <v>49</v>
      </c>
      <c r="C176" s="13">
        <v>177</v>
      </c>
      <c r="E176" s="14">
        <v>45797</v>
      </c>
      <c r="AB176" s="17">
        <v>0.475147971808702</v>
      </c>
      <c r="AC176" s="18">
        <v>6.9931538400191728E-2</v>
      </c>
      <c r="AD176" s="21">
        <v>0.31553606389842787</v>
      </c>
      <c r="AE176" s="21">
        <v>0.75671237207999831</v>
      </c>
      <c r="AF176" s="21">
        <v>5.7429892907749011E-3</v>
      </c>
      <c r="AG176" s="21"/>
      <c r="AH176" s="21">
        <v>0.11610565608858989</v>
      </c>
    </row>
    <row r="177" spans="1:34">
      <c r="A177" s="13" t="s">
        <v>48</v>
      </c>
      <c r="B177" s="13" t="s">
        <v>49</v>
      </c>
      <c r="C177" s="13">
        <v>178</v>
      </c>
      <c r="E177" s="14">
        <v>45804</v>
      </c>
      <c r="AB177" s="17">
        <v>0.34621292065439241</v>
      </c>
      <c r="AC177" s="18">
        <v>-6.0346398938275259E-2</v>
      </c>
      <c r="AD177" s="21">
        <v>0.20563162415246908</v>
      </c>
      <c r="AE177" s="21">
        <v>8.288779921270864E-2</v>
      </c>
      <c r="AF177" s="21">
        <v>2.5353740492260551E-3</v>
      </c>
      <c r="AG177" s="21"/>
      <c r="AH177" s="21">
        <v>4.6484811943045663E-2</v>
      </c>
    </row>
    <row r="178" spans="1:34">
      <c r="A178" s="13" t="s">
        <v>48</v>
      </c>
      <c r="B178" s="13" t="s">
        <v>49</v>
      </c>
      <c r="C178" s="13">
        <v>179</v>
      </c>
      <c r="E178" s="14">
        <v>45811</v>
      </c>
      <c r="AB178" s="17">
        <v>0.18670479342853297</v>
      </c>
      <c r="AC178" s="18">
        <v>-8.5074917018163818E-2</v>
      </c>
      <c r="AD178" s="21">
        <v>0.21089033309391755</v>
      </c>
      <c r="AE178" s="21">
        <v>-3.548735864591443E-2</v>
      </c>
      <c r="AF178" s="21">
        <v>2.1888252184442234E-3</v>
      </c>
      <c r="AG178" s="21"/>
      <c r="AH178" s="21">
        <v>3.4481507801021334E-2</v>
      </c>
    </row>
    <row r="179" spans="1:34">
      <c r="A179" s="13" t="s">
        <v>48</v>
      </c>
      <c r="B179" s="13" t="s">
        <v>49</v>
      </c>
      <c r="C179" s="13">
        <v>180</v>
      </c>
      <c r="E179" s="14">
        <v>45818</v>
      </c>
      <c r="AB179" s="17">
        <v>0.13391939505922745</v>
      </c>
      <c r="AC179" s="18">
        <v>-8.5972403193117844E-2</v>
      </c>
      <c r="AD179" s="21">
        <v>0.20081869912621511</v>
      </c>
      <c r="AE179" s="21">
        <v>-7.9951603944303038E-3</v>
      </c>
      <c r="AF179" s="21">
        <v>2.1975127278551871E-3</v>
      </c>
      <c r="AG179" s="21"/>
      <c r="AH179" s="21">
        <v>2.756450222736587E-2</v>
      </c>
    </row>
    <row r="180" spans="1:34">
      <c r="A180" s="13" t="s">
        <v>48</v>
      </c>
      <c r="B180" s="13" t="s">
        <v>49</v>
      </c>
      <c r="C180" s="13">
        <v>181</v>
      </c>
      <c r="E180" s="14">
        <v>45825</v>
      </c>
      <c r="AB180" s="17">
        <v>0.15742421258848519</v>
      </c>
      <c r="AC180" s="18">
        <v>-8.5207262910100223E-2</v>
      </c>
      <c r="AD180" s="21">
        <v>0.21374754539542076</v>
      </c>
      <c r="AE180" s="21">
        <v>-1.0627640832190675E-2</v>
      </c>
      <c r="AF180" s="21">
        <v>2.250990196856666E-3</v>
      </c>
      <c r="AG180" s="21"/>
      <c r="AH180" s="21">
        <v>2.4698559775041391E-2</v>
      </c>
    </row>
    <row r="181" spans="1:34">
      <c r="A181" s="13" t="s">
        <v>48</v>
      </c>
      <c r="B181" s="13" t="s">
        <v>49</v>
      </c>
      <c r="C181" s="13">
        <v>182</v>
      </c>
      <c r="E181" s="14">
        <v>45832</v>
      </c>
      <c r="AB181" s="17">
        <v>0.24367793234678473</v>
      </c>
      <c r="AC181" s="18">
        <v>-4.2868212810167949E-2</v>
      </c>
      <c r="AD181" s="21">
        <v>0.242578221827565</v>
      </c>
      <c r="AE181" s="21">
        <v>0.26499399602596252</v>
      </c>
      <c r="AF181" s="21">
        <v>2.4744004631500533E-3</v>
      </c>
      <c r="AG181" s="21"/>
      <c r="AH181" s="21">
        <v>6.0516982588144447E-2</v>
      </c>
    </row>
    <row r="182" spans="1:34">
      <c r="A182" s="13" t="s">
        <v>48</v>
      </c>
      <c r="B182" s="13" t="s">
        <v>49</v>
      </c>
      <c r="C182" s="13">
        <v>183</v>
      </c>
      <c r="E182" s="14">
        <v>45839</v>
      </c>
      <c r="AB182" s="17">
        <v>0.27345141437492237</v>
      </c>
      <c r="AC182" s="18">
        <v>6.4246059044757053E-2</v>
      </c>
      <c r="AD182" s="21">
        <v>0.2968530917979405</v>
      </c>
      <c r="AE182" s="21">
        <v>0.81087164945439771</v>
      </c>
      <c r="AF182" s="21">
        <v>4.2102396300685296E-3</v>
      </c>
      <c r="AG182" s="21"/>
      <c r="AH182" s="21">
        <v>0.11152121617687688</v>
      </c>
    </row>
    <row r="183" spans="1:34">
      <c r="A183" s="13" t="s">
        <v>48</v>
      </c>
      <c r="B183" s="13" t="s">
        <v>49</v>
      </c>
      <c r="C183" s="13">
        <v>184</v>
      </c>
      <c r="E183" s="14">
        <v>45846</v>
      </c>
      <c r="AB183" s="17">
        <v>0.25464061692222134</v>
      </c>
      <c r="AC183" s="18">
        <v>-2.9521492041623035E-2</v>
      </c>
      <c r="AD183" s="21">
        <v>0.26346994221763437</v>
      </c>
      <c r="AE183" s="21">
        <v>0.29478471123325961</v>
      </c>
      <c r="AF183" s="21">
        <v>3.0131703173370602E-3</v>
      </c>
      <c r="AG183" s="21"/>
      <c r="AH183" s="21">
        <v>4.7828020458685803E-2</v>
      </c>
    </row>
    <row r="184" spans="1:34">
      <c r="A184" s="13" t="s">
        <v>48</v>
      </c>
      <c r="B184" s="13" t="s">
        <v>49</v>
      </c>
      <c r="C184" s="13">
        <v>185</v>
      </c>
      <c r="E184" s="14">
        <v>45853</v>
      </c>
      <c r="AB184" s="17">
        <v>0.15012379617744379</v>
      </c>
      <c r="AC184" s="18">
        <v>-1.8048714068427767E-2</v>
      </c>
      <c r="AD184" s="21">
        <v>0.23789812001481628</v>
      </c>
      <c r="AE184" s="21">
        <v>0.51601022666873797</v>
      </c>
      <c r="AF184" s="21">
        <v>3.1299015097732454E-3</v>
      </c>
      <c r="AG184" s="21"/>
      <c r="AH184" s="21">
        <v>4.568730859395434E-2</v>
      </c>
    </row>
    <row r="185" spans="1:34">
      <c r="A185" s="13" t="s">
        <v>48</v>
      </c>
      <c r="B185" s="13" t="s">
        <v>49</v>
      </c>
      <c r="C185" s="13">
        <v>186</v>
      </c>
      <c r="E185" s="14">
        <v>45860</v>
      </c>
      <c r="AB185" s="17">
        <v>0.62244933820808901</v>
      </c>
      <c r="AC185" s="18">
        <v>-5.3147828060201449E-2</v>
      </c>
      <c r="AD185" s="21">
        <v>0.20786189085655979</v>
      </c>
      <c r="AE185" s="21">
        <v>9.9895455797778449E-2</v>
      </c>
      <c r="AF185" s="21">
        <v>2.1527249181988229E-3</v>
      </c>
      <c r="AG185" s="21"/>
      <c r="AH185" s="21">
        <v>2.0448352198729359E-2</v>
      </c>
    </row>
    <row r="186" spans="1:34">
      <c r="A186" s="13" t="s">
        <v>48</v>
      </c>
      <c r="B186" s="13" t="s">
        <v>49</v>
      </c>
      <c r="C186" s="13">
        <v>187</v>
      </c>
      <c r="E186" s="14">
        <v>45867</v>
      </c>
      <c r="AB186" s="17">
        <v>0.44733478072432564</v>
      </c>
      <c r="AC186" s="18">
        <v>-4.2258283167317126E-2</v>
      </c>
      <c r="AD186" s="21">
        <v>0.23745179713759096</v>
      </c>
      <c r="AE186" s="21">
        <v>8.7604028287526378E-2</v>
      </c>
      <c r="AF186" s="21">
        <v>2.2633036169050569E-3</v>
      </c>
      <c r="AG186" s="21"/>
      <c r="AH186" s="21">
        <v>4.6531362106557159E-2</v>
      </c>
    </row>
    <row r="187" spans="1:34">
      <c r="A187" s="13" t="s">
        <v>48</v>
      </c>
      <c r="B187" s="13" t="s">
        <v>49</v>
      </c>
      <c r="C187" s="13">
        <v>188</v>
      </c>
      <c r="E187" s="14">
        <v>45874</v>
      </c>
      <c r="AB187" s="17">
        <v>0.25154827883715219</v>
      </c>
      <c r="AC187" s="18">
        <v>-4.4440644266915269E-2</v>
      </c>
      <c r="AD187" s="21">
        <v>0.23459236778004652</v>
      </c>
      <c r="AE187" s="21">
        <v>9.5620458557617749E-2</v>
      </c>
      <c r="AF187" s="21">
        <v>2.3404887326276677E-3</v>
      </c>
      <c r="AG187" s="21"/>
      <c r="AH187" s="21">
        <v>5.8794726404833499E-2</v>
      </c>
    </row>
    <row r="188" spans="1:34">
      <c r="A188" s="13" t="s">
        <v>48</v>
      </c>
      <c r="B188" s="13" t="s">
        <v>49</v>
      </c>
      <c r="C188" s="13">
        <v>189</v>
      </c>
      <c r="E188" s="14">
        <v>45881</v>
      </c>
      <c r="AB188" s="17">
        <v>0.32387604012343968</v>
      </c>
      <c r="AC188" s="18">
        <v>3.2580898183658516E-2</v>
      </c>
      <c r="AD188" s="21">
        <v>0.33624201170209511</v>
      </c>
      <c r="AE188" s="21">
        <v>0.40334900855079414</v>
      </c>
      <c r="AF188" s="21">
        <v>3.5999303678054552E-3</v>
      </c>
      <c r="AG188" s="21"/>
      <c r="AH188" s="21">
        <v>7.6368138971495247E-2</v>
      </c>
    </row>
    <row r="189" spans="1:34">
      <c r="A189" s="13" t="s">
        <v>48</v>
      </c>
      <c r="B189" s="13" t="s">
        <v>49</v>
      </c>
      <c r="C189" s="13">
        <v>190</v>
      </c>
      <c r="E189" s="14">
        <v>45888</v>
      </c>
      <c r="AB189" s="17">
        <v>3.2370142557070127</v>
      </c>
      <c r="AC189" s="18">
        <v>0.20971270066842007</v>
      </c>
      <c r="AD189" s="21">
        <v>0.27513475847270963</v>
      </c>
      <c r="AE189" s="21">
        <v>0.41715440676490795</v>
      </c>
      <c r="AF189" s="21">
        <v>4.1592942629161663E-3</v>
      </c>
      <c r="AG189" s="21"/>
      <c r="AH189" s="21">
        <v>5.7023699365704075E-2</v>
      </c>
    </row>
    <row r="190" spans="1:34">
      <c r="A190" s="13" t="s">
        <v>48</v>
      </c>
      <c r="B190" s="13" t="s">
        <v>49</v>
      </c>
      <c r="C190" s="13">
        <v>191</v>
      </c>
      <c r="E190" s="14">
        <v>45894</v>
      </c>
      <c r="AB190" s="17">
        <v>1.0110623775594751</v>
      </c>
      <c r="AC190" s="18">
        <v>0.14907983147058101</v>
      </c>
      <c r="AD190" s="21">
        <v>0.34323904656902826</v>
      </c>
      <c r="AE190" s="21">
        <v>0.42588642161998391</v>
      </c>
      <c r="AF190" s="21">
        <v>4.1466602697677428E-3</v>
      </c>
      <c r="AG190" s="21"/>
      <c r="AH190" s="21">
        <v>8.1400005687851176E-2</v>
      </c>
    </row>
    <row r="191" spans="1:34">
      <c r="A191" s="13" t="s">
        <v>48</v>
      </c>
      <c r="B191" s="13" t="s">
        <v>49</v>
      </c>
      <c r="C191" s="13">
        <v>192</v>
      </c>
      <c r="E191" s="14">
        <v>45902</v>
      </c>
      <c r="AB191" s="17">
        <v>2.1011394398483265</v>
      </c>
      <c r="AC191" s="18">
        <v>1.1801501863289583</v>
      </c>
      <c r="AD191" s="21">
        <v>1.4944962586556405</v>
      </c>
      <c r="AE191" s="21">
        <v>4.0193549378692932</v>
      </c>
      <c r="AF191" s="21">
        <v>1.6503164299539328E-2</v>
      </c>
      <c r="AG191" s="21"/>
      <c r="AH191" s="21">
        <v>0.70519339134634251</v>
      </c>
    </row>
    <row r="192" spans="1:34">
      <c r="A192" s="13" t="s">
        <v>48</v>
      </c>
      <c r="B192" s="13" t="s">
        <v>49</v>
      </c>
      <c r="C192" s="13">
        <v>193</v>
      </c>
      <c r="E192" s="14">
        <v>45909</v>
      </c>
      <c r="AB192" s="17">
        <v>0.82522481986925611</v>
      </c>
      <c r="AC192" s="18">
        <v>6.3419360952012463E-2</v>
      </c>
      <c r="AD192" s="21">
        <v>0.28958184868870152</v>
      </c>
      <c r="AE192" s="21">
        <v>0.37091931029818842</v>
      </c>
      <c r="AF192" s="21">
        <v>3.8178203652092209E-3</v>
      </c>
      <c r="AG192" s="21"/>
      <c r="AH192" s="21">
        <v>6.0989322372773214E-2</v>
      </c>
    </row>
    <row r="193" spans="1:36" s="56" customFormat="1">
      <c r="A193" s="13" t="s">
        <v>48</v>
      </c>
      <c r="B193" s="13" t="s">
        <v>49</v>
      </c>
      <c r="C193" s="52">
        <v>194</v>
      </c>
      <c r="D193" s="53"/>
      <c r="E193" s="53">
        <v>45916</v>
      </c>
      <c r="F193" s="54"/>
      <c r="K193" s="57"/>
      <c r="M193" s="52"/>
      <c r="N193" s="52"/>
      <c r="O193" s="52"/>
      <c r="P193" s="58"/>
      <c r="Q193" s="58"/>
      <c r="R193" s="59"/>
      <c r="S193" s="59"/>
      <c r="T193" s="59"/>
      <c r="U193" s="59"/>
      <c r="V193" s="59"/>
      <c r="W193" s="58"/>
      <c r="X193" s="60"/>
      <c r="Y193" s="60"/>
      <c r="Z193" s="57"/>
      <c r="AA193" s="61"/>
      <c r="AB193" s="57"/>
      <c r="AC193" s="59"/>
      <c r="AD193" s="101"/>
      <c r="AE193" s="101"/>
      <c r="AF193" s="101"/>
      <c r="AG193" s="101"/>
      <c r="AH193" s="101"/>
      <c r="AI193" s="57"/>
      <c r="AJ193" s="57"/>
    </row>
    <row r="194" spans="1:36">
      <c r="A194" s="13" t="s">
        <v>48</v>
      </c>
      <c r="B194" s="13" t="s">
        <v>49</v>
      </c>
      <c r="C194" s="13">
        <v>195</v>
      </c>
      <c r="E194" s="14">
        <v>45923</v>
      </c>
      <c r="AB194" s="17">
        <v>1.0598656044605324</v>
      </c>
      <c r="AC194" s="18">
        <v>-4.6352796757170693E-4</v>
      </c>
      <c r="AD194" s="21">
        <v>0.21774840650711541</v>
      </c>
      <c r="AE194" s="21">
        <v>0.10624788196330512</v>
      </c>
      <c r="AF194" s="21">
        <v>2.4941491898681973E-3</v>
      </c>
      <c r="AG194" s="21"/>
      <c r="AH194" s="21">
        <v>2.3250440574078428E-2</v>
      </c>
    </row>
    <row r="195" spans="1:36">
      <c r="A195" s="13" t="s">
        <v>48</v>
      </c>
      <c r="B195" s="13" t="s">
        <v>49</v>
      </c>
      <c r="C195" s="13">
        <v>196</v>
      </c>
      <c r="E195" s="14">
        <v>45930</v>
      </c>
      <c r="AB195" s="17">
        <v>1.4831065307318854</v>
      </c>
      <c r="AC195" s="18">
        <v>0.10564517815219913</v>
      </c>
      <c r="AD195" s="21">
        <v>0.75294279097418282</v>
      </c>
      <c r="AE195" s="21">
        <v>0.45344777856637553</v>
      </c>
      <c r="AF195" s="21">
        <v>3.4500182520723114E-3</v>
      </c>
      <c r="AG195" s="21"/>
      <c r="AH195" s="21">
        <v>0.446598382021341</v>
      </c>
    </row>
    <row r="196" spans="1:36" s="56" customFormat="1">
      <c r="A196" s="13" t="s">
        <v>48</v>
      </c>
      <c r="B196" s="13" t="s">
        <v>49</v>
      </c>
      <c r="C196" s="52">
        <v>197</v>
      </c>
      <c r="D196" s="53"/>
      <c r="E196" s="53">
        <v>45937</v>
      </c>
      <c r="F196" s="54"/>
      <c r="K196" s="57"/>
      <c r="M196" s="52"/>
      <c r="N196" s="52"/>
      <c r="O196" s="52"/>
      <c r="P196" s="58"/>
      <c r="Q196" s="58"/>
      <c r="R196" s="59"/>
      <c r="S196" s="59"/>
      <c r="T196" s="59"/>
      <c r="U196" s="59"/>
      <c r="V196" s="59"/>
      <c r="W196" s="58"/>
      <c r="X196" s="60"/>
      <c r="Y196" s="60"/>
      <c r="Z196" s="57"/>
      <c r="AA196" s="61"/>
      <c r="AB196" s="57"/>
      <c r="AC196" s="59"/>
      <c r="AD196" s="101"/>
      <c r="AE196" s="101"/>
      <c r="AF196" s="101"/>
      <c r="AG196" s="101"/>
      <c r="AH196" s="101"/>
      <c r="AI196" s="57"/>
      <c r="AJ196" s="57"/>
    </row>
    <row r="197" spans="1:36">
      <c r="A197" s="13" t="s">
        <v>48</v>
      </c>
      <c r="B197" s="13" t="s">
        <v>49</v>
      </c>
      <c r="C197" s="13">
        <v>198</v>
      </c>
      <c r="E197" s="14">
        <v>45943</v>
      </c>
      <c r="AB197" s="17">
        <v>2.4060441309611682</v>
      </c>
      <c r="AC197" s="18">
        <v>0.50089341193734138</v>
      </c>
      <c r="AD197" s="21">
        <v>1.7662068144624941</v>
      </c>
      <c r="AE197" s="21">
        <v>1.7918361952436839</v>
      </c>
      <c r="AF197" s="21">
        <v>1.1795656369205133E-2</v>
      </c>
      <c r="AG197" s="21"/>
      <c r="AH197" s="21">
        <v>0.43098150824761539</v>
      </c>
    </row>
    <row r="198" spans="1:36">
      <c r="A198" s="13" t="s">
        <v>48</v>
      </c>
      <c r="B198" s="13" t="s">
        <v>49</v>
      </c>
      <c r="C198" s="13">
        <v>199</v>
      </c>
      <c r="E198" s="14">
        <v>45951</v>
      </c>
      <c r="AB198" s="17">
        <v>0.11910929002324817</v>
      </c>
      <c r="AC198" s="18">
        <v>-8.92619696876015E-2</v>
      </c>
      <c r="AD198" s="21">
        <v>0.19213064402275024</v>
      </c>
      <c r="AE198" s="21">
        <v>-1.7408886717688199E-2</v>
      </c>
      <c r="AF198" s="21">
        <v>1.9410251100656917E-3</v>
      </c>
      <c r="AG198" s="21"/>
      <c r="AH198" s="21">
        <v>4.6425954818668964E-2</v>
      </c>
    </row>
    <row r="199" spans="1:36">
      <c r="A199" s="13" t="s">
        <v>48</v>
      </c>
      <c r="B199" s="13" t="s">
        <v>49</v>
      </c>
      <c r="C199" s="13">
        <v>200</v>
      </c>
      <c r="E199" s="14">
        <v>45958</v>
      </c>
      <c r="AB199" s="17">
        <v>0.41088027371601371</v>
      </c>
      <c r="AC199" s="18">
        <v>-5.4428703359633679E-2</v>
      </c>
      <c r="AD199" s="21">
        <v>0.19598937914825149</v>
      </c>
      <c r="AE199" s="21">
        <v>6.5804764201827176E-3</v>
      </c>
      <c r="AF199" s="21">
        <v>2.1672315694147197E-3</v>
      </c>
      <c r="AG199" s="21"/>
      <c r="AH199" s="21">
        <v>6.8123135139647767E-2</v>
      </c>
    </row>
    <row r="200" spans="1:36">
      <c r="A200" s="13" t="s">
        <v>48</v>
      </c>
      <c r="B200" s="13" t="s">
        <v>49</v>
      </c>
      <c r="C200" s="13">
        <v>201</v>
      </c>
      <c r="E200" s="14">
        <v>45964</v>
      </c>
      <c r="AB200" s="17">
        <v>0.96640148358491174</v>
      </c>
      <c r="AC200" s="18">
        <v>2.63044900938155E-2</v>
      </c>
      <c r="AD200" s="21">
        <v>0.22207400553637205</v>
      </c>
      <c r="AE200" s="21">
        <v>0.16594406185437355</v>
      </c>
      <c r="AF200" s="21">
        <v>3.0109421954976588E-3</v>
      </c>
      <c r="AG200" s="21"/>
      <c r="AH200" s="21">
        <v>9.2305396658082253E-2</v>
      </c>
    </row>
    <row r="201" spans="1:36">
      <c r="A201" s="13" t="s">
        <v>48</v>
      </c>
      <c r="B201" s="13" t="s">
        <v>49</v>
      </c>
      <c r="C201" s="13">
        <v>202</v>
      </c>
      <c r="E201" s="14">
        <v>45972</v>
      </c>
      <c r="AB201" s="17">
        <v>1.0159476856473404</v>
      </c>
      <c r="AC201" s="18">
        <v>1.3531561379188106E-2</v>
      </c>
      <c r="AD201" s="21">
        <v>0.21358447402269473</v>
      </c>
      <c r="AE201" s="21">
        <v>5.7520579906517724E-2</v>
      </c>
      <c r="AF201" s="21">
        <v>2.6052726177524226E-3</v>
      </c>
      <c r="AG201" s="21"/>
      <c r="AH201" s="21">
        <v>8.8696166998597226E-2</v>
      </c>
    </row>
    <row r="202" spans="1:36">
      <c r="A202" s="13" t="s">
        <v>48</v>
      </c>
      <c r="B202" s="13" t="s">
        <v>49</v>
      </c>
      <c r="C202" s="13">
        <v>203</v>
      </c>
      <c r="E202" s="14">
        <v>45979</v>
      </c>
      <c r="AB202" s="17">
        <v>0.53443950040433907</v>
      </c>
      <c r="AC202" s="18">
        <v>-4.4484989602880852E-2</v>
      </c>
      <c r="AD202" s="21">
        <v>0.19453249203122736</v>
      </c>
      <c r="AE202" s="21">
        <v>1.2684265511820818E-2</v>
      </c>
      <c r="AF202" s="21">
        <v>2.2488864326632211E-3</v>
      </c>
      <c r="AG202" s="21"/>
      <c r="AH202" s="21">
        <v>6.6937008053014141E-2</v>
      </c>
    </row>
    <row r="203" spans="1:36">
      <c r="A203" s="13" t="s">
        <v>48</v>
      </c>
      <c r="B203" s="13" t="s">
        <v>49</v>
      </c>
      <c r="C203" s="13">
        <v>204</v>
      </c>
      <c r="E203" s="14">
        <v>45986</v>
      </c>
      <c r="AB203" s="17">
        <v>2.7630582198915121</v>
      </c>
      <c r="AC203" s="18">
        <v>-0.11405775408890367</v>
      </c>
      <c r="AD203" s="21">
        <v>0.26697754754983799</v>
      </c>
      <c r="AE203" s="21">
        <v>-0.14154603229612381</v>
      </c>
      <c r="AF203" s="21">
        <v>1.6636897851109518E-3</v>
      </c>
      <c r="AG203" s="21"/>
      <c r="AH203" s="21">
        <v>0.19539301587173935</v>
      </c>
    </row>
    <row r="204" spans="1:36">
      <c r="A204" s="13" t="s">
        <v>48</v>
      </c>
      <c r="B204" s="13" t="s">
        <v>49</v>
      </c>
      <c r="C204" s="13">
        <v>205</v>
      </c>
      <c r="E204" s="14">
        <v>45992</v>
      </c>
      <c r="AC204" s="18"/>
      <c r="AD204" s="21"/>
      <c r="AE204" s="21"/>
      <c r="AF204" s="21"/>
      <c r="AG204" s="21"/>
      <c r="AH204" s="21"/>
    </row>
    <row r="205" spans="1:36">
      <c r="A205" s="13" t="s">
        <v>48</v>
      </c>
      <c r="B205" s="13" t="s">
        <v>49</v>
      </c>
      <c r="C205" s="13">
        <v>206</v>
      </c>
      <c r="E205" s="14">
        <v>46000</v>
      </c>
      <c r="AB205" s="17">
        <v>3.030610648845335</v>
      </c>
      <c r="AC205" s="18">
        <v>0.29956843367626995</v>
      </c>
      <c r="AD205" s="21">
        <v>0.28773123983768473</v>
      </c>
      <c r="AE205" s="21">
        <v>0.50927085903669078</v>
      </c>
      <c r="AF205" s="21">
        <v>5.4613305405049805E-3</v>
      </c>
      <c r="AG205" s="21"/>
      <c r="AH205" s="21">
        <v>0.12918182265591352</v>
      </c>
    </row>
    <row r="206" spans="1:36">
      <c r="A206" s="13" t="s">
        <v>48</v>
      </c>
      <c r="B206" s="13" t="s">
        <v>49</v>
      </c>
      <c r="C206" s="13">
        <v>207</v>
      </c>
      <c r="E206" s="14">
        <v>46007</v>
      </c>
      <c r="AB206" s="17">
        <v>3.0516403135960419</v>
      </c>
      <c r="AC206" s="18">
        <v>0.33344614390996358</v>
      </c>
      <c r="AD206" s="21">
        <v>0.31661570898259406</v>
      </c>
      <c r="AE206" s="21">
        <v>0.53438264107329014</v>
      </c>
      <c r="AF206" s="21">
        <v>5.6890563847147432E-3</v>
      </c>
      <c r="AG206" s="21"/>
      <c r="AH206" s="21">
        <v>0.16751709588276237</v>
      </c>
    </row>
    <row r="207" spans="1:36">
      <c r="A207" s="13" t="s">
        <v>48</v>
      </c>
      <c r="B207" s="13" t="s">
        <v>49</v>
      </c>
      <c r="C207" s="13">
        <v>208</v>
      </c>
      <c r="E207" s="14">
        <v>46014</v>
      </c>
      <c r="AB207" s="17">
        <v>2.4429042061004025</v>
      </c>
      <c r="AC207" s="18">
        <v>0.2233060396838655</v>
      </c>
      <c r="AD207" s="21">
        <v>0.27107110274525303</v>
      </c>
      <c r="AE207" s="21">
        <v>0.36015870493547497</v>
      </c>
      <c r="AF207" s="21">
        <v>4.6073079162639889E-3</v>
      </c>
      <c r="AG207" s="21"/>
      <c r="AH207" s="21">
        <v>0.15335008033855024</v>
      </c>
    </row>
    <row r="209" spans="29:34">
      <c r="AC209" s="18"/>
      <c r="AD209" s="21"/>
      <c r="AE209" s="21"/>
      <c r="AF209" s="21"/>
      <c r="AG209" s="21"/>
      <c r="AH209" s="21"/>
    </row>
    <row r="210" spans="29:34">
      <c r="AC210" s="18"/>
      <c r="AD210" s="21"/>
      <c r="AE210" s="21"/>
      <c r="AF210" s="21"/>
      <c r="AG210" s="21"/>
      <c r="AH210" s="21"/>
    </row>
    <row r="211" spans="29:34">
      <c r="AC211" s="18"/>
      <c r="AD211" s="21"/>
      <c r="AE211" s="21"/>
      <c r="AF211" s="21"/>
      <c r="AG211" s="21"/>
      <c r="AH211" s="21"/>
    </row>
    <row r="212" spans="29:34">
      <c r="AC212" s="18"/>
      <c r="AD212" s="21"/>
      <c r="AE212" s="21"/>
      <c r="AF212" s="21"/>
      <c r="AG212" s="21"/>
      <c r="AH212" s="21"/>
    </row>
    <row r="213" spans="29:34">
      <c r="AC213" s="18"/>
      <c r="AD213" s="21"/>
      <c r="AE213" s="21"/>
      <c r="AF213" s="21"/>
      <c r="AG213" s="21"/>
      <c r="AH213" s="21"/>
    </row>
    <row r="214" spans="29:34">
      <c r="AC214" s="18"/>
      <c r="AD214" s="21"/>
      <c r="AE214" s="21"/>
      <c r="AF214" s="21"/>
      <c r="AG214" s="21"/>
      <c r="AH214" s="21"/>
    </row>
    <row r="215" spans="29:34">
      <c r="AC215" s="18"/>
      <c r="AD215" s="21"/>
      <c r="AE215" s="21"/>
      <c r="AF215" s="21"/>
      <c r="AG215" s="21"/>
      <c r="AH215" s="21"/>
    </row>
    <row r="216" spans="29:34">
      <c r="AC216" s="18"/>
      <c r="AD216" s="21"/>
      <c r="AE216" s="21"/>
      <c r="AF216" s="21"/>
      <c r="AG216" s="21"/>
      <c r="AH216" s="21"/>
    </row>
    <row r="217" spans="29:34">
      <c r="AC217" s="18"/>
      <c r="AD217" s="21"/>
      <c r="AE217" s="21"/>
      <c r="AF217" s="21"/>
      <c r="AG217" s="21"/>
      <c r="AH217" s="21"/>
    </row>
    <row r="218" spans="29:34">
      <c r="AC218" s="18"/>
      <c r="AD218" s="21"/>
      <c r="AE218" s="21"/>
      <c r="AF218" s="21"/>
      <c r="AG218" s="21"/>
      <c r="AH218" s="21"/>
    </row>
    <row r="219" spans="29:34">
      <c r="AC219" s="18"/>
      <c r="AD219" s="21"/>
      <c r="AE219" s="21"/>
      <c r="AF219" s="21"/>
      <c r="AG219" s="21"/>
      <c r="AH219" s="21"/>
    </row>
    <row r="220" spans="29:34">
      <c r="AC220" s="18"/>
      <c r="AD220" s="21"/>
      <c r="AE220" s="21"/>
      <c r="AF220" s="21"/>
      <c r="AG220" s="21"/>
      <c r="AH220" s="21"/>
    </row>
    <row r="221" spans="29:34">
      <c r="AC221" s="18"/>
      <c r="AD221" s="21"/>
      <c r="AE221" s="21"/>
      <c r="AF221" s="21"/>
      <c r="AG221" s="21"/>
      <c r="AH221" s="21"/>
    </row>
    <row r="222" spans="29:34">
      <c r="AC222" s="18"/>
      <c r="AD222" s="21"/>
      <c r="AE222" s="21"/>
      <c r="AF222" s="21"/>
      <c r="AG222" s="21"/>
      <c r="AH222" s="21"/>
    </row>
    <row r="223" spans="29:34">
      <c r="AC223" s="18"/>
      <c r="AD223" s="21"/>
      <c r="AE223" s="21"/>
      <c r="AF223" s="21"/>
      <c r="AG223" s="21"/>
      <c r="AH223" s="21"/>
    </row>
    <row r="224" spans="29:34">
      <c r="AC224" s="18"/>
      <c r="AD224" s="21"/>
      <c r="AE224" s="21"/>
      <c r="AF224" s="21"/>
      <c r="AG224" s="21"/>
      <c r="AH224" s="21"/>
    </row>
    <row r="225" spans="29:34">
      <c r="AC225" s="18"/>
      <c r="AD225" s="21"/>
      <c r="AE225" s="21"/>
      <c r="AF225" s="21"/>
      <c r="AG225" s="21"/>
      <c r="AH225" s="21"/>
    </row>
    <row r="226" spans="29:34">
      <c r="AC226" s="18"/>
      <c r="AD226" s="21"/>
      <c r="AE226" s="21"/>
      <c r="AF226" s="21"/>
      <c r="AG226" s="21"/>
      <c r="AH226" s="21"/>
    </row>
    <row r="227" spans="29:34">
      <c r="AC227" s="18"/>
      <c r="AD227" s="21"/>
      <c r="AE227" s="21"/>
      <c r="AF227" s="21"/>
      <c r="AG227" s="21"/>
      <c r="AH227" s="21"/>
    </row>
    <row r="228" spans="29:34">
      <c r="AC228" s="18"/>
      <c r="AD228" s="21"/>
      <c r="AE228" s="21"/>
      <c r="AF228" s="21"/>
      <c r="AG228" s="21"/>
      <c r="AH228" s="21"/>
    </row>
    <row r="229" spans="29:34">
      <c r="AC229" s="18"/>
      <c r="AD229" s="21"/>
      <c r="AE229" s="21"/>
      <c r="AF229" s="21"/>
      <c r="AG229" s="21"/>
      <c r="AH229" s="21"/>
    </row>
    <row r="230" spans="29:34">
      <c r="AC230" s="18"/>
      <c r="AD230" s="21"/>
      <c r="AE230" s="21"/>
      <c r="AF230" s="21"/>
      <c r="AG230" s="21"/>
      <c r="AH230" s="21"/>
    </row>
    <row r="231" spans="29:34">
      <c r="AC231" s="18"/>
      <c r="AD231" s="21"/>
      <c r="AE231" s="21"/>
      <c r="AF231" s="21"/>
      <c r="AG231" s="21"/>
      <c r="AH231" s="21"/>
    </row>
    <row r="232" spans="29:34">
      <c r="AC232" s="18"/>
      <c r="AD232" s="21"/>
      <c r="AE232" s="21"/>
      <c r="AF232" s="21"/>
      <c r="AG232" s="21"/>
      <c r="AH232" s="21"/>
    </row>
    <row r="233" spans="29:34">
      <c r="AC233" s="18"/>
      <c r="AD233" s="21"/>
      <c r="AE233" s="21"/>
      <c r="AF233" s="21"/>
      <c r="AG233" s="21"/>
      <c r="AH233" s="21"/>
    </row>
    <row r="234" spans="29:34">
      <c r="AC234" s="18"/>
      <c r="AD234" s="21"/>
      <c r="AE234" s="21"/>
      <c r="AF234" s="21"/>
      <c r="AG234" s="21"/>
      <c r="AH234" s="21"/>
    </row>
    <row r="235" spans="29:34">
      <c r="AC235" s="18"/>
      <c r="AD235" s="21"/>
      <c r="AE235" s="21"/>
      <c r="AF235" s="21"/>
      <c r="AG235" s="21"/>
      <c r="AH235" s="21"/>
    </row>
    <row r="236" spans="29:34">
      <c r="AC236" s="18"/>
      <c r="AD236" s="21"/>
      <c r="AE236" s="21"/>
      <c r="AF236" s="21"/>
      <c r="AG236" s="21"/>
      <c r="AH236" s="21"/>
    </row>
    <row r="237" spans="29:34">
      <c r="AC237" s="18"/>
      <c r="AD237" s="21"/>
      <c r="AE237" s="21"/>
      <c r="AF237" s="21"/>
      <c r="AG237" s="21"/>
      <c r="AH237" s="21"/>
    </row>
    <row r="238" spans="29:34">
      <c r="AC238" s="18"/>
      <c r="AD238" s="21"/>
      <c r="AE238" s="21"/>
      <c r="AF238" s="21"/>
      <c r="AG238" s="21"/>
      <c r="AH238" s="21"/>
    </row>
    <row r="239" spans="29:34">
      <c r="AC239" s="18"/>
      <c r="AD239" s="21"/>
      <c r="AE239" s="21"/>
      <c r="AF239" s="21"/>
      <c r="AG239" s="21"/>
      <c r="AH239" s="21"/>
    </row>
    <row r="240" spans="29:34">
      <c r="AC240" s="18"/>
      <c r="AD240" s="21"/>
      <c r="AE240" s="21"/>
      <c r="AF240" s="21"/>
      <c r="AG240" s="21"/>
      <c r="AH240" s="21"/>
    </row>
    <row r="241" spans="29:34">
      <c r="AC241" s="18"/>
      <c r="AD241" s="21"/>
      <c r="AE241" s="21"/>
      <c r="AF241" s="21"/>
      <c r="AG241" s="21"/>
      <c r="AH241" s="21"/>
    </row>
    <row r="242" spans="29:34">
      <c r="AC242" s="18"/>
      <c r="AD242" s="21"/>
      <c r="AE242" s="21"/>
      <c r="AF242" s="21"/>
      <c r="AG242" s="21"/>
      <c r="AH242" s="21"/>
    </row>
    <row r="243" spans="29:34">
      <c r="AC243" s="18"/>
      <c r="AD243" s="21"/>
      <c r="AE243" s="21"/>
      <c r="AF243" s="21"/>
      <c r="AG243" s="21"/>
      <c r="AH243" s="21"/>
    </row>
    <row r="244" spans="29:34">
      <c r="AC244" s="18"/>
      <c r="AD244" s="21"/>
      <c r="AE244" s="21"/>
      <c r="AF244" s="21"/>
      <c r="AG244" s="21"/>
      <c r="AH244" s="21"/>
    </row>
    <row r="245" spans="29:34">
      <c r="AC245" s="18"/>
      <c r="AD245" s="21"/>
      <c r="AE245" s="21"/>
      <c r="AF245" s="21"/>
      <c r="AG245" s="21"/>
      <c r="AH245" s="21"/>
    </row>
    <row r="246" spans="29:34">
      <c r="AC246" s="18"/>
      <c r="AD246" s="21"/>
      <c r="AE246" s="21"/>
      <c r="AF246" s="21"/>
      <c r="AG246" s="21"/>
      <c r="AH246" s="21"/>
    </row>
    <row r="247" spans="29:34">
      <c r="AC247" s="18"/>
      <c r="AD247" s="21"/>
      <c r="AE247" s="21"/>
      <c r="AF247" s="21"/>
      <c r="AG247" s="21"/>
      <c r="AH247" s="21"/>
    </row>
    <row r="248" spans="29:34">
      <c r="AC248" s="18"/>
      <c r="AD248" s="21"/>
      <c r="AE248" s="21"/>
      <c r="AF248" s="21"/>
      <c r="AG248" s="21"/>
      <c r="AH248" s="21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3"/>
  <sheetViews>
    <sheetView zoomScale="70" zoomScaleNormal="70" workbookViewId="0">
      <pane xSplit="5" ySplit="2" topLeftCell="F120" activePane="bottomRight" state="frozen"/>
      <selection pane="topRight" activeCell="F1" sqref="F1"/>
      <selection pane="bottomLeft" activeCell="A3" sqref="A3"/>
      <selection pane="bottomRight" activeCell="I128" sqref="I128"/>
    </sheetView>
  </sheetViews>
  <sheetFormatPr defaultColWidth="10" defaultRowHeight="15.6"/>
  <cols>
    <col min="1" max="1" width="11.21875" style="13" customWidth="1"/>
    <col min="2" max="2" width="14.21875" style="13" customWidth="1"/>
    <col min="3" max="3" width="6.88671875" style="13" bestFit="1" customWidth="1"/>
    <col min="4" max="4" width="15.218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7.21875" style="18" customWidth="1"/>
    <col min="24" max="24" width="8.88671875" style="19" customWidth="1"/>
    <col min="25" max="25" width="21.88671875" style="19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142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143</v>
      </c>
      <c r="V1" s="8" t="s">
        <v>12</v>
      </c>
      <c r="W1" s="8" t="s">
        <v>138</v>
      </c>
      <c r="X1" s="1" t="s">
        <v>143</v>
      </c>
      <c r="Y1" s="1" t="s">
        <v>13</v>
      </c>
      <c r="Z1" s="1" t="s">
        <v>14</v>
      </c>
      <c r="AA1" s="1" t="s">
        <v>137</v>
      </c>
      <c r="AB1" s="1" t="s">
        <v>138</v>
      </c>
      <c r="AC1" s="1" t="s">
        <v>138</v>
      </c>
      <c r="AD1" s="1" t="s">
        <v>138</v>
      </c>
      <c r="AE1" s="1" t="s">
        <v>138</v>
      </c>
      <c r="AF1" s="1" t="s">
        <v>138</v>
      </c>
      <c r="AG1" s="1" t="s">
        <v>138</v>
      </c>
      <c r="AH1" s="1" t="s">
        <v>138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12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</row>
    <row r="3" spans="1:36">
      <c r="A3" s="13" t="s">
        <v>145</v>
      </c>
      <c r="B3" s="13" t="s">
        <v>63</v>
      </c>
      <c r="C3" s="13">
        <v>1</v>
      </c>
      <c r="D3" s="14">
        <v>44558</v>
      </c>
      <c r="E3" s="14">
        <v>44565</v>
      </c>
      <c r="P3" s="18">
        <v>5.0599999999999999E-2</v>
      </c>
      <c r="Q3" s="18">
        <v>2.581723730527155</v>
      </c>
      <c r="R3" s="18" t="s">
        <v>50</v>
      </c>
      <c r="S3" s="18">
        <v>1.9566836303201149</v>
      </c>
      <c r="T3" s="18">
        <v>4.7953626643927967</v>
      </c>
      <c r="U3" s="18"/>
      <c r="V3" s="18"/>
      <c r="Z3" s="20">
        <v>-6.6726341211088789</v>
      </c>
      <c r="AA3" s="10">
        <v>-33.072976601424578</v>
      </c>
      <c r="AB3" s="21">
        <v>3.231657780874265</v>
      </c>
      <c r="AC3" s="18">
        <v>1.262025054031547</v>
      </c>
      <c r="AD3" s="21">
        <v>0.177149881253124</v>
      </c>
      <c r="AE3" s="18">
        <v>4.4031672401756756</v>
      </c>
      <c r="AF3" s="18">
        <v>3.0438265988465031E-2</v>
      </c>
      <c r="AG3" s="21"/>
      <c r="AH3" s="21">
        <v>5.450719966969217</v>
      </c>
      <c r="AI3" s="19"/>
      <c r="AJ3" s="19"/>
    </row>
    <row r="4" spans="1:36">
      <c r="A4" s="13" t="s">
        <v>145</v>
      </c>
      <c r="B4" s="13" t="s">
        <v>63</v>
      </c>
      <c r="C4" s="13">
        <v>2</v>
      </c>
      <c r="D4" s="14">
        <v>44565</v>
      </c>
      <c r="E4" s="14">
        <v>44572</v>
      </c>
      <c r="P4" s="18">
        <v>5.1700000000000003E-2</v>
      </c>
      <c r="Q4" s="18">
        <v>2.5032587063212679</v>
      </c>
      <c r="R4" s="18" t="s">
        <v>50</v>
      </c>
      <c r="S4" s="18">
        <v>1.6495514158525479</v>
      </c>
      <c r="T4" s="18">
        <v>4.8250771940957558</v>
      </c>
      <c r="U4" s="18"/>
      <c r="V4" s="18"/>
      <c r="Z4" s="20">
        <v>-6.5841122589257131</v>
      </c>
      <c r="AA4" s="10">
        <v>-32.476595323932237</v>
      </c>
      <c r="AB4" s="17">
        <v>3.2035348636978989</v>
      </c>
      <c r="AC4" s="18">
        <v>1.262574981207423</v>
      </c>
      <c r="AD4" s="21">
        <v>0.16174295927290611</v>
      </c>
      <c r="AE4" s="21">
        <v>4.3193680388306346</v>
      </c>
      <c r="AF4" s="21">
        <v>2.9918393568207292E-2</v>
      </c>
      <c r="AG4" s="21"/>
      <c r="AH4" s="21">
        <v>4.9614683115866969</v>
      </c>
    </row>
    <row r="5" spans="1:36">
      <c r="A5" s="13" t="s">
        <v>145</v>
      </c>
      <c r="B5" s="13" t="s">
        <v>63</v>
      </c>
      <c r="C5" s="13">
        <v>3</v>
      </c>
      <c r="D5" s="14">
        <v>44572</v>
      </c>
      <c r="E5" s="14">
        <v>44579</v>
      </c>
      <c r="P5" s="18">
        <v>4.7100000000000003E-2</v>
      </c>
      <c r="Q5" s="18">
        <v>2.5181367896569569</v>
      </c>
      <c r="R5" s="18">
        <v>7.7000000000000002E-3</v>
      </c>
      <c r="S5" s="18">
        <v>1.665429502960458</v>
      </c>
      <c r="T5" s="18">
        <v>5.0870439075487441</v>
      </c>
      <c r="U5" s="18"/>
      <c r="V5" s="18"/>
      <c r="Z5" s="20">
        <v>-6.5532935365360192</v>
      </c>
      <c r="AA5" s="10">
        <v>-32.666797886721099</v>
      </c>
      <c r="AB5" s="17">
        <v>3.2398272467306759</v>
      </c>
      <c r="AC5" s="18">
        <v>1.3043636641883249</v>
      </c>
      <c r="AD5" s="21">
        <v>0.19670375989626279</v>
      </c>
      <c r="AE5" s="21">
        <v>4.6817589688634262</v>
      </c>
      <c r="AF5" s="21">
        <v>3.2396833272182103E-2</v>
      </c>
      <c r="AG5" s="21"/>
      <c r="AH5" s="21">
        <v>5.1707962455353851</v>
      </c>
    </row>
    <row r="6" spans="1:36">
      <c r="A6" s="13" t="s">
        <v>62</v>
      </c>
      <c r="B6" s="13" t="s">
        <v>63</v>
      </c>
      <c r="C6" s="13">
        <v>4</v>
      </c>
      <c r="D6" s="14">
        <v>44579</v>
      </c>
      <c r="E6" s="14">
        <v>44585</v>
      </c>
      <c r="P6" s="18">
        <v>5.0999999999999997E-2</v>
      </c>
      <c r="Q6" s="18">
        <v>2.3957795923311789</v>
      </c>
      <c r="R6" s="18" t="s">
        <v>50</v>
      </c>
      <c r="S6" s="18">
        <v>1.965008347662355</v>
      </c>
      <c r="T6" s="18">
        <v>3.629639180533637</v>
      </c>
      <c r="U6" s="18"/>
      <c r="V6" s="18"/>
      <c r="Z6" s="20">
        <v>-6.4877217867707122</v>
      </c>
      <c r="AA6" s="10">
        <v>-30.445049254487579</v>
      </c>
      <c r="AB6" s="17">
        <v>3.22935931555751</v>
      </c>
      <c r="AC6" s="18">
        <v>1.012379818954215</v>
      </c>
      <c r="AD6" s="21">
        <v>0.20473341341993001</v>
      </c>
      <c r="AE6" s="21">
        <v>3.723606342260962</v>
      </c>
      <c r="AF6" s="21">
        <v>2.4734709634663041E-2</v>
      </c>
      <c r="AG6" s="21"/>
      <c r="AH6" s="21">
        <v>5.2256967784658181</v>
      </c>
    </row>
    <row r="7" spans="1:36" s="25" customFormat="1" ht="16.2">
      <c r="A7" s="22" t="s">
        <v>62</v>
      </c>
      <c r="B7" s="22" t="s">
        <v>63</v>
      </c>
      <c r="C7" s="22">
        <v>5</v>
      </c>
      <c r="D7" s="23">
        <v>44585</v>
      </c>
      <c r="E7" s="23">
        <v>44591</v>
      </c>
      <c r="F7" s="24"/>
      <c r="K7" s="26"/>
      <c r="M7" s="22"/>
      <c r="N7" s="22"/>
      <c r="O7" s="22"/>
      <c r="P7" s="27">
        <v>6.1400000000000003E-2</v>
      </c>
      <c r="Q7" s="27">
        <v>2.439158084540229</v>
      </c>
      <c r="R7" s="27" t="s">
        <v>50</v>
      </c>
      <c r="S7" s="27">
        <v>1.8502931265641089</v>
      </c>
      <c r="T7" s="27">
        <v>3.78564191435611</v>
      </c>
      <c r="U7" s="27"/>
      <c r="V7" s="27"/>
      <c r="W7" s="27"/>
      <c r="X7" s="28"/>
      <c r="Y7" s="28"/>
      <c r="Z7" s="26">
        <v>-6.5765715077027043</v>
      </c>
      <c r="AA7" s="29">
        <v>-32.01952192690446</v>
      </c>
      <c r="AB7" s="26">
        <v>3.6059680570676149</v>
      </c>
      <c r="AC7" s="30">
        <v>1.110803369547972</v>
      </c>
      <c r="AD7" s="30">
        <v>0.20024101042842729</v>
      </c>
      <c r="AE7" s="30">
        <v>3.9940567801720142</v>
      </c>
      <c r="AF7" s="30">
        <v>2.7970945005330278E-2</v>
      </c>
      <c r="AG7" s="30"/>
      <c r="AH7" s="30">
        <v>5.7245883891519416</v>
      </c>
      <c r="AI7" s="31"/>
      <c r="AJ7" s="26"/>
    </row>
    <row r="8" spans="1:36">
      <c r="A8" s="13" t="s">
        <v>146</v>
      </c>
      <c r="B8" s="13" t="s">
        <v>63</v>
      </c>
      <c r="C8" s="13">
        <v>6</v>
      </c>
      <c r="D8" s="14">
        <v>44591</v>
      </c>
      <c r="E8" s="14">
        <v>44599</v>
      </c>
      <c r="P8" s="18">
        <v>4.7399999999999998E-2</v>
      </c>
      <c r="Q8" s="18">
        <v>2.4458667281352411</v>
      </c>
      <c r="R8" s="18" t="s">
        <v>50</v>
      </c>
      <c r="S8" s="18">
        <v>2.0759253027233919</v>
      </c>
      <c r="T8" s="18">
        <v>4.1128345829864781</v>
      </c>
      <c r="U8" s="18"/>
      <c r="V8" s="18"/>
      <c r="Z8" s="20">
        <v>-6.5864072701674994</v>
      </c>
      <c r="AA8" s="10">
        <v>-31.81594319760729</v>
      </c>
      <c r="AB8" s="17">
        <v>3.5202735480518812</v>
      </c>
      <c r="AC8" s="18">
        <v>1.1844476262647821</v>
      </c>
      <c r="AD8" s="21">
        <v>0.20426264363378829</v>
      </c>
      <c r="AE8" s="21">
        <v>4.3261994023130486</v>
      </c>
      <c r="AF8" s="21">
        <v>2.938583933222318E-2</v>
      </c>
      <c r="AG8" s="21"/>
      <c r="AH8" s="21">
        <v>5.8552006389241589</v>
      </c>
    </row>
    <row r="9" spans="1:36" ht="16.2">
      <c r="A9" s="13" t="s">
        <v>146</v>
      </c>
      <c r="B9" s="32" t="s">
        <v>147</v>
      </c>
      <c r="C9" s="13">
        <v>7</v>
      </c>
      <c r="D9" s="14">
        <v>44599</v>
      </c>
      <c r="E9" s="14">
        <v>44607</v>
      </c>
      <c r="P9" s="18">
        <v>4.2000000000000003E-2</v>
      </c>
      <c r="Q9" s="18">
        <v>2.4047564393996148</v>
      </c>
      <c r="R9" s="18" t="s">
        <v>50</v>
      </c>
      <c r="S9" s="18">
        <v>2.041619419161862</v>
      </c>
      <c r="T9" s="18">
        <v>4.2641247006197052</v>
      </c>
      <c r="U9" s="18"/>
      <c r="V9" s="18"/>
      <c r="Z9" s="20">
        <v>-6.5890301401581119</v>
      </c>
      <c r="AA9" s="10">
        <v>-31.871079103458609</v>
      </c>
      <c r="AB9" s="17">
        <v>3.561159882568449</v>
      </c>
      <c r="AC9" s="18">
        <v>1.2174197176881709</v>
      </c>
      <c r="AD9" s="21">
        <v>0.2074492464678053</v>
      </c>
      <c r="AE9" s="21">
        <v>4.4369458191426769</v>
      </c>
      <c r="AF9" s="21">
        <v>3.060624406610726E-2</v>
      </c>
      <c r="AG9" s="21"/>
      <c r="AH9" s="21">
        <v>5.7500434887576954</v>
      </c>
    </row>
    <row r="10" spans="1:36">
      <c r="A10" s="13" t="s">
        <v>62</v>
      </c>
      <c r="B10" s="13" t="s">
        <v>63</v>
      </c>
      <c r="C10" s="13">
        <v>8</v>
      </c>
      <c r="D10" s="14">
        <v>44607</v>
      </c>
      <c r="E10" s="14">
        <v>44614</v>
      </c>
      <c r="P10" s="18">
        <v>1.361612846437832E-2</v>
      </c>
      <c r="Q10" s="18">
        <v>2.2529133865843001</v>
      </c>
      <c r="R10" s="18" t="s">
        <v>50</v>
      </c>
      <c r="S10" s="18">
        <v>1.8148924718993551</v>
      </c>
      <c r="T10" s="18">
        <v>3.6467265717939399</v>
      </c>
      <c r="U10" s="18"/>
      <c r="V10" s="18"/>
      <c r="Z10" s="20">
        <v>-6.4656468325725083</v>
      </c>
      <c r="AA10" s="10">
        <v>-29.89318329144373</v>
      </c>
      <c r="AB10" s="17">
        <v>2.8571759151112981</v>
      </c>
      <c r="AC10" s="18">
        <v>0.90529325896505175</v>
      </c>
      <c r="AD10" s="21">
        <v>0.13924367924741329</v>
      </c>
      <c r="AE10" s="21">
        <v>3.4244859674785251</v>
      </c>
      <c r="AF10" s="21">
        <v>3.0580557934451282E-2</v>
      </c>
      <c r="AG10" s="21"/>
      <c r="AH10" s="21">
        <v>4.834952888780446</v>
      </c>
    </row>
    <row r="11" spans="1:36">
      <c r="A11" s="13" t="s">
        <v>62</v>
      </c>
      <c r="B11" s="13" t="s">
        <v>63</v>
      </c>
      <c r="C11" s="13">
        <v>9</v>
      </c>
      <c r="D11" s="14">
        <v>44614</v>
      </c>
      <c r="E11" s="14">
        <v>44621</v>
      </c>
      <c r="P11" s="18">
        <v>1.515789007114219E-2</v>
      </c>
      <c r="Q11" s="18">
        <v>2.3661284622819161</v>
      </c>
      <c r="R11" s="18">
        <v>2.390887570906905E-2</v>
      </c>
      <c r="S11" s="18">
        <v>0.42640217662372959</v>
      </c>
      <c r="T11" s="18">
        <v>3.378522064349498</v>
      </c>
      <c r="U11" s="18"/>
      <c r="V11" s="18"/>
      <c r="Z11" s="20">
        <v>-6.8027643350641958</v>
      </c>
      <c r="AA11" s="10">
        <v>-34.580663438098028</v>
      </c>
      <c r="AB11" s="17">
        <v>3.0156620225965098</v>
      </c>
      <c r="AC11" s="18">
        <v>0.89973565634402963</v>
      </c>
      <c r="AD11" s="21">
        <v>0.13337874873260719</v>
      </c>
      <c r="AE11" s="21">
        <v>3.258506670769068</v>
      </c>
      <c r="AF11" s="21">
        <v>3.041393738085435E-2</v>
      </c>
      <c r="AG11" s="21"/>
      <c r="AH11" s="21">
        <v>5.0075883562891166</v>
      </c>
    </row>
    <row r="12" spans="1:36">
      <c r="A12" s="13" t="s">
        <v>62</v>
      </c>
      <c r="B12" s="13" t="s">
        <v>63</v>
      </c>
      <c r="C12" s="13">
        <v>10</v>
      </c>
      <c r="D12" s="14">
        <v>44621</v>
      </c>
      <c r="E12" s="14">
        <v>44628</v>
      </c>
      <c r="P12" s="18">
        <v>1.5076738700796861E-2</v>
      </c>
      <c r="Q12" s="18">
        <v>2.310097029437427</v>
      </c>
      <c r="R12" s="18">
        <v>4.4459687616394739E-2</v>
      </c>
      <c r="S12" s="18">
        <v>1.138945444940797</v>
      </c>
      <c r="T12" s="18">
        <v>3.956080587466408</v>
      </c>
      <c r="U12" s="18"/>
      <c r="V12" s="18"/>
      <c r="Z12" s="20">
        <v>-6.726101069850098</v>
      </c>
      <c r="AA12" s="10">
        <v>-33.516705774148633</v>
      </c>
      <c r="AB12" s="17">
        <v>3.1097955007240961</v>
      </c>
      <c r="AC12" s="21">
        <v>1.0259464609847491</v>
      </c>
      <c r="AD12" s="33">
        <v>0.15233360063102161</v>
      </c>
      <c r="AE12" s="33">
        <v>3.934823140422282</v>
      </c>
      <c r="AF12" s="33">
        <v>3.2816031620221363E-2</v>
      </c>
      <c r="AH12" s="33">
        <v>5.8323374300189501</v>
      </c>
    </row>
    <row r="13" spans="1:36">
      <c r="A13" s="13" t="s">
        <v>62</v>
      </c>
      <c r="B13" s="13" t="s">
        <v>63</v>
      </c>
      <c r="C13" s="13">
        <v>11</v>
      </c>
      <c r="D13" s="14">
        <v>44628</v>
      </c>
      <c r="E13" s="14">
        <v>44635</v>
      </c>
      <c r="P13" s="18">
        <v>1.5725968400602319E-2</v>
      </c>
      <c r="Q13" s="18">
        <v>2.5067524903168139</v>
      </c>
      <c r="R13" s="18">
        <v>5.4569615181954578E-2</v>
      </c>
      <c r="S13" s="18">
        <v>1.615796033652408</v>
      </c>
      <c r="T13" s="18">
        <v>4.8092490595979891</v>
      </c>
      <c r="U13" s="18"/>
      <c r="V13" s="18"/>
      <c r="Z13" s="20">
        <v>-6.6494378046359994</v>
      </c>
      <c r="AA13" s="10">
        <v>-33.170386221252812</v>
      </c>
      <c r="AB13" s="17">
        <v>3.399748882940544</v>
      </c>
      <c r="AC13" s="18">
        <v>1.1737602313808431</v>
      </c>
      <c r="AD13" s="21">
        <v>0.16890072360619579</v>
      </c>
      <c r="AE13" s="21">
        <v>4.315557655660891</v>
      </c>
      <c r="AF13" s="21">
        <v>3.5032614706679101E-2</v>
      </c>
      <c r="AG13" s="21"/>
      <c r="AH13" s="21">
        <v>5.7179793075815066</v>
      </c>
    </row>
    <row r="14" spans="1:36">
      <c r="A14" s="13" t="s">
        <v>62</v>
      </c>
      <c r="B14" s="13" t="s">
        <v>63</v>
      </c>
      <c r="C14" s="13">
        <v>12</v>
      </c>
      <c r="D14" s="14">
        <v>44635</v>
      </c>
      <c r="E14" s="14">
        <v>44642</v>
      </c>
      <c r="P14" s="18">
        <v>1.2999999999999999E-2</v>
      </c>
      <c r="Q14" s="18">
        <v>2.5066956641998011</v>
      </c>
      <c r="R14" s="18" t="s">
        <v>50</v>
      </c>
      <c r="S14" s="18">
        <v>1.8912320580821509</v>
      </c>
      <c r="T14" s="18">
        <v>4.9039798986911141</v>
      </c>
      <c r="U14" s="18"/>
      <c r="V14" s="18"/>
      <c r="Z14" s="20">
        <v>-6.6480447149468871</v>
      </c>
      <c r="AA14" s="10">
        <v>-32.67038661432089</v>
      </c>
      <c r="AB14" s="17">
        <v>3.8743948343474561</v>
      </c>
      <c r="AC14" s="18">
        <v>1.392264921433918</v>
      </c>
      <c r="AD14" s="21">
        <v>0.26183570910602572</v>
      </c>
      <c r="AE14" s="21">
        <v>5.1348962210449161</v>
      </c>
      <c r="AF14" s="21">
        <v>3.5969429962662627E-2</v>
      </c>
      <c r="AG14" s="21"/>
      <c r="AH14" s="21">
        <v>5.9669368529964002</v>
      </c>
    </row>
    <row r="15" spans="1:36">
      <c r="A15" s="13" t="s">
        <v>62</v>
      </c>
      <c r="B15" s="13" t="s">
        <v>63</v>
      </c>
      <c r="C15" s="13">
        <v>13</v>
      </c>
      <c r="D15" s="14">
        <v>44642</v>
      </c>
      <c r="E15" s="14">
        <v>44649</v>
      </c>
      <c r="P15" s="18">
        <v>1.6699893251922698E-2</v>
      </c>
      <c r="Q15" s="18">
        <v>2.2195489254798342</v>
      </c>
      <c r="R15" s="18">
        <v>2.9850722906808201E-2</v>
      </c>
      <c r="S15" s="18">
        <v>2.051937872278903</v>
      </c>
      <c r="T15" s="18">
        <v>4.6579473028353124</v>
      </c>
      <c r="U15" s="18"/>
      <c r="V15" s="18"/>
      <c r="Z15" s="20">
        <v>-6.6511116750555219</v>
      </c>
      <c r="AA15" s="10">
        <v>-32.317753481784578</v>
      </c>
      <c r="AB15" s="17">
        <v>3.3238221262742682</v>
      </c>
      <c r="AC15" s="18">
        <v>1.2016267295438641</v>
      </c>
      <c r="AD15" s="21">
        <v>0.21116664874985941</v>
      </c>
      <c r="AE15" s="21">
        <v>4.4524498112756534</v>
      </c>
      <c r="AF15" s="21">
        <v>3.5144881309000939E-2</v>
      </c>
      <c r="AG15" s="21"/>
      <c r="AH15" s="21">
        <v>5.390272713154423</v>
      </c>
    </row>
    <row r="16" spans="1:36">
      <c r="A16" s="13" t="s">
        <v>62</v>
      </c>
      <c r="B16" s="13" t="s">
        <v>63</v>
      </c>
      <c r="C16" s="13">
        <v>14</v>
      </c>
      <c r="D16" s="14">
        <v>44649</v>
      </c>
      <c r="E16" s="14">
        <v>44657</v>
      </c>
      <c r="P16" s="18">
        <v>1.7917434825043731E-2</v>
      </c>
      <c r="Q16" s="18">
        <v>2.36380135338691</v>
      </c>
      <c r="R16" s="18" t="s">
        <v>50</v>
      </c>
      <c r="S16" s="18">
        <v>1.4055140029216959</v>
      </c>
      <c r="T16" s="18">
        <v>4.1936600293347039</v>
      </c>
      <c r="U16" s="18"/>
      <c r="V16" s="18"/>
      <c r="Z16" s="20">
        <v>-6.559718350149633</v>
      </c>
      <c r="AA16" s="10">
        <v>-31.345458837129058</v>
      </c>
      <c r="AB16" s="17">
        <v>3.193126867382897</v>
      </c>
      <c r="AC16" s="18">
        <v>1.071726242193737</v>
      </c>
      <c r="AD16" s="21">
        <v>0.14789926441664339</v>
      </c>
      <c r="AE16" s="21">
        <v>4.0559460361186934</v>
      </c>
      <c r="AF16" s="21">
        <v>3.3451676437345423E-2</v>
      </c>
      <c r="AG16" s="21"/>
      <c r="AH16" s="21">
        <v>5.4790432906091739</v>
      </c>
    </row>
    <row r="17" spans="1:34">
      <c r="A17" s="13" t="s">
        <v>62</v>
      </c>
      <c r="B17" s="13" t="s">
        <v>63</v>
      </c>
      <c r="C17" s="13">
        <v>15</v>
      </c>
      <c r="D17" s="14">
        <v>44657</v>
      </c>
      <c r="E17" s="14">
        <v>44663</v>
      </c>
      <c r="P17" s="18">
        <v>1.523904211066762E-2</v>
      </c>
      <c r="Q17" s="18">
        <v>2.3655251705723641</v>
      </c>
      <c r="R17" s="18">
        <v>2.6478460672493331E-2</v>
      </c>
      <c r="S17" s="18">
        <v>1.672089782869338</v>
      </c>
      <c r="T17" s="18">
        <v>4.2561442165332197</v>
      </c>
      <c r="U17" s="18"/>
      <c r="V17" s="18"/>
      <c r="Z17" s="20">
        <v>-6.533605971605092</v>
      </c>
      <c r="AA17" s="10">
        <v>-31.391790326881249</v>
      </c>
      <c r="AB17" s="17">
        <v>3.3450892690600629</v>
      </c>
      <c r="AC17" s="18">
        <v>1.0938716401314139</v>
      </c>
      <c r="AD17" s="21">
        <v>0.16523583112979309</v>
      </c>
      <c r="AE17" s="21">
        <v>4.184393529048295</v>
      </c>
      <c r="AF17" s="21">
        <v>3.4114363398302303E-2</v>
      </c>
      <c r="AG17" s="21"/>
      <c r="AH17" s="21">
        <v>5.7799265882078981</v>
      </c>
    </row>
    <row r="18" spans="1:34">
      <c r="A18" s="13" t="s">
        <v>62</v>
      </c>
      <c r="B18" s="13" t="s">
        <v>63</v>
      </c>
      <c r="C18" s="13">
        <v>16</v>
      </c>
      <c r="D18" s="14">
        <v>44663</v>
      </c>
      <c r="E18" s="14">
        <v>44670</v>
      </c>
      <c r="P18" s="18">
        <v>1.6699893251922698E-2</v>
      </c>
      <c r="Q18" s="18">
        <v>2.4921397628742832</v>
      </c>
      <c r="R18" s="18" t="s">
        <v>50</v>
      </c>
      <c r="S18" s="18">
        <v>1.557757058956204</v>
      </c>
      <c r="T18" s="18">
        <v>4.7605404164028418</v>
      </c>
      <c r="U18" s="18"/>
      <c r="V18" s="18"/>
      <c r="Z18" s="20">
        <v>-6.5938653067078761</v>
      </c>
      <c r="AA18" s="10">
        <v>-32.090762514005903</v>
      </c>
      <c r="AB18" s="17">
        <v>3.5328843316571308</v>
      </c>
      <c r="AC18" s="18">
        <v>1.189598800467262</v>
      </c>
      <c r="AD18" s="21">
        <v>0.15567012561316709</v>
      </c>
      <c r="AE18" s="21">
        <v>4.525922591457558</v>
      </c>
      <c r="AF18" s="21">
        <v>3.5428786419602121E-2</v>
      </c>
      <c r="AG18" s="21"/>
      <c r="AH18" s="21">
        <v>5.7791687661320843</v>
      </c>
    </row>
    <row r="19" spans="1:34">
      <c r="A19" s="13" t="s">
        <v>62</v>
      </c>
      <c r="B19" s="13" t="s">
        <v>63</v>
      </c>
      <c r="C19" s="13">
        <v>17</v>
      </c>
      <c r="D19" s="14">
        <v>44670</v>
      </c>
      <c r="E19" s="14">
        <v>44677</v>
      </c>
      <c r="P19" s="18">
        <v>0.10126116815279571</v>
      </c>
      <c r="Q19" s="18">
        <v>2.5329829162850328</v>
      </c>
      <c r="R19" s="18" t="s">
        <v>50</v>
      </c>
      <c r="S19" s="18">
        <v>1.9576786522760199</v>
      </c>
      <c r="T19" s="18">
        <v>5.1778325952818731</v>
      </c>
      <c r="U19" s="18"/>
      <c r="V19" s="18"/>
      <c r="Z19" s="20">
        <v>-6.7004396375624333</v>
      </c>
      <c r="AA19" s="10">
        <v>-33.469516474346158</v>
      </c>
      <c r="AB19" s="17">
        <v>3.8568558005177418</v>
      </c>
      <c r="AC19" s="18">
        <v>1.217642850947817</v>
      </c>
      <c r="AD19" s="21">
        <v>0.20507208178850189</v>
      </c>
      <c r="AE19" s="21">
        <v>4.8784931720418809</v>
      </c>
      <c r="AF19" s="21">
        <v>2.6672101403865989E-2</v>
      </c>
      <c r="AG19" s="21"/>
      <c r="AH19" s="21">
        <v>5.5120836014433987</v>
      </c>
    </row>
    <row r="20" spans="1:34">
      <c r="A20" s="13" t="s">
        <v>62</v>
      </c>
      <c r="B20" s="13" t="s">
        <v>63</v>
      </c>
      <c r="C20" s="13">
        <v>18</v>
      </c>
      <c r="D20" s="14">
        <v>44677</v>
      </c>
      <c r="E20" s="14">
        <v>44684</v>
      </c>
      <c r="P20" s="18" t="s">
        <v>50</v>
      </c>
      <c r="Q20" s="18">
        <v>2.4726943706539082</v>
      </c>
      <c r="R20" s="18" t="s">
        <v>50</v>
      </c>
      <c r="S20" s="18">
        <v>2.3686178279417098</v>
      </c>
      <c r="T20" s="18">
        <v>5.3126669058239981</v>
      </c>
      <c r="U20" s="18"/>
      <c r="V20" s="18"/>
      <c r="Z20" s="20">
        <v>-6.6230322361632217</v>
      </c>
      <c r="AA20" s="10">
        <v>-32.774460856561753</v>
      </c>
      <c r="AB20" s="17">
        <v>3.7639643418152571</v>
      </c>
      <c r="AC20" s="18">
        <v>1.2440243285105601</v>
      </c>
      <c r="AD20" s="21">
        <v>0.20127185908116699</v>
      </c>
      <c r="AE20" s="21">
        <v>4.7685799455823563</v>
      </c>
      <c r="AF20" s="21">
        <v>2.6633321865936511E-2</v>
      </c>
      <c r="AG20" s="21"/>
      <c r="AH20" s="21">
        <v>5.3441668816546688</v>
      </c>
    </row>
    <row r="21" spans="1:34">
      <c r="A21" s="13" t="s">
        <v>62</v>
      </c>
      <c r="B21" s="13" t="s">
        <v>63</v>
      </c>
      <c r="C21" s="13">
        <v>19</v>
      </c>
      <c r="D21" s="14">
        <v>44684</v>
      </c>
      <c r="E21" s="14">
        <v>44690</v>
      </c>
      <c r="P21" s="18">
        <v>1.6212918781020689E-2</v>
      </c>
      <c r="Q21" s="18">
        <v>2.387917728216411</v>
      </c>
      <c r="R21" s="18" t="s">
        <v>50</v>
      </c>
      <c r="S21" s="18">
        <v>1.635248106289755</v>
      </c>
      <c r="T21" s="18">
        <v>5.1386360569268144</v>
      </c>
      <c r="U21" s="18"/>
      <c r="V21" s="18"/>
      <c r="Z21" s="20">
        <v>-6.5767918284287541</v>
      </c>
      <c r="AA21" s="10">
        <v>-31.62944753690503</v>
      </c>
      <c r="AB21" s="17">
        <v>3.532927968330398</v>
      </c>
      <c r="AC21" s="18">
        <v>1.272669199238754</v>
      </c>
      <c r="AD21" s="21">
        <v>0.16991477132473809</v>
      </c>
      <c r="AE21" s="21">
        <v>4.9442795701791882</v>
      </c>
      <c r="AF21" s="21">
        <v>3.6960228420633637E-2</v>
      </c>
      <c r="AG21" s="21"/>
      <c r="AH21" s="21">
        <v>5.7028263196054061</v>
      </c>
    </row>
    <row r="22" spans="1:34">
      <c r="A22" s="13" t="s">
        <v>62</v>
      </c>
      <c r="B22" s="13" t="s">
        <v>63</v>
      </c>
      <c r="C22" s="13">
        <v>20</v>
      </c>
      <c r="D22" s="14">
        <v>44690</v>
      </c>
      <c r="E22" s="14">
        <v>44698</v>
      </c>
      <c r="P22" s="18">
        <v>4.3299999999999998E-2</v>
      </c>
      <c r="Q22" s="18">
        <v>2.2876847249051608</v>
      </c>
      <c r="R22" s="18" t="s">
        <v>50</v>
      </c>
      <c r="S22" s="18">
        <v>2.4106695309896891</v>
      </c>
      <c r="T22" s="18">
        <v>4.5484515683397699</v>
      </c>
      <c r="U22" s="18"/>
      <c r="V22" s="18"/>
      <c r="Z22" s="20">
        <v>-6.693851773613563</v>
      </c>
      <c r="AA22" s="10">
        <v>-32.730304382020137</v>
      </c>
      <c r="AB22" s="17">
        <v>3.479518143564706</v>
      </c>
      <c r="AC22" s="18">
        <v>1.0994729853846641</v>
      </c>
      <c r="AD22" s="21">
        <v>0.2061441263794736</v>
      </c>
      <c r="AE22" s="21">
        <v>4.3497130408391964</v>
      </c>
      <c r="AF22" s="21">
        <v>2.365302901257052E-2</v>
      </c>
      <c r="AG22" s="21"/>
      <c r="AH22" s="21">
        <v>5.0771484385652652</v>
      </c>
    </row>
    <row r="23" spans="1:34">
      <c r="A23" s="13" t="s">
        <v>146</v>
      </c>
      <c r="B23" s="13" t="s">
        <v>63</v>
      </c>
      <c r="C23" s="13">
        <v>21</v>
      </c>
      <c r="D23" s="14">
        <v>44698</v>
      </c>
      <c r="E23" s="14">
        <v>44705</v>
      </c>
      <c r="P23" s="18">
        <v>1.3291577855765331E-2</v>
      </c>
      <c r="Q23" s="18">
        <v>2.2461418255560148</v>
      </c>
      <c r="R23" s="18" t="s">
        <v>50</v>
      </c>
      <c r="S23" s="18">
        <v>1.5208153938162821</v>
      </c>
      <c r="T23" s="18">
        <v>3.8605591009608569</v>
      </c>
      <c r="U23" s="18"/>
      <c r="V23" s="18"/>
      <c r="Z23" s="20">
        <v>-6.6263383928465993</v>
      </c>
      <c r="AA23" s="10">
        <v>-31.603781891502742</v>
      </c>
      <c r="AB23" s="17">
        <v>3.3176847110528409</v>
      </c>
      <c r="AC23" s="18">
        <v>1.062968729286448</v>
      </c>
      <c r="AD23" s="21">
        <v>0.1520739706482982</v>
      </c>
      <c r="AE23" s="21">
        <v>3.9770089794891672</v>
      </c>
      <c r="AF23" s="21">
        <v>3.3691755050815141E-2</v>
      </c>
      <c r="AG23" s="21"/>
      <c r="AH23" s="21">
        <v>5.6593408587884939</v>
      </c>
    </row>
    <row r="24" spans="1:34">
      <c r="A24" s="13" t="s">
        <v>146</v>
      </c>
      <c r="B24" s="13" t="s">
        <v>63</v>
      </c>
      <c r="C24" s="13">
        <v>22</v>
      </c>
      <c r="D24" s="14">
        <v>44705</v>
      </c>
      <c r="E24" s="14">
        <v>44712</v>
      </c>
      <c r="P24" s="18">
        <v>4.0800000000000003E-2</v>
      </c>
      <c r="Q24" s="18">
        <v>2.332848065868522</v>
      </c>
      <c r="R24" s="18" t="s">
        <v>50</v>
      </c>
      <c r="S24" s="18">
        <v>2.1050096408307861</v>
      </c>
      <c r="T24" s="18">
        <v>3.8187931059651592</v>
      </c>
      <c r="U24" s="18"/>
      <c r="V24" s="18"/>
      <c r="Z24" s="20">
        <v>-6.7495192239815056</v>
      </c>
      <c r="AA24" s="10">
        <v>-33.286348876247672</v>
      </c>
      <c r="AB24" s="17">
        <v>3.3551084781823701</v>
      </c>
      <c r="AC24" s="18">
        <v>0.95028976645366159</v>
      </c>
      <c r="AD24" s="21">
        <v>0.2059150471554696</v>
      </c>
      <c r="AE24" s="21">
        <v>3.698268929444247</v>
      </c>
      <c r="AF24" s="21">
        <v>2.0320402879397161E-2</v>
      </c>
      <c r="AG24" s="21"/>
      <c r="AH24" s="21">
        <v>5.1683027417691498</v>
      </c>
    </row>
    <row r="25" spans="1:34">
      <c r="A25" s="13" t="s">
        <v>146</v>
      </c>
      <c r="B25" s="13" t="s">
        <v>63</v>
      </c>
      <c r="C25" s="13">
        <v>23</v>
      </c>
      <c r="D25" s="14">
        <v>44712</v>
      </c>
      <c r="E25" s="14">
        <v>44719</v>
      </c>
      <c r="P25" s="18">
        <v>1.361612846437832E-2</v>
      </c>
      <c r="Q25" s="18">
        <v>2.177048502063951</v>
      </c>
      <c r="R25" s="18" t="s">
        <v>50</v>
      </c>
      <c r="S25" s="18">
        <v>1.2822430700891949</v>
      </c>
      <c r="T25" s="18">
        <v>3.801513838287903</v>
      </c>
      <c r="U25" s="18"/>
      <c r="V25" s="18" t="s">
        <v>64</v>
      </c>
      <c r="Z25" s="20">
        <v>-6.7053450766480278</v>
      </c>
      <c r="AA25" s="10">
        <v>-33.033058352347062</v>
      </c>
      <c r="AB25" s="17">
        <v>3.3501188775812021</v>
      </c>
      <c r="AC25" s="18">
        <v>1.098831054933215</v>
      </c>
      <c r="AD25" s="21">
        <v>0.16043288719254159</v>
      </c>
      <c r="AE25" s="21">
        <v>4.0857733844993849</v>
      </c>
      <c r="AF25" s="21">
        <v>3.4289113254214687E-2</v>
      </c>
      <c r="AG25" s="21"/>
      <c r="AH25" s="21">
        <v>5.8558659001507536</v>
      </c>
    </row>
    <row r="26" spans="1:34">
      <c r="A26" s="13" t="s">
        <v>146</v>
      </c>
      <c r="B26" s="13" t="s">
        <v>63</v>
      </c>
      <c r="C26" s="13">
        <v>24</v>
      </c>
      <c r="D26" s="14">
        <v>44719</v>
      </c>
      <c r="E26" s="14">
        <v>44726</v>
      </c>
      <c r="P26" s="18">
        <v>9.8332098559699016E-3</v>
      </c>
      <c r="Q26" s="18">
        <v>2.469985561459962</v>
      </c>
      <c r="R26" s="18" t="s">
        <v>50</v>
      </c>
      <c r="S26" s="18">
        <v>2.1427123247544611</v>
      </c>
      <c r="T26" s="18">
        <v>4.3163861982564553</v>
      </c>
      <c r="U26" s="18"/>
      <c r="V26" s="18"/>
      <c r="Z26" s="20">
        <v>-6.8470814641513229</v>
      </c>
      <c r="AA26" s="10">
        <v>-33.609106737800658</v>
      </c>
      <c r="AB26" s="17">
        <v>3.4091284228505039</v>
      </c>
      <c r="AC26" s="18">
        <v>1.110561691215171</v>
      </c>
      <c r="AD26" s="21">
        <v>0.1973221348514875</v>
      </c>
      <c r="AE26" s="21">
        <v>4.1589485835747624</v>
      </c>
      <c r="AF26" s="21">
        <v>3.1965556869961352E-2</v>
      </c>
      <c r="AG26" s="21"/>
      <c r="AH26" s="21">
        <v>5.6218913544276159</v>
      </c>
    </row>
    <row r="27" spans="1:34">
      <c r="A27" s="13" t="s">
        <v>146</v>
      </c>
      <c r="B27" s="13" t="s">
        <v>63</v>
      </c>
      <c r="C27" s="13">
        <v>25</v>
      </c>
      <c r="D27" s="14">
        <v>44726</v>
      </c>
      <c r="E27" s="14">
        <v>44733</v>
      </c>
      <c r="P27" s="18">
        <v>1.0286996103513409E-2</v>
      </c>
      <c r="Q27" s="18">
        <v>2.5585563646196561</v>
      </c>
      <c r="R27" s="18">
        <v>2.574003810842402E-2</v>
      </c>
      <c r="S27" s="18">
        <v>2.0657794245717862</v>
      </c>
      <c r="T27" s="18">
        <v>4.643803871966683</v>
      </c>
      <c r="U27" s="18"/>
      <c r="V27" s="18"/>
      <c r="Z27" s="20">
        <v>-6.7134127048078902</v>
      </c>
      <c r="AA27" s="10">
        <v>-33.422168167162368</v>
      </c>
      <c r="AB27" s="17">
        <v>3.5273538977496601</v>
      </c>
      <c r="AC27" s="18">
        <v>1.1381260991498341</v>
      </c>
      <c r="AD27" s="21">
        <v>0.2066804936892935</v>
      </c>
      <c r="AE27" s="21">
        <v>4.2003300881612766</v>
      </c>
      <c r="AF27" s="21">
        <v>3.3192757822742509E-2</v>
      </c>
      <c r="AG27" s="21"/>
      <c r="AH27" s="21">
        <v>5.7531343691455774</v>
      </c>
    </row>
    <row r="28" spans="1:34">
      <c r="A28" s="13" t="s">
        <v>146</v>
      </c>
      <c r="B28" s="13" t="s">
        <v>63</v>
      </c>
      <c r="C28" s="13">
        <v>26</v>
      </c>
      <c r="D28" s="14">
        <v>44733</v>
      </c>
      <c r="E28" s="14">
        <v>44740</v>
      </c>
      <c r="P28" s="18">
        <v>1.278216308976169E-2</v>
      </c>
      <c r="Q28" s="18">
        <v>2.5603763250175349</v>
      </c>
      <c r="R28" s="18" t="s">
        <v>50</v>
      </c>
      <c r="S28" s="18">
        <v>2.0854132296273549</v>
      </c>
      <c r="T28" s="18">
        <v>4.7329858293738791</v>
      </c>
      <c r="U28" s="18"/>
      <c r="V28" s="18"/>
      <c r="Z28" s="20">
        <v>-7.0317498084547747</v>
      </c>
      <c r="AA28" s="10">
        <v>-34.197012037344336</v>
      </c>
      <c r="AB28" s="17">
        <v>3.5146860909370501</v>
      </c>
      <c r="AC28" s="18">
        <v>1.190213840164422</v>
      </c>
      <c r="AD28" s="21">
        <v>0.21952612447983999</v>
      </c>
      <c r="AE28" s="21">
        <v>4.4357150372995644</v>
      </c>
      <c r="AF28" s="21">
        <v>3.4894666202933473E-2</v>
      </c>
      <c r="AG28" s="21"/>
      <c r="AH28" s="21">
        <v>5.8860766395181416</v>
      </c>
    </row>
    <row r="29" spans="1:34">
      <c r="A29" s="13" t="s">
        <v>62</v>
      </c>
      <c r="B29" s="13" t="s">
        <v>63</v>
      </c>
      <c r="C29" s="13">
        <v>27</v>
      </c>
      <c r="D29" s="14">
        <v>44740</v>
      </c>
      <c r="E29" s="14">
        <v>44747</v>
      </c>
      <c r="P29" s="18">
        <v>1.006010757677132E-2</v>
      </c>
      <c r="Q29" s="18">
        <v>2.51583471415878</v>
      </c>
      <c r="R29" s="18">
        <v>4.9893624344661477E-2</v>
      </c>
      <c r="S29" s="18">
        <v>2.1481711917040571</v>
      </c>
      <c r="T29" s="18">
        <v>5.1476156282335603</v>
      </c>
      <c r="U29" s="18"/>
      <c r="V29" s="18"/>
      <c r="Z29" s="20">
        <v>-6.8275376172731166</v>
      </c>
      <c r="AA29" s="10">
        <v>-34.162013429977591</v>
      </c>
      <c r="AB29" s="17">
        <v>3.575437064776521</v>
      </c>
      <c r="AC29" s="18">
        <v>1.234106246038698</v>
      </c>
      <c r="AD29" s="21">
        <v>0.20834069839969549</v>
      </c>
      <c r="AE29" s="21">
        <v>4.6878564301073187</v>
      </c>
      <c r="AF29" s="21">
        <v>3.596101950636351E-2</v>
      </c>
      <c r="AG29" s="21"/>
      <c r="AH29" s="21">
        <v>5.371751125061242</v>
      </c>
    </row>
    <row r="30" spans="1:34">
      <c r="A30" s="13" t="s">
        <v>62</v>
      </c>
      <c r="B30" s="13" t="s">
        <v>63</v>
      </c>
      <c r="C30" s="13">
        <v>28</v>
      </c>
      <c r="D30" s="14">
        <v>44747</v>
      </c>
      <c r="E30" s="14">
        <v>44754</v>
      </c>
      <c r="P30" s="18">
        <v>8.1690123071693523E-3</v>
      </c>
      <c r="Q30" s="18">
        <v>2.4641324611730502</v>
      </c>
      <c r="R30" s="18">
        <v>4.1851041506752049E-2</v>
      </c>
      <c r="S30" s="18">
        <v>2.3304154422108239</v>
      </c>
      <c r="T30" s="18">
        <v>5.0908224464845153</v>
      </c>
      <c r="U30" s="18"/>
      <c r="V30" s="18"/>
      <c r="Z30" s="20">
        <v>-6.943369450304024</v>
      </c>
      <c r="AA30" s="10">
        <v>-34.994980285306397</v>
      </c>
      <c r="AB30" s="17">
        <v>3.5504244196128498</v>
      </c>
      <c r="AC30" s="18">
        <v>1.227742063443171</v>
      </c>
      <c r="AD30" s="21">
        <v>0.20176511015039841</v>
      </c>
      <c r="AE30" s="21">
        <v>4.62409751855433</v>
      </c>
      <c r="AF30" s="21">
        <v>3.6218398602170812E-2</v>
      </c>
      <c r="AG30" s="21"/>
      <c r="AH30" s="21">
        <v>5.7137359031153254</v>
      </c>
    </row>
    <row r="31" spans="1:34">
      <c r="A31" s="13" t="s">
        <v>62</v>
      </c>
      <c r="B31" s="13" t="s">
        <v>63</v>
      </c>
      <c r="C31" s="13">
        <v>29</v>
      </c>
      <c r="D31" s="14">
        <v>44754</v>
      </c>
      <c r="E31" s="14">
        <v>44761</v>
      </c>
      <c r="P31" s="18">
        <v>1.807125881390307E-2</v>
      </c>
      <c r="Q31" s="18">
        <v>2.6291487166037881</v>
      </c>
      <c r="R31" s="18" t="s">
        <v>50</v>
      </c>
      <c r="S31" s="18">
        <v>1.9461211752625991</v>
      </c>
      <c r="T31" s="18">
        <v>5.4721660806703376</v>
      </c>
      <c r="U31" s="18"/>
      <c r="V31" s="18"/>
      <c r="Z31" s="20">
        <v>-6.8101293649100896</v>
      </c>
      <c r="AA31" s="10">
        <v>-33.96535458858343</v>
      </c>
      <c r="AB31" s="17">
        <v>3.7393065597872339</v>
      </c>
      <c r="AC31" s="18">
        <v>1.270751043629492</v>
      </c>
      <c r="AD31" s="21">
        <v>0.2061174425202118</v>
      </c>
      <c r="AE31" s="18">
        <v>4.7187538838209528</v>
      </c>
      <c r="AF31" s="21">
        <v>3.6941526826671588E-2</v>
      </c>
      <c r="AG31" s="21"/>
      <c r="AH31" s="21">
        <v>5.825816555914229</v>
      </c>
    </row>
    <row r="32" spans="1:34">
      <c r="A32" s="13" t="s">
        <v>62</v>
      </c>
      <c r="B32" s="13" t="s">
        <v>63</v>
      </c>
      <c r="C32" s="13">
        <v>30</v>
      </c>
      <c r="D32" s="14">
        <v>44761</v>
      </c>
      <c r="E32" s="14">
        <v>44767</v>
      </c>
      <c r="P32" s="18">
        <v>1.6899999999999998E-2</v>
      </c>
      <c r="Q32" s="18">
        <v>2.394731579295009</v>
      </c>
      <c r="R32" s="18">
        <v>9.3160289536922541E-2</v>
      </c>
      <c r="S32" s="18">
        <v>1.9480104485659131</v>
      </c>
      <c r="T32" s="18">
        <v>5.5342434604555404</v>
      </c>
      <c r="U32" s="18"/>
      <c r="V32" s="18"/>
      <c r="Z32" s="20">
        <v>-6.6708131843992478</v>
      </c>
      <c r="AA32" s="10">
        <v>-32.986134651817487</v>
      </c>
      <c r="AB32" s="17">
        <v>3.620327714103766</v>
      </c>
      <c r="AC32" s="18">
        <v>1.348211899609618</v>
      </c>
      <c r="AD32" s="21">
        <v>0.19475938092534881</v>
      </c>
      <c r="AE32" s="21">
        <v>5.1414927873421119</v>
      </c>
      <c r="AF32" s="21">
        <v>3.9200132763813698E-2</v>
      </c>
      <c r="AG32" s="21"/>
      <c r="AH32" s="21">
        <v>5.8181888357671792</v>
      </c>
    </row>
    <row r="33" spans="1:34">
      <c r="A33" s="13" t="s">
        <v>62</v>
      </c>
      <c r="B33" s="13" t="s">
        <v>63</v>
      </c>
      <c r="C33" s="13">
        <v>31</v>
      </c>
      <c r="D33" s="14">
        <v>44768</v>
      </c>
      <c r="E33" s="14">
        <v>44774</v>
      </c>
      <c r="P33" s="18">
        <v>0.02</v>
      </c>
      <c r="Q33" s="18">
        <v>1.760300244885209</v>
      </c>
      <c r="R33" s="18">
        <v>4.5848794405058908E-2</v>
      </c>
      <c r="S33" s="18">
        <v>1.660788497062031</v>
      </c>
      <c r="T33" s="18">
        <v>4.0997065266368971</v>
      </c>
      <c r="U33" s="18"/>
      <c r="V33" s="18"/>
      <c r="Z33" s="20">
        <v>-6.6205796367426117</v>
      </c>
      <c r="AA33" s="10">
        <v>-33.129210505690558</v>
      </c>
      <c r="AB33" s="17">
        <v>3.6394767862326338</v>
      </c>
      <c r="AC33" s="18">
        <v>1.3418272084702789</v>
      </c>
      <c r="AD33" s="21">
        <v>0.19815977746992011</v>
      </c>
      <c r="AE33" s="21">
        <v>5.209792259621973</v>
      </c>
      <c r="AF33" s="21">
        <v>3.8596230841326191E-2</v>
      </c>
      <c r="AG33" s="21"/>
      <c r="AH33" s="21">
        <v>5.7130659155009589</v>
      </c>
    </row>
    <row r="34" spans="1:34">
      <c r="A34" s="13" t="s">
        <v>62</v>
      </c>
      <c r="B34" s="13" t="s">
        <v>63</v>
      </c>
      <c r="C34" s="13">
        <v>32</v>
      </c>
      <c r="D34" s="14">
        <v>44774</v>
      </c>
      <c r="E34" s="14">
        <v>44782</v>
      </c>
      <c r="P34" s="18">
        <v>4.0640998394090661E-2</v>
      </c>
      <c r="Q34" s="18">
        <v>2.686439061848886</v>
      </c>
      <c r="R34" s="18">
        <v>9.9077976106583272E-3</v>
      </c>
      <c r="S34" s="18">
        <v>2.3111697940013838</v>
      </c>
      <c r="T34" s="18">
        <v>5.6179111048969981</v>
      </c>
      <c r="U34" s="18">
        <v>6.0688245206321829E-2</v>
      </c>
      <c r="V34" s="18"/>
      <c r="Z34" s="20">
        <v>-6.8695795507746258</v>
      </c>
      <c r="AA34" s="10">
        <v>-34.807775083734228</v>
      </c>
      <c r="AB34" s="17">
        <v>3.6356184737698811</v>
      </c>
      <c r="AC34" s="18">
        <v>1.3041096573338899</v>
      </c>
      <c r="AD34" s="21">
        <v>0.20475878856011731</v>
      </c>
      <c r="AE34" s="21">
        <v>5.0239722956569803</v>
      </c>
      <c r="AF34" s="21">
        <v>3.8585117352096861E-2</v>
      </c>
      <c r="AG34" s="21"/>
      <c r="AH34" s="21">
        <v>5.7397771854680562</v>
      </c>
    </row>
    <row r="35" spans="1:34">
      <c r="A35" s="13" t="s">
        <v>62</v>
      </c>
      <c r="B35" s="13" t="s">
        <v>63</v>
      </c>
      <c r="C35" s="13">
        <v>33</v>
      </c>
      <c r="D35" s="14">
        <v>44782</v>
      </c>
      <c r="E35" s="14">
        <v>44788</v>
      </c>
      <c r="P35" s="18">
        <v>2.52E-2</v>
      </c>
      <c r="Q35" s="18">
        <v>2.4241522557641622</v>
      </c>
      <c r="R35" s="18" t="s">
        <v>50</v>
      </c>
      <c r="S35" s="18">
        <v>2.0611683460264918</v>
      </c>
      <c r="T35" s="18">
        <v>5.8745743132131576</v>
      </c>
      <c r="U35" s="18"/>
      <c r="V35" s="18"/>
      <c r="Z35" s="20">
        <v>-6.6993241168530151</v>
      </c>
      <c r="AA35" s="10">
        <v>-33.28886015823921</v>
      </c>
      <c r="AB35" s="17">
        <v>3.6520917238663571</v>
      </c>
      <c r="AC35" s="18">
        <v>1.3704262059267229</v>
      </c>
      <c r="AD35" s="21">
        <v>0.19712643071556379</v>
      </c>
      <c r="AE35" s="21">
        <v>5.2351155727542444</v>
      </c>
      <c r="AF35" s="21">
        <v>3.948318791313004E-2</v>
      </c>
      <c r="AG35" s="21"/>
      <c r="AH35" s="21">
        <v>5.7604723486472436</v>
      </c>
    </row>
    <row r="36" spans="1:34">
      <c r="A36" s="13" t="s">
        <v>62</v>
      </c>
      <c r="B36" s="13" t="s">
        <v>63</v>
      </c>
      <c r="C36" s="13">
        <v>34</v>
      </c>
      <c r="D36" s="14">
        <v>44788</v>
      </c>
      <c r="E36" s="14">
        <v>44796</v>
      </c>
      <c r="P36" s="18">
        <v>1.5299999999999999E-2</v>
      </c>
      <c r="Q36" s="18">
        <v>2.3333706689966611</v>
      </c>
      <c r="R36" s="18" t="s">
        <v>50</v>
      </c>
      <c r="S36" s="18">
        <v>1.7523285763212291</v>
      </c>
      <c r="T36" s="18">
        <v>5.8255773492249574</v>
      </c>
      <c r="U36" s="18">
        <v>9.128215256149802E-2</v>
      </c>
      <c r="V36" s="18"/>
      <c r="Z36" s="20">
        <v>-6.8164225894309833</v>
      </c>
      <c r="AA36" s="10">
        <v>-34.61104340360513</v>
      </c>
      <c r="AB36" s="17">
        <v>3.7600291966060482</v>
      </c>
      <c r="AC36" s="18">
        <v>1.431132736033035</v>
      </c>
      <c r="AD36" s="21">
        <v>0.20741408121860599</v>
      </c>
      <c r="AE36" s="21">
        <v>5.4458276552856866</v>
      </c>
      <c r="AF36" s="21">
        <v>4.0507822900226358E-2</v>
      </c>
      <c r="AG36" s="21"/>
      <c r="AH36" s="21">
        <v>5.7902940910305407</v>
      </c>
    </row>
    <row r="37" spans="1:34">
      <c r="A37" s="13" t="s">
        <v>62</v>
      </c>
      <c r="B37" s="13" t="s">
        <v>63</v>
      </c>
      <c r="C37" s="13">
        <v>35</v>
      </c>
      <c r="D37" s="14">
        <v>44796</v>
      </c>
      <c r="E37" s="14">
        <v>44802</v>
      </c>
      <c r="P37" s="18">
        <v>1.54E-2</v>
      </c>
      <c r="Q37" s="18">
        <v>2.3933816101309509</v>
      </c>
      <c r="R37" s="18">
        <v>2.920652747522131E-2</v>
      </c>
      <c r="S37" s="18">
        <v>2.5371023042024339</v>
      </c>
      <c r="T37" s="18">
        <v>6.1848045462316854</v>
      </c>
      <c r="U37" s="18"/>
      <c r="V37" s="18"/>
      <c r="Z37" s="20">
        <v>-6.8215138273691567</v>
      </c>
      <c r="AA37" s="10">
        <v>-34.484203107618377</v>
      </c>
      <c r="AB37" s="17">
        <v>3.7782887733552251</v>
      </c>
      <c r="AC37" s="18">
        <v>1.4578274952770831</v>
      </c>
      <c r="AD37" s="21">
        <v>0.21408088297150341</v>
      </c>
      <c r="AE37" s="21">
        <v>5.5397207508894368</v>
      </c>
      <c r="AF37" s="21">
        <v>4.0728832422706862E-2</v>
      </c>
      <c r="AG37" s="21"/>
      <c r="AH37" s="21">
        <v>5.7477949957146421</v>
      </c>
    </row>
    <row r="38" spans="1:34">
      <c r="A38" s="13" t="s">
        <v>62</v>
      </c>
      <c r="B38" s="13" t="s">
        <v>63</v>
      </c>
      <c r="C38" s="13">
        <v>36</v>
      </c>
      <c r="D38" s="14">
        <v>44802</v>
      </c>
      <c r="E38" s="14">
        <v>44810</v>
      </c>
      <c r="P38" s="18">
        <v>1.4E-2</v>
      </c>
      <c r="Q38" s="18">
        <v>2.2261784360635768</v>
      </c>
      <c r="R38" s="18">
        <v>3.2507329162682411E-2</v>
      </c>
      <c r="S38" s="18">
        <v>2.788281714453388</v>
      </c>
      <c r="T38" s="18">
        <v>4.7064504100063989</v>
      </c>
      <c r="U38" s="18"/>
      <c r="V38" s="18"/>
      <c r="Z38" s="20">
        <v>-6.88498459366504</v>
      </c>
      <c r="AA38" s="10">
        <v>-35.014564665237657</v>
      </c>
      <c r="AB38" s="17">
        <v>3.229887266868213</v>
      </c>
      <c r="AC38" s="18">
        <v>1.1403176036830349</v>
      </c>
      <c r="AD38" s="21">
        <v>0.22067187332008181</v>
      </c>
      <c r="AE38" s="21">
        <v>4.4985007662285907</v>
      </c>
      <c r="AF38" s="21">
        <v>3.6058954786144758E-2</v>
      </c>
      <c r="AG38" s="21"/>
      <c r="AH38" s="21">
        <v>5.0633525023569819</v>
      </c>
    </row>
    <row r="39" spans="1:34">
      <c r="A39" s="13" t="s">
        <v>62</v>
      </c>
      <c r="B39" s="13" t="s">
        <v>63</v>
      </c>
      <c r="C39" s="13">
        <v>37</v>
      </c>
      <c r="D39" s="14">
        <v>44810</v>
      </c>
      <c r="E39" s="14">
        <v>44817</v>
      </c>
      <c r="P39" s="18">
        <v>1.29E-2</v>
      </c>
      <c r="Q39" s="18">
        <v>2.2431700703757951</v>
      </c>
      <c r="R39" s="18">
        <v>5.8690624662681698E-2</v>
      </c>
      <c r="S39" s="18">
        <v>2.2200967990184388</v>
      </c>
      <c r="T39" s="18">
        <v>3.647377510258202</v>
      </c>
      <c r="U39" s="18"/>
      <c r="V39" s="18"/>
      <c r="Z39" s="20">
        <v>-6.95863783583727</v>
      </c>
      <c r="AA39" s="10">
        <v>-35.421806575552459</v>
      </c>
      <c r="AB39" s="17">
        <v>2.9612820143724492</v>
      </c>
      <c r="AC39" s="18">
        <v>0.86819956808699317</v>
      </c>
      <c r="AD39" s="21">
        <v>0.17822704720362159</v>
      </c>
      <c r="AE39" s="21">
        <v>3.298477324838156</v>
      </c>
      <c r="AF39" s="21">
        <v>3.0734691844615691E-2</v>
      </c>
      <c r="AG39" s="21"/>
      <c r="AH39" s="21">
        <v>4.9602919130170369</v>
      </c>
    </row>
    <row r="40" spans="1:34">
      <c r="A40" s="13" t="s">
        <v>145</v>
      </c>
      <c r="B40" s="13" t="s">
        <v>63</v>
      </c>
      <c r="C40" s="13">
        <v>38</v>
      </c>
      <c r="D40" s="14">
        <v>44817</v>
      </c>
      <c r="E40" s="14">
        <v>44824</v>
      </c>
      <c r="P40" s="18">
        <v>1.5599999999999999E-2</v>
      </c>
      <c r="Q40" s="18">
        <v>2.251516343320441</v>
      </c>
      <c r="R40" s="18" t="s">
        <v>50</v>
      </c>
      <c r="S40" s="18">
        <v>1.8049014480799559</v>
      </c>
      <c r="T40" s="18">
        <v>3.369908613091857</v>
      </c>
      <c r="U40" s="18">
        <v>0.1247575971747131</v>
      </c>
      <c r="V40" s="18"/>
      <c r="Z40" s="20">
        <v>-6.823063391761373</v>
      </c>
      <c r="AA40" s="10">
        <v>-34.585795433265012</v>
      </c>
      <c r="AB40" s="17">
        <v>3.2449508239268838</v>
      </c>
      <c r="AC40" s="18">
        <v>0.93902030571292705</v>
      </c>
      <c r="AD40" s="21">
        <v>0.18979389370133121</v>
      </c>
      <c r="AE40" s="21">
        <v>3.2494754404852091</v>
      </c>
      <c r="AF40" s="21">
        <v>3.0765379939734341E-2</v>
      </c>
      <c r="AG40" s="21"/>
      <c r="AH40" s="21">
        <v>5.4941187348046689</v>
      </c>
    </row>
    <row r="41" spans="1:34">
      <c r="A41" s="13" t="s">
        <v>145</v>
      </c>
      <c r="B41" s="13" t="s">
        <v>63</v>
      </c>
      <c r="C41" s="13">
        <v>39</v>
      </c>
      <c r="D41" s="14">
        <v>44824</v>
      </c>
      <c r="E41" s="14">
        <v>44831</v>
      </c>
      <c r="P41" s="18">
        <v>1.5599999999999999E-2</v>
      </c>
      <c r="Q41" s="18">
        <v>2.2426067677975232</v>
      </c>
      <c r="R41" s="18">
        <v>6.8225373721721272E-2</v>
      </c>
      <c r="S41" s="18">
        <v>1.997267050048769</v>
      </c>
      <c r="T41" s="18">
        <v>4.2487582821967838</v>
      </c>
      <c r="U41" s="18"/>
      <c r="V41" s="18"/>
      <c r="Z41" s="20">
        <v>-6.8449335218847498</v>
      </c>
      <c r="AA41" s="10">
        <v>-34.495026812875913</v>
      </c>
      <c r="AB41" s="17">
        <v>3.256461134943808</v>
      </c>
      <c r="AC41" s="18">
        <v>1.0410968673047669</v>
      </c>
      <c r="AD41" s="21">
        <v>0.18367183497563919</v>
      </c>
      <c r="AE41" s="21">
        <v>3.8639551202884008</v>
      </c>
      <c r="AF41" s="21">
        <v>3.3228345822978192E-2</v>
      </c>
      <c r="AG41" s="21"/>
      <c r="AH41" s="21">
        <v>5.2807859225469409</v>
      </c>
    </row>
    <row r="42" spans="1:34">
      <c r="A42" s="13" t="s">
        <v>145</v>
      </c>
      <c r="B42" s="13" t="s">
        <v>63</v>
      </c>
      <c r="C42" s="13">
        <v>40</v>
      </c>
      <c r="D42" s="14">
        <v>44831</v>
      </c>
      <c r="E42" s="14">
        <v>44838</v>
      </c>
      <c r="P42" s="18">
        <v>1.47E-2</v>
      </c>
      <c r="Q42" s="18">
        <v>2.4026692894493631</v>
      </c>
      <c r="R42" s="18" t="s">
        <v>50</v>
      </c>
      <c r="S42" s="18">
        <v>1.8746086209460899</v>
      </c>
      <c r="T42" s="18">
        <v>4.7901599582702588</v>
      </c>
      <c r="U42" s="18"/>
      <c r="V42" s="18"/>
      <c r="Z42" s="20">
        <v>-6.7829619889849067</v>
      </c>
      <c r="AA42" s="10">
        <v>-34.087236259476597</v>
      </c>
      <c r="AB42" s="17">
        <v>3.4242642974327748</v>
      </c>
      <c r="AC42" s="18">
        <v>1.135316305630091</v>
      </c>
      <c r="AD42" s="21">
        <v>0.27940317317038699</v>
      </c>
      <c r="AE42" s="21">
        <v>5.21362102687476</v>
      </c>
      <c r="AF42" s="21">
        <v>3.381713658974448E-2</v>
      </c>
      <c r="AG42" s="21"/>
      <c r="AH42" s="21">
        <v>6.2079855429395012</v>
      </c>
    </row>
    <row r="43" spans="1:34">
      <c r="A43" s="13" t="s">
        <v>145</v>
      </c>
      <c r="B43" s="13" t="s">
        <v>63</v>
      </c>
      <c r="C43" s="13">
        <v>41</v>
      </c>
      <c r="D43" s="14">
        <v>44838</v>
      </c>
      <c r="E43" s="14">
        <v>44845</v>
      </c>
      <c r="P43" s="18">
        <v>2.3099999999999999E-2</v>
      </c>
      <c r="Q43" s="18">
        <v>2.0431658240502291</v>
      </c>
      <c r="R43" s="18">
        <v>8.1761224225368079E-2</v>
      </c>
      <c r="S43" s="18">
        <v>2.0083855315584191</v>
      </c>
      <c r="T43" s="18">
        <v>3.4421523911330971</v>
      </c>
      <c r="U43" s="18">
        <v>8.8196558959091773E-2</v>
      </c>
      <c r="V43" s="18"/>
      <c r="Z43" s="20">
        <v>-6.7462986310730804</v>
      </c>
      <c r="AA43" s="10">
        <v>-34.263545973300673</v>
      </c>
      <c r="AB43" s="17">
        <v>2.902830648896717</v>
      </c>
      <c r="AC43" s="18">
        <v>0.81974330324032341</v>
      </c>
      <c r="AD43" s="21">
        <v>0.27237073203970807</v>
      </c>
      <c r="AE43" s="21">
        <v>3.932326232624062</v>
      </c>
      <c r="AF43" s="21">
        <v>2.7154180781149138E-2</v>
      </c>
      <c r="AG43" s="21"/>
      <c r="AH43" s="21">
        <v>5.4511819051742156</v>
      </c>
    </row>
    <row r="44" spans="1:34">
      <c r="A44" s="13" t="s">
        <v>145</v>
      </c>
      <c r="B44" s="13" t="s">
        <v>63</v>
      </c>
      <c r="C44" s="13">
        <v>42</v>
      </c>
      <c r="D44" s="14">
        <v>44845</v>
      </c>
      <c r="E44" s="14">
        <v>44853</v>
      </c>
      <c r="P44" s="18">
        <v>1.37E-2</v>
      </c>
      <c r="Q44" s="18">
        <v>2.0745628189853109</v>
      </c>
      <c r="R44" s="18" t="s">
        <v>50</v>
      </c>
      <c r="S44" s="18">
        <v>1.810350439500005</v>
      </c>
      <c r="T44" s="18">
        <v>2.8714602632740029</v>
      </c>
      <c r="U44" s="18">
        <v>0.1225504250024132</v>
      </c>
      <c r="V44" s="18"/>
      <c r="Z44" s="20">
        <v>-6.7249694340071251</v>
      </c>
      <c r="AA44" s="10">
        <v>-34.405562843335311</v>
      </c>
      <c r="AB44" s="17">
        <v>2.9229438535551489</v>
      </c>
      <c r="AC44" s="18">
        <v>0.82238358088967578</v>
      </c>
      <c r="AD44" s="21">
        <v>0.19301802946061289</v>
      </c>
      <c r="AE44" s="21">
        <v>2.759677088277054</v>
      </c>
      <c r="AF44" s="21">
        <v>2.8429429662107319E-2</v>
      </c>
      <c r="AG44" s="21"/>
      <c r="AH44" s="21">
        <v>4.9201056699945296</v>
      </c>
    </row>
    <row r="45" spans="1:34">
      <c r="A45" s="13" t="s">
        <v>145</v>
      </c>
      <c r="B45" s="13" t="s">
        <v>63</v>
      </c>
      <c r="C45" s="13">
        <v>43</v>
      </c>
      <c r="D45" s="14">
        <v>44853</v>
      </c>
      <c r="E45" s="14">
        <v>44859</v>
      </c>
      <c r="P45" s="18">
        <v>2.0199999999999999E-2</v>
      </c>
      <c r="Q45" s="18">
        <v>2.1844932655871592</v>
      </c>
      <c r="R45" s="18" t="s">
        <v>50</v>
      </c>
      <c r="S45" s="18">
        <v>1.791255169745563</v>
      </c>
      <c r="T45" s="18">
        <v>3.018637167178261</v>
      </c>
      <c r="U45" s="18">
        <v>0.10243489178191489</v>
      </c>
      <c r="V45" s="18"/>
      <c r="Z45" s="20">
        <v>-6.6650910065394076</v>
      </c>
      <c r="AA45" s="10">
        <v>-33.465207404515077</v>
      </c>
      <c r="AB45" s="17">
        <v>2.824258871991757</v>
      </c>
      <c r="AC45" s="18">
        <v>0.72493224642595178</v>
      </c>
      <c r="AD45" s="21">
        <v>0.25863962624423131</v>
      </c>
      <c r="AE45" s="21">
        <v>3.5446674274303618</v>
      </c>
      <c r="AF45" s="21">
        <v>2.5290593714632621E-2</v>
      </c>
      <c r="AG45" s="21"/>
      <c r="AH45" s="21">
        <v>5.5003454083093741</v>
      </c>
    </row>
    <row r="46" spans="1:34">
      <c r="A46" s="13" t="s">
        <v>145</v>
      </c>
      <c r="B46" s="13" t="s">
        <v>63</v>
      </c>
      <c r="C46" s="13">
        <v>44</v>
      </c>
      <c r="D46" s="14">
        <v>44859</v>
      </c>
      <c r="E46" s="14">
        <v>44867</v>
      </c>
      <c r="P46" s="18">
        <v>1.9699999999999999E-2</v>
      </c>
      <c r="Q46" s="18">
        <v>2.142803304659461</v>
      </c>
      <c r="R46" s="18">
        <v>6.588375231331825E-2</v>
      </c>
      <c r="S46" s="18">
        <v>1.7502131655513899</v>
      </c>
      <c r="T46" s="18">
        <v>2.940166670872574</v>
      </c>
      <c r="U46" s="18">
        <v>9.2814396631358723E-2</v>
      </c>
      <c r="V46" s="18"/>
      <c r="Z46" s="20">
        <v>-6.4503730828787393</v>
      </c>
      <c r="AA46" s="10">
        <v>-32.473509090847259</v>
      </c>
      <c r="AB46" s="17">
        <v>2.9411801194667611</v>
      </c>
      <c r="AC46" s="18">
        <v>0.83318925335037153</v>
      </c>
      <c r="AD46" s="21">
        <v>0.2004328085461686</v>
      </c>
      <c r="AE46" s="21">
        <v>2.833615212343747</v>
      </c>
      <c r="AF46" s="21">
        <v>2.86558304629713E-2</v>
      </c>
      <c r="AG46" s="21"/>
      <c r="AH46" s="21">
        <v>4.8572263206772632</v>
      </c>
    </row>
    <row r="47" spans="1:34">
      <c r="A47" s="13" t="s">
        <v>62</v>
      </c>
      <c r="B47" s="13" t="s">
        <v>63</v>
      </c>
      <c r="C47" s="13">
        <v>45</v>
      </c>
      <c r="D47" s="14">
        <v>44867</v>
      </c>
      <c r="E47" s="14">
        <v>44873</v>
      </c>
      <c r="P47" s="18">
        <v>1.4500000000000001E-2</v>
      </c>
      <c r="Q47" s="18">
        <v>2.106467152233908</v>
      </c>
      <c r="R47" s="18" t="s">
        <v>50</v>
      </c>
      <c r="S47" s="18">
        <v>1.5345241369409151</v>
      </c>
      <c r="T47" s="18">
        <v>2.8077243154892511</v>
      </c>
      <c r="U47" s="18">
        <v>0.11151456414091369</v>
      </c>
      <c r="V47" s="18"/>
      <c r="Z47" s="20">
        <v>-6.6635772971813374</v>
      </c>
      <c r="AA47" s="10">
        <v>-33.615312256720507</v>
      </c>
      <c r="AB47" s="17">
        <v>3.0369806890256208</v>
      </c>
      <c r="AC47" s="18">
        <v>0.83467216691353163</v>
      </c>
      <c r="AD47" s="21">
        <v>0.17878081813225161</v>
      </c>
      <c r="AE47" s="21">
        <v>2.8088385767819899</v>
      </c>
      <c r="AF47" s="21">
        <v>2.856592033051332E-2</v>
      </c>
      <c r="AG47" s="21"/>
      <c r="AH47" s="21">
        <v>5.1569912583286968</v>
      </c>
    </row>
    <row r="48" spans="1:34">
      <c r="A48" s="13" t="s">
        <v>62</v>
      </c>
      <c r="B48" s="13" t="s">
        <v>63</v>
      </c>
      <c r="C48" s="13">
        <v>46</v>
      </c>
      <c r="D48" s="14">
        <v>44873</v>
      </c>
      <c r="E48" s="14">
        <v>44880</v>
      </c>
      <c r="P48" s="18">
        <v>1.4999999999999999E-2</v>
      </c>
      <c r="Q48" s="18">
        <v>2.1132988961928239</v>
      </c>
      <c r="R48" s="18">
        <v>7.9899999999999999E-2</v>
      </c>
      <c r="S48" s="18">
        <v>1.6662750103088959</v>
      </c>
      <c r="T48" s="18">
        <v>3.1320881534165022</v>
      </c>
      <c r="U48" s="18">
        <v>0.1254933212321464</v>
      </c>
      <c r="V48" s="18"/>
      <c r="Z48" s="20">
        <v>-6.5788294561283474</v>
      </c>
      <c r="AA48" s="10">
        <v>-33.709059611189438</v>
      </c>
      <c r="AB48" s="17">
        <v>3.1840580151703501</v>
      </c>
      <c r="AC48" s="18">
        <v>0.92999428417395136</v>
      </c>
      <c r="AD48" s="21">
        <v>0.19726974873570879</v>
      </c>
      <c r="AE48" s="21">
        <v>3.1504710822177042</v>
      </c>
      <c r="AF48" s="21">
        <v>3.0169645740202741E-2</v>
      </c>
      <c r="AG48" s="21"/>
      <c r="AH48" s="18">
        <v>5.3726914459400108</v>
      </c>
    </row>
    <row r="49" spans="1:34">
      <c r="A49" s="13" t="s">
        <v>62</v>
      </c>
      <c r="B49" s="13" t="s">
        <v>63</v>
      </c>
      <c r="C49" s="13">
        <v>47</v>
      </c>
      <c r="D49" s="14">
        <v>44880</v>
      </c>
      <c r="E49" s="14">
        <v>44887</v>
      </c>
      <c r="P49" s="18">
        <v>1.7399999999999999E-2</v>
      </c>
      <c r="Q49" s="18">
        <v>2.1956447944450819</v>
      </c>
      <c r="R49" s="21" t="s">
        <v>50</v>
      </c>
      <c r="S49" s="21">
        <v>1.7695706383637999</v>
      </c>
      <c r="T49" s="21">
        <v>3.7528415542194118</v>
      </c>
      <c r="U49" s="21">
        <v>6.7115421100131759E-2</v>
      </c>
      <c r="Z49" s="20">
        <v>-6.5109301689429762</v>
      </c>
      <c r="AA49" s="10">
        <v>-31.97164321425582</v>
      </c>
      <c r="AB49" s="17">
        <v>3.2562028169231678</v>
      </c>
      <c r="AC49" s="18">
        <v>1.0286279046250779</v>
      </c>
      <c r="AD49" s="21">
        <v>0.1569411572622712</v>
      </c>
      <c r="AE49" s="21">
        <v>3.480402492375398</v>
      </c>
      <c r="AF49" s="21">
        <v>2.815159699514767E-2</v>
      </c>
      <c r="AG49" s="21"/>
      <c r="AH49" s="21">
        <v>5.3289600953237066</v>
      </c>
    </row>
    <row r="50" spans="1:34">
      <c r="A50" s="13" t="s">
        <v>62</v>
      </c>
      <c r="B50" s="13" t="s">
        <v>63</v>
      </c>
      <c r="C50" s="13">
        <v>48</v>
      </c>
      <c r="D50" s="14">
        <v>44887</v>
      </c>
      <c r="E50" s="14">
        <v>44894</v>
      </c>
      <c r="P50" s="18">
        <v>1.3599999999999999E-2</v>
      </c>
      <c r="Q50" s="18">
        <v>2.0751016259111408</v>
      </c>
      <c r="R50" s="21" t="s">
        <v>50</v>
      </c>
      <c r="S50" s="21">
        <v>1.68271384605137</v>
      </c>
      <c r="T50" s="21">
        <v>3.391385509384266</v>
      </c>
      <c r="U50" s="21">
        <v>0.1247575971747131</v>
      </c>
      <c r="Z50" s="20">
        <v>-6.5009484248642426</v>
      </c>
      <c r="AA50" s="10">
        <v>-32.155684034643222</v>
      </c>
      <c r="AB50" s="17">
        <v>3.18143590607799</v>
      </c>
      <c r="AC50" s="18">
        <v>0.96694077375915033</v>
      </c>
      <c r="AD50" s="21">
        <v>0.15595419612204381</v>
      </c>
      <c r="AE50" s="21">
        <v>3.44492980202202</v>
      </c>
      <c r="AF50" s="21">
        <v>2.6228468648065321E-2</v>
      </c>
      <c r="AG50" s="21"/>
      <c r="AH50" s="21">
        <v>5.344882284571308</v>
      </c>
    </row>
    <row r="51" spans="1:34">
      <c r="A51" s="13" t="s">
        <v>62</v>
      </c>
      <c r="B51" s="13" t="s">
        <v>63</v>
      </c>
      <c r="C51" s="13">
        <v>49</v>
      </c>
      <c r="D51" s="14">
        <v>44894</v>
      </c>
      <c r="E51" s="14">
        <v>44901</v>
      </c>
      <c r="P51" s="18">
        <v>1.46E-2</v>
      </c>
      <c r="Q51" s="18">
        <v>2.0498302845702931</v>
      </c>
      <c r="R51" s="21">
        <v>4.6399999999999997E-2</v>
      </c>
      <c r="S51" s="21">
        <v>1.697316648581332</v>
      </c>
      <c r="T51" s="21">
        <v>3.6318686420252688</v>
      </c>
      <c r="U51" s="21">
        <v>0.13505773397877929</v>
      </c>
      <c r="Z51" s="20">
        <v>-6.4788866336453372</v>
      </c>
      <c r="AA51" s="10">
        <v>-31.914955136147579</v>
      </c>
      <c r="AB51" s="17">
        <v>3.1956203054184922</v>
      </c>
      <c r="AC51" s="18">
        <v>0.97788720658634243</v>
      </c>
      <c r="AD51" s="21">
        <v>0.14474179200698239</v>
      </c>
      <c r="AE51" s="21">
        <v>3.569374157970898</v>
      </c>
      <c r="AF51" s="21">
        <v>2.6879753068267689E-2</v>
      </c>
      <c r="AG51" s="21"/>
      <c r="AH51" s="21">
        <v>5.3269832211296002</v>
      </c>
    </row>
    <row r="52" spans="1:34">
      <c r="A52" s="13" t="s">
        <v>62</v>
      </c>
      <c r="B52" s="13" t="s">
        <v>63</v>
      </c>
      <c r="C52" s="13">
        <v>50</v>
      </c>
      <c r="D52" s="14">
        <v>44901</v>
      </c>
      <c r="E52" s="14">
        <v>44908</v>
      </c>
      <c r="P52" s="18">
        <v>1.34E-2</v>
      </c>
      <c r="Q52" s="18">
        <v>2.0333970427680721</v>
      </c>
      <c r="R52" s="21" t="s">
        <v>50</v>
      </c>
      <c r="S52" s="21">
        <v>1.7447888365236</v>
      </c>
      <c r="T52" s="21">
        <v>3.576948390470672</v>
      </c>
      <c r="U52" s="21">
        <v>8.1590981294989096E-2</v>
      </c>
      <c r="Z52" s="20">
        <v>-6.4761289097429744</v>
      </c>
      <c r="AA52" s="10">
        <v>-32.397765342680977</v>
      </c>
      <c r="AB52" s="17">
        <v>3.0893295081726668</v>
      </c>
      <c r="AC52" s="18">
        <v>0.94702339558429716</v>
      </c>
      <c r="AD52" s="21">
        <v>0.13585763644505411</v>
      </c>
      <c r="AE52" s="21">
        <v>3.4720081896627111</v>
      </c>
      <c r="AF52" s="21">
        <v>2.5704939787106449E-2</v>
      </c>
      <c r="AG52" s="21"/>
      <c r="AH52" s="21">
        <v>5.2275729750805242</v>
      </c>
    </row>
    <row r="53" spans="1:34">
      <c r="A53" s="13" t="s">
        <v>62</v>
      </c>
      <c r="B53" s="13" t="s">
        <v>63</v>
      </c>
      <c r="C53" s="13">
        <v>51</v>
      </c>
      <c r="D53" s="14">
        <v>44908</v>
      </c>
      <c r="E53" s="14">
        <v>44915</v>
      </c>
      <c r="P53" s="18">
        <v>1.4200000000000001E-2</v>
      </c>
      <c r="Q53" s="18">
        <v>2.2018979851248832</v>
      </c>
      <c r="R53" s="21">
        <v>4.9500000000000002E-2</v>
      </c>
      <c r="S53" s="21">
        <v>1.6420457576982741</v>
      </c>
      <c r="T53" s="21">
        <v>3.9469561761197571</v>
      </c>
      <c r="U53" s="21">
        <v>0.12438163140074331</v>
      </c>
      <c r="Z53" s="20">
        <v>-6.4206749085513586</v>
      </c>
      <c r="AA53" s="10">
        <v>-30.966754683452169</v>
      </c>
      <c r="AB53" s="17">
        <v>3.025489998602882</v>
      </c>
      <c r="AC53" s="18">
        <v>0.93910001148473909</v>
      </c>
      <c r="AD53" s="21">
        <v>0.1237430460410132</v>
      </c>
      <c r="AE53" s="21">
        <v>3.2877918770476731</v>
      </c>
      <c r="AF53" s="21">
        <v>2.628393563268944E-2</v>
      </c>
      <c r="AG53" s="21"/>
      <c r="AH53" s="21">
        <v>5.1359592029630354</v>
      </c>
    </row>
    <row r="54" spans="1:34">
      <c r="A54" s="13" t="s">
        <v>62</v>
      </c>
      <c r="B54" s="13" t="s">
        <v>63</v>
      </c>
      <c r="C54" s="13">
        <v>52</v>
      </c>
      <c r="D54" s="14">
        <v>44915</v>
      </c>
      <c r="E54" s="14">
        <v>44930</v>
      </c>
      <c r="P54" s="18">
        <v>1.8599999999999998E-2</v>
      </c>
      <c r="Q54" s="18">
        <v>2.0180660967400992</v>
      </c>
      <c r="R54" s="21">
        <v>0.16376467525348709</v>
      </c>
      <c r="S54" s="21">
        <v>1.7392684055944361</v>
      </c>
      <c r="T54" s="21">
        <v>3.8796090361264972</v>
      </c>
      <c r="U54" s="21">
        <v>9.6843765902405579E-2</v>
      </c>
      <c r="Z54" s="20">
        <v>-6.2884162385159517</v>
      </c>
      <c r="AA54" s="10">
        <v>-28.94231020608639</v>
      </c>
      <c r="AB54" s="17">
        <v>3.0524166344069541</v>
      </c>
      <c r="AC54" s="18">
        <v>0.96169047527967189</v>
      </c>
      <c r="AD54" s="21">
        <v>0.15701220274051031</v>
      </c>
      <c r="AE54" s="21">
        <v>3.34510264906302</v>
      </c>
      <c r="AF54" s="21">
        <v>2.671491110249884E-2</v>
      </c>
      <c r="AG54" s="21"/>
      <c r="AH54" s="21">
        <v>4.9488761021646583</v>
      </c>
    </row>
    <row r="55" spans="1:34">
      <c r="A55" s="13" t="s">
        <v>62</v>
      </c>
      <c r="B55" s="13" t="s">
        <v>63</v>
      </c>
      <c r="C55" s="13">
        <v>53</v>
      </c>
      <c r="D55" s="14">
        <v>44930</v>
      </c>
      <c r="E55" s="14">
        <v>44937</v>
      </c>
      <c r="P55" s="18">
        <v>1.5699999999999999E-2</v>
      </c>
      <c r="Q55" s="18">
        <v>2.1593591710987852</v>
      </c>
      <c r="R55" s="21" t="s">
        <v>50</v>
      </c>
      <c r="S55" s="21">
        <v>1.666900273574127</v>
      </c>
      <c r="T55" s="21">
        <v>3.6721340554096571</v>
      </c>
      <c r="U55" s="21">
        <v>0.1010243143902253</v>
      </c>
      <c r="Z55" s="20">
        <v>-6.374505871504879</v>
      </c>
      <c r="AA55" s="10">
        <v>-30.502513919560879</v>
      </c>
      <c r="AB55" s="17">
        <v>3.1430703557357531</v>
      </c>
      <c r="AC55" s="18">
        <v>0.98072479112239297</v>
      </c>
      <c r="AD55" s="21">
        <v>0.13405561197218691</v>
      </c>
      <c r="AE55" s="21">
        <v>3.3376866357984332</v>
      </c>
      <c r="AF55" s="21">
        <v>2.6870138462766251E-2</v>
      </c>
      <c r="AG55" s="21"/>
      <c r="AH55" s="18">
        <v>4.7159968696685057</v>
      </c>
    </row>
    <row r="56" spans="1:34">
      <c r="A56" s="13" t="s">
        <v>62</v>
      </c>
      <c r="B56" s="13" t="s">
        <v>63</v>
      </c>
      <c r="C56" s="13">
        <v>54</v>
      </c>
      <c r="D56" s="14">
        <v>44937</v>
      </c>
      <c r="E56" s="14">
        <v>44945</v>
      </c>
      <c r="P56" s="18">
        <v>1.26E-2</v>
      </c>
      <c r="Q56" s="18">
        <v>2.1840465546275891</v>
      </c>
      <c r="R56" s="21">
        <v>2.964078980186903E-2</v>
      </c>
      <c r="S56" s="21">
        <v>1.6750291727098621</v>
      </c>
      <c r="T56" s="21">
        <v>4.131463640458799</v>
      </c>
      <c r="U56" s="21">
        <v>0.1000953036151543</v>
      </c>
      <c r="Z56" s="20">
        <v>-6.4310889770580841</v>
      </c>
      <c r="AA56" s="10">
        <v>-31.045208302625571</v>
      </c>
      <c r="AB56" s="17">
        <v>3.3662150698935061</v>
      </c>
      <c r="AC56" s="18">
        <v>1.0923588507044619</v>
      </c>
      <c r="AD56" s="21">
        <v>0.1459341936537803</v>
      </c>
      <c r="AE56" s="21">
        <v>3.8180701767774772</v>
      </c>
      <c r="AF56" s="21">
        <v>2.9614264080313101E-2</v>
      </c>
      <c r="AG56" s="21"/>
      <c r="AH56" s="18">
        <v>5.4640177193869528</v>
      </c>
    </row>
    <row r="57" spans="1:34">
      <c r="A57" s="13" t="s">
        <v>62</v>
      </c>
      <c r="B57" s="13" t="s">
        <v>63</v>
      </c>
      <c r="C57" s="13">
        <v>55</v>
      </c>
      <c r="D57" s="14">
        <v>47137</v>
      </c>
      <c r="E57" s="14">
        <v>44953</v>
      </c>
      <c r="P57" s="18">
        <v>3.3933136614829877E-2</v>
      </c>
      <c r="Q57" s="18">
        <v>2.0756520389897859</v>
      </c>
      <c r="R57" s="21">
        <v>0.1008887988874281</v>
      </c>
      <c r="S57" s="21">
        <v>1.664258169353849</v>
      </c>
      <c r="T57" s="21">
        <v>4.2513168056751427</v>
      </c>
      <c r="U57" s="21">
        <v>0.1236976416754664</v>
      </c>
      <c r="Z57" s="20">
        <v>-6.4158461648275509</v>
      </c>
      <c r="AA57" s="10">
        <v>-30.234396058220799</v>
      </c>
      <c r="AB57" s="17">
        <v>3.3315184104540299</v>
      </c>
      <c r="AC57" s="18">
        <v>1.0594090935232841</v>
      </c>
      <c r="AD57" s="21">
        <v>0.13403445626648619</v>
      </c>
      <c r="AE57" s="21">
        <v>4.0296722627815189</v>
      </c>
      <c r="AF57" s="21">
        <v>3.2980684014869879E-2</v>
      </c>
      <c r="AG57" s="21"/>
      <c r="AH57" s="21">
        <v>5.4511818483870016</v>
      </c>
    </row>
    <row r="58" spans="1:34">
      <c r="A58" s="13" t="s">
        <v>62</v>
      </c>
      <c r="B58" s="13" t="s">
        <v>63</v>
      </c>
      <c r="C58" s="13">
        <v>56</v>
      </c>
      <c r="D58" s="14">
        <v>49336</v>
      </c>
      <c r="E58" s="14">
        <v>44959</v>
      </c>
      <c r="P58" s="18">
        <v>3.9549537752859021E-2</v>
      </c>
      <c r="Q58" s="18">
        <v>2.1023562742297521</v>
      </c>
      <c r="R58" s="21">
        <v>7.1030335168832059E-2</v>
      </c>
      <c r="S58" s="21">
        <v>1.555371476013869</v>
      </c>
      <c r="T58" s="21">
        <v>4.8747422669697036</v>
      </c>
      <c r="U58" s="21">
        <v>0.1172883039171318</v>
      </c>
      <c r="Z58" s="20">
        <v>-6.3544680565744587</v>
      </c>
      <c r="AA58" s="10">
        <v>-31.08940946992794</v>
      </c>
      <c r="AB58" s="17">
        <v>3.3913128888955701</v>
      </c>
      <c r="AC58" s="18">
        <v>1.096813944095939</v>
      </c>
      <c r="AD58" s="21">
        <v>0.14003077386022381</v>
      </c>
      <c r="AE58" s="21">
        <v>4.089335335484618</v>
      </c>
      <c r="AF58" s="21">
        <v>3.3591803311929701E-2</v>
      </c>
      <c r="AG58" s="21"/>
      <c r="AH58" s="21">
        <v>5.532460398399019</v>
      </c>
    </row>
    <row r="59" spans="1:34">
      <c r="A59" s="13" t="s">
        <v>62</v>
      </c>
      <c r="B59" s="13" t="s">
        <v>63</v>
      </c>
      <c r="C59" s="13">
        <v>57</v>
      </c>
      <c r="D59" s="14">
        <v>51534</v>
      </c>
      <c r="E59" s="14">
        <v>44966</v>
      </c>
      <c r="P59" s="18">
        <v>3.9614876945902787E-2</v>
      </c>
      <c r="Q59" s="18">
        <v>1.9923930347310279</v>
      </c>
      <c r="R59" s="21">
        <v>6.4916826128145463E-2</v>
      </c>
      <c r="S59" s="21">
        <v>1.6558921276630181</v>
      </c>
      <c r="T59" s="21">
        <v>4.7526417736403461</v>
      </c>
      <c r="U59" s="21">
        <v>0.1087425202393523</v>
      </c>
      <c r="Z59" s="20">
        <v>-6.3447033575341933</v>
      </c>
      <c r="AA59" s="10">
        <v>-30.29889947772358</v>
      </c>
      <c r="AB59" s="17">
        <v>3.4146955951416</v>
      </c>
      <c r="AC59" s="18">
        <v>1.1188516977863989</v>
      </c>
      <c r="AD59" s="21">
        <v>0.152709477466691</v>
      </c>
      <c r="AE59" s="21">
        <v>4.1504106556250324</v>
      </c>
      <c r="AF59" s="21">
        <v>3.378219939168637E-2</v>
      </c>
      <c r="AG59" s="21"/>
      <c r="AH59" s="21">
        <v>5.4347438342521901</v>
      </c>
    </row>
    <row r="60" spans="1:34">
      <c r="A60" s="13" t="s">
        <v>62</v>
      </c>
      <c r="B60" s="13" t="s">
        <v>63</v>
      </c>
      <c r="C60" s="13">
        <v>58</v>
      </c>
      <c r="D60" s="14">
        <v>44966</v>
      </c>
      <c r="E60" s="14">
        <v>44973</v>
      </c>
      <c r="P60" s="18">
        <v>3.5238787816118458E-2</v>
      </c>
      <c r="Q60" s="18">
        <v>1.7295551272705889</v>
      </c>
      <c r="R60" s="21">
        <v>1.1261635884550271E-2</v>
      </c>
      <c r="S60" s="21">
        <v>1.381971821218005</v>
      </c>
      <c r="T60" s="21">
        <v>3.5577506338183889</v>
      </c>
      <c r="U60" s="21">
        <v>0.1066060743199075</v>
      </c>
      <c r="Z60" s="20">
        <v>-6.6248126955598092</v>
      </c>
      <c r="AA60" s="10">
        <v>-32.713158541683107</v>
      </c>
      <c r="AB60" s="17">
        <v>3.6677084965182929</v>
      </c>
      <c r="AC60" s="18">
        <v>1.2521973798030259</v>
      </c>
      <c r="AD60" s="21">
        <v>0.14858800881969231</v>
      </c>
      <c r="AE60" s="21">
        <v>4.4886752382510107</v>
      </c>
      <c r="AF60" s="21">
        <v>3.4169580279550998E-2</v>
      </c>
      <c r="AG60" s="21"/>
      <c r="AH60" s="21">
        <v>5.6193639330278016</v>
      </c>
    </row>
    <row r="61" spans="1:34">
      <c r="A61" s="13" t="s">
        <v>62</v>
      </c>
      <c r="B61" s="13" t="s">
        <v>63</v>
      </c>
      <c r="C61" s="13">
        <v>59</v>
      </c>
      <c r="D61" s="14">
        <v>44973</v>
      </c>
      <c r="E61" s="14">
        <v>44980</v>
      </c>
      <c r="P61" s="18">
        <v>3.5369369222855759E-2</v>
      </c>
      <c r="Q61" s="18">
        <v>2.1463352926910289</v>
      </c>
      <c r="R61" s="21">
        <v>1.9129882260722979E-2</v>
      </c>
      <c r="S61" s="21">
        <v>1.7840587082744559</v>
      </c>
      <c r="T61" s="21">
        <v>4.4887077644337996</v>
      </c>
      <c r="U61" s="21">
        <v>0.1115911147986122</v>
      </c>
      <c r="Z61" s="20">
        <v>-6.3901778226062396</v>
      </c>
      <c r="AA61" s="10">
        <v>-29.686094993625652</v>
      </c>
      <c r="AB61" s="17">
        <v>3.582494767825811</v>
      </c>
      <c r="AC61" s="18">
        <v>1.223683484664011</v>
      </c>
      <c r="AD61" s="21">
        <v>0.15889402863777449</v>
      </c>
      <c r="AE61" s="21">
        <v>4.4078415576657743</v>
      </c>
      <c r="AF61" s="21">
        <v>3.3500648300520977E-2</v>
      </c>
      <c r="AG61" s="21"/>
      <c r="AH61" s="21">
        <v>5.4059793951693766</v>
      </c>
    </row>
    <row r="62" spans="1:34">
      <c r="A62" s="13" t="s">
        <v>62</v>
      </c>
      <c r="B62" s="13" t="s">
        <v>63</v>
      </c>
      <c r="C62" s="13">
        <v>60</v>
      </c>
      <c r="D62" s="14">
        <v>44980</v>
      </c>
      <c r="E62" s="14">
        <v>44987</v>
      </c>
      <c r="P62" s="18">
        <v>3.6479430738634681E-2</v>
      </c>
      <c r="Q62" s="18">
        <v>2.0939180932767258</v>
      </c>
      <c r="R62" s="21">
        <v>1.8255691680785609E-2</v>
      </c>
      <c r="S62" s="21">
        <v>1.6864916072289851</v>
      </c>
      <c r="T62" s="21">
        <v>4.6996498909909237</v>
      </c>
      <c r="U62" s="21">
        <v>0.1151518579976869</v>
      </c>
      <c r="Z62" s="20">
        <v>-6.4111585862086464</v>
      </c>
      <c r="AA62" s="10">
        <v>-30.404678601795201</v>
      </c>
      <c r="AB62" s="17">
        <v>3.5410260158584381</v>
      </c>
      <c r="AC62" s="18">
        <v>1.1957258639725881</v>
      </c>
      <c r="AD62" s="21">
        <v>0.13985366443642669</v>
      </c>
      <c r="AE62" s="21">
        <v>4.3327597706285221</v>
      </c>
      <c r="AF62" s="21">
        <v>3.3079463152351322E-2</v>
      </c>
      <c r="AG62" s="21"/>
      <c r="AH62" s="21">
        <v>5.5055061702009436</v>
      </c>
    </row>
    <row r="63" spans="1:34">
      <c r="A63" s="13" t="s">
        <v>62</v>
      </c>
      <c r="B63" s="13" t="s">
        <v>63</v>
      </c>
      <c r="C63" s="13">
        <v>61</v>
      </c>
      <c r="D63" s="14">
        <v>44987</v>
      </c>
      <c r="E63" s="14">
        <v>44994</v>
      </c>
      <c r="P63" s="18">
        <v>4.5236817011401018E-2</v>
      </c>
      <c r="Q63" s="18">
        <v>2.071032952227664</v>
      </c>
      <c r="R63" s="21">
        <v>4.4415223199404706E-3</v>
      </c>
      <c r="S63" s="21">
        <v>1.5377765013419871</v>
      </c>
      <c r="T63" s="21">
        <v>4.7744166790715186</v>
      </c>
      <c r="U63" s="21">
        <v>0.11372756071805699</v>
      </c>
      <c r="W63" s="34"/>
      <c r="Z63" s="20">
        <v>-6.5615207253592196</v>
      </c>
      <c r="AA63" s="10">
        <v>-31.576289788691081</v>
      </c>
      <c r="AB63" s="17">
        <v>3.6327959551430569</v>
      </c>
      <c r="AC63" s="18">
        <v>1.225477962241748</v>
      </c>
      <c r="AD63" s="21">
        <v>0.14460171891247259</v>
      </c>
      <c r="AE63" s="21">
        <v>4.5020601653159549</v>
      </c>
      <c r="AF63" s="21">
        <v>3.4021460472912123E-2</v>
      </c>
      <c r="AG63" s="21"/>
      <c r="AH63" s="21">
        <v>5.4912354960225578</v>
      </c>
    </row>
    <row r="64" spans="1:34">
      <c r="A64" s="13" t="s">
        <v>62</v>
      </c>
      <c r="B64" s="13" t="s">
        <v>63</v>
      </c>
      <c r="C64" s="13">
        <v>62</v>
      </c>
      <c r="D64" s="14">
        <v>44994</v>
      </c>
      <c r="E64" s="14">
        <v>45001</v>
      </c>
      <c r="P64" s="18">
        <v>3.8700195610624988E-2</v>
      </c>
      <c r="Q64" s="18">
        <v>2.0427966574765928</v>
      </c>
      <c r="R64" s="21">
        <v>2.6297688481984629E-2</v>
      </c>
      <c r="S64" s="21">
        <v>1.4595347134312291</v>
      </c>
      <c r="T64" s="21">
        <v>4.5472693215273523</v>
      </c>
      <c r="U64" s="21">
        <v>0.114439709357872</v>
      </c>
      <c r="Z64" s="20">
        <v>-6.4477429089673262</v>
      </c>
      <c r="AA64" s="10">
        <v>-30.898045754244489</v>
      </c>
      <c r="AB64" s="17">
        <v>3.5308979919296939</v>
      </c>
      <c r="AC64" s="18">
        <v>1.29219141191112</v>
      </c>
      <c r="AD64" s="21">
        <v>0.1319423574674457</v>
      </c>
      <c r="AE64" s="21">
        <v>4.7489124965023199</v>
      </c>
      <c r="AF64" s="21">
        <v>3.4558557046840258E-2</v>
      </c>
      <c r="AG64" s="21"/>
      <c r="AH64" s="21">
        <v>5.3948694023039527</v>
      </c>
    </row>
    <row r="65" spans="1:35">
      <c r="A65" s="13" t="s">
        <v>62</v>
      </c>
      <c r="B65" s="13" t="s">
        <v>63</v>
      </c>
      <c r="C65" s="13">
        <v>63</v>
      </c>
      <c r="D65" s="14">
        <v>45001</v>
      </c>
      <c r="E65" s="14">
        <v>45008</v>
      </c>
      <c r="P65" s="18">
        <v>3.5499953590794588E-2</v>
      </c>
      <c r="Q65" s="18">
        <v>2.1313634777427048</v>
      </c>
      <c r="R65" s="21">
        <v>1.52833333464322E-2</v>
      </c>
      <c r="S65" s="21">
        <v>1.4197447473178251</v>
      </c>
      <c r="T65" s="21">
        <v>5.3508012032938854</v>
      </c>
      <c r="U65" s="21">
        <v>9.8772439281942986E-2</v>
      </c>
      <c r="Z65" s="20">
        <v>-6.5957893059098147</v>
      </c>
      <c r="AA65" s="10">
        <v>-31.875900283049951</v>
      </c>
      <c r="AB65" s="17">
        <v>1.278177881983948</v>
      </c>
      <c r="AC65" s="18">
        <v>0.33446352941451862</v>
      </c>
      <c r="AD65" s="21">
        <v>6.5349812377228131E-2</v>
      </c>
      <c r="AE65" s="21">
        <v>1.691558627945899</v>
      </c>
      <c r="AF65" s="21">
        <v>1.9121614048738401E-2</v>
      </c>
      <c r="AG65" s="21"/>
      <c r="AH65" s="21">
        <v>1.4692317449145551</v>
      </c>
    </row>
    <row r="66" spans="1:35">
      <c r="A66" s="13" t="s">
        <v>62</v>
      </c>
      <c r="B66" s="13" t="s">
        <v>63</v>
      </c>
      <c r="C66" s="13">
        <v>64</v>
      </c>
      <c r="D66" s="14">
        <v>45008</v>
      </c>
      <c r="E66" s="14">
        <v>45015</v>
      </c>
      <c r="P66" s="18">
        <v>3.6022320674565227E-2</v>
      </c>
      <c r="Q66" s="18">
        <v>1.8826339317771481</v>
      </c>
      <c r="R66" s="21">
        <v>1.196108395671271E-2</v>
      </c>
      <c r="S66" s="21">
        <v>1.62486222234199</v>
      </c>
      <c r="T66" s="21">
        <v>4.470076495145733</v>
      </c>
      <c r="U66" s="21">
        <v>0.1016210338412028</v>
      </c>
      <c r="Z66" s="20">
        <v>-6.486339655783933</v>
      </c>
      <c r="AA66" s="10">
        <v>-30.645811732157512</v>
      </c>
      <c r="AB66" s="17">
        <v>3.7821910974025421</v>
      </c>
      <c r="AC66" s="18">
        <v>1.4022620294517789</v>
      </c>
      <c r="AD66" s="21">
        <v>0.17279884279439969</v>
      </c>
      <c r="AE66" s="21">
        <v>5.0173929951654799</v>
      </c>
      <c r="AF66" s="21">
        <v>3.6932009628369337E-2</v>
      </c>
      <c r="AG66" s="21"/>
      <c r="AH66" s="21">
        <v>5.568868590400279</v>
      </c>
    </row>
    <row r="67" spans="1:35">
      <c r="A67" s="13" t="s">
        <v>62</v>
      </c>
      <c r="B67" s="13" t="s">
        <v>63</v>
      </c>
      <c r="C67" s="13">
        <v>65</v>
      </c>
      <c r="D67" s="14">
        <v>45015</v>
      </c>
      <c r="E67" s="14">
        <v>45022</v>
      </c>
      <c r="P67" s="18">
        <v>3.5565246885214577E-2</v>
      </c>
      <c r="Q67" s="18">
        <v>2.162953239037138</v>
      </c>
      <c r="R67" s="21">
        <v>1.5108483426961699E-2</v>
      </c>
      <c r="S67" s="21">
        <v>1.827372465893276</v>
      </c>
      <c r="T67" s="21">
        <v>5.7282020159299449</v>
      </c>
      <c r="U67" s="21">
        <v>0.1172883039171318</v>
      </c>
      <c r="W67" s="34"/>
      <c r="Z67" s="20">
        <v>-6.4684894952935741</v>
      </c>
      <c r="AA67" s="10">
        <v>-30.88916217719013</v>
      </c>
      <c r="AB67" s="17">
        <v>4.3093159616453187</v>
      </c>
      <c r="AC67" s="18">
        <v>1.426557208016894</v>
      </c>
      <c r="AD67" s="21">
        <v>0.1804482943127157</v>
      </c>
      <c r="AE67" s="21">
        <v>5.3444036598131879</v>
      </c>
      <c r="AF67" s="21">
        <v>3.7613214772738567E-2</v>
      </c>
      <c r="AG67" s="21"/>
      <c r="AH67" s="21">
        <v>5.7097805169899036</v>
      </c>
    </row>
    <row r="68" spans="1:35">
      <c r="A68" s="13" t="s">
        <v>62</v>
      </c>
      <c r="B68" s="13" t="s">
        <v>63</v>
      </c>
      <c r="C68" s="13">
        <v>66</v>
      </c>
      <c r="D68" s="14">
        <v>45022</v>
      </c>
      <c r="E68" s="14">
        <v>45029</v>
      </c>
      <c r="P68" s="18">
        <v>3.4194243165475341E-2</v>
      </c>
      <c r="Q68" s="18">
        <v>1.887508715322114</v>
      </c>
      <c r="R68" s="21">
        <v>1.563303141485075E-2</v>
      </c>
      <c r="S68" s="21">
        <v>1.457074545706605</v>
      </c>
      <c r="T68" s="21">
        <v>5.2103763802741883</v>
      </c>
      <c r="U68" s="21">
        <v>0.11871260119676171</v>
      </c>
      <c r="Z68" s="20">
        <v>-6.5957893059098147</v>
      </c>
      <c r="AA68" s="10">
        <v>-31.773048919314821</v>
      </c>
      <c r="AB68" s="17">
        <v>3.7926554394210061</v>
      </c>
      <c r="AC68" s="18">
        <v>1.4298062390890931</v>
      </c>
      <c r="AD68" s="21">
        <v>0.1685863441303006</v>
      </c>
      <c r="AE68" s="21">
        <v>5.237600531294933</v>
      </c>
      <c r="AF68" s="21">
        <v>3.820646336850219E-2</v>
      </c>
      <c r="AG68" s="21"/>
      <c r="AH68" s="21">
        <v>5.6301522518915377</v>
      </c>
    </row>
    <row r="69" spans="1:35">
      <c r="A69" s="13" t="s">
        <v>62</v>
      </c>
      <c r="B69" s="13" t="s">
        <v>63</v>
      </c>
      <c r="C69" s="13">
        <v>67</v>
      </c>
      <c r="D69" s="14">
        <v>45029</v>
      </c>
      <c r="E69" s="14">
        <v>45036</v>
      </c>
      <c r="P69" s="18">
        <v>3.8046940635758288E-2</v>
      </c>
      <c r="Q69" s="18">
        <v>2.053920315457995</v>
      </c>
      <c r="R69" s="21">
        <v>2.1927192967265141E-2</v>
      </c>
      <c r="S69" s="21">
        <v>1.5692786640367169</v>
      </c>
      <c r="T69" s="21">
        <v>5.4880646081663116</v>
      </c>
      <c r="U69" s="21">
        <v>0.1158640066375019</v>
      </c>
      <c r="Z69" s="20">
        <v>-6.5499813053778961</v>
      </c>
      <c r="AA69" s="10">
        <v>-31.60518448619527</v>
      </c>
      <c r="AB69" s="17">
        <v>3.882783130805326</v>
      </c>
      <c r="AC69" s="18">
        <v>1.5037215311810641</v>
      </c>
      <c r="AD69" s="21">
        <v>0.19493135592055891</v>
      </c>
      <c r="AE69" s="21">
        <v>5.5791569892520592</v>
      </c>
      <c r="AF69" s="21">
        <v>3.9952308384975058E-2</v>
      </c>
      <c r="AG69" s="21"/>
      <c r="AH69" s="21">
        <v>5.7012099559349423</v>
      </c>
    </row>
    <row r="70" spans="1:35">
      <c r="A70" s="13" t="s">
        <v>62</v>
      </c>
      <c r="B70" s="13" t="s">
        <v>63</v>
      </c>
      <c r="C70" s="13">
        <v>68</v>
      </c>
      <c r="D70" s="14">
        <v>45036</v>
      </c>
      <c r="E70" s="14">
        <v>45043</v>
      </c>
      <c r="P70" s="18">
        <v>3.4520643010540773E-2</v>
      </c>
      <c r="Q70" s="18">
        <v>1.977664919347629</v>
      </c>
      <c r="R70" s="21">
        <v>1.8430530977121391E-2</v>
      </c>
      <c r="S70" s="21">
        <v>1.7038215507908709</v>
      </c>
      <c r="T70" s="21">
        <v>5.2986802966540179</v>
      </c>
      <c r="U70" s="21">
        <v>0.14007706039121029</v>
      </c>
      <c r="Z70" s="20">
        <v>-6.5503309847712696</v>
      </c>
      <c r="AA70" s="10">
        <v>-31.251224441769001</v>
      </c>
      <c r="AB70" s="17">
        <v>3.9305818969936128</v>
      </c>
      <c r="AC70" s="18">
        <v>1.527472531028363</v>
      </c>
      <c r="AD70" s="21">
        <v>0.20241958021828971</v>
      </c>
      <c r="AE70" s="21">
        <v>5.6214685617663092</v>
      </c>
      <c r="AF70" s="21">
        <v>3.9341100609860361E-2</v>
      </c>
      <c r="AG70" s="21"/>
      <c r="AH70" s="21">
        <v>5.8465416027442334</v>
      </c>
    </row>
    <row r="71" spans="1:35">
      <c r="A71" s="13" t="s">
        <v>62</v>
      </c>
      <c r="B71" s="13" t="s">
        <v>63</v>
      </c>
      <c r="C71" s="13">
        <v>69</v>
      </c>
      <c r="D71" s="14">
        <v>45043</v>
      </c>
      <c r="E71" s="14">
        <v>45050</v>
      </c>
      <c r="P71" s="18">
        <v>2.46E-2</v>
      </c>
      <c r="Q71" s="18">
        <v>2.3533503910654821</v>
      </c>
      <c r="R71" s="21">
        <v>0.15939999999999999</v>
      </c>
      <c r="S71" s="21">
        <v>1.9525358799999319</v>
      </c>
      <c r="T71" s="21">
        <v>6.6133681239146203</v>
      </c>
      <c r="U71" s="21">
        <v>0.1022637430881493</v>
      </c>
      <c r="Z71" s="20">
        <v>-6.5288154164831411</v>
      </c>
      <c r="AA71" s="10">
        <v>-34.957089345172143</v>
      </c>
      <c r="AB71" s="17">
        <v>1.305150845262667</v>
      </c>
      <c r="AC71" s="18">
        <v>0.10888764603960099</v>
      </c>
      <c r="AD71" s="21">
        <v>0.44230825634289223</v>
      </c>
      <c r="AE71" s="21">
        <v>0.8337825640855846</v>
      </c>
      <c r="AF71" s="21">
        <v>1.6205618046329851E-2</v>
      </c>
      <c r="AG71" s="21"/>
      <c r="AH71" s="21">
        <v>5.1406095859016654</v>
      </c>
    </row>
    <row r="72" spans="1:35">
      <c r="A72" s="13" t="s">
        <v>62</v>
      </c>
      <c r="B72" s="13" t="s">
        <v>63</v>
      </c>
      <c r="C72" s="13">
        <v>70</v>
      </c>
      <c r="D72" s="14">
        <v>45050</v>
      </c>
      <c r="E72" s="14">
        <v>45057</v>
      </c>
      <c r="P72" s="18">
        <v>1.8800000000000001E-2</v>
      </c>
      <c r="Q72" s="18">
        <v>2.0527938774137402</v>
      </c>
      <c r="R72" s="21">
        <v>1.67E-2</v>
      </c>
      <c r="S72" s="21">
        <v>1.871728186790927</v>
      </c>
      <c r="T72" s="21">
        <v>5.7854977496828592</v>
      </c>
      <c r="U72" s="21">
        <v>8.0396276600282202E-2</v>
      </c>
      <c r="Z72" s="20">
        <v>-6.8319685904925613</v>
      </c>
      <c r="AA72" s="10">
        <v>-35.094110284701713</v>
      </c>
      <c r="AB72" s="17">
        <v>3.557461311438896</v>
      </c>
      <c r="AC72" s="18">
        <v>1.2739262051621001</v>
      </c>
      <c r="AD72" s="21">
        <v>0.18744617356291371</v>
      </c>
      <c r="AE72" s="21">
        <v>4.8355302287320319</v>
      </c>
      <c r="AF72" s="21">
        <v>3.6368264768330487E-2</v>
      </c>
      <c r="AG72" s="21"/>
      <c r="AH72" s="21">
        <v>4.782868090339405</v>
      </c>
    </row>
    <row r="73" spans="1:35">
      <c r="A73" s="13" t="s">
        <v>62</v>
      </c>
      <c r="B73" s="13" t="s">
        <v>63</v>
      </c>
      <c r="C73" s="13">
        <v>71</v>
      </c>
      <c r="D73" s="14">
        <v>45057</v>
      </c>
      <c r="E73" s="14">
        <v>45064</v>
      </c>
      <c r="P73" s="18">
        <v>6.7000000000000002E-3</v>
      </c>
      <c r="Q73" s="18">
        <v>0.68776641327704024</v>
      </c>
      <c r="R73" s="21">
        <v>6.4000000000000003E-3</v>
      </c>
      <c r="S73" s="21">
        <v>0.37076603523817092</v>
      </c>
      <c r="T73" s="21">
        <v>1.701363514774153</v>
      </c>
      <c r="U73" s="21">
        <v>5.1239654616459483E-2</v>
      </c>
      <c r="Z73" s="20">
        <v>-6.8205018037687992</v>
      </c>
      <c r="AA73" s="10">
        <v>-34.357972277943382</v>
      </c>
      <c r="AB73" s="17">
        <v>4.1242261827641569</v>
      </c>
      <c r="AC73" s="18">
        <v>1.526094100295277</v>
      </c>
      <c r="AD73" s="21">
        <v>0.20200028834185099</v>
      </c>
      <c r="AE73" s="21">
        <v>5.8292091510081621</v>
      </c>
      <c r="AF73" s="21">
        <v>4.1233922577141133E-2</v>
      </c>
      <c r="AG73" s="21"/>
      <c r="AH73" s="21">
        <v>5.6313674996743268</v>
      </c>
    </row>
    <row r="74" spans="1:35">
      <c r="A74" s="13" t="s">
        <v>62</v>
      </c>
      <c r="B74" s="13" t="s">
        <v>63</v>
      </c>
      <c r="C74" s="13">
        <v>72</v>
      </c>
      <c r="D74" s="14">
        <v>45064</v>
      </c>
      <c r="E74" s="14">
        <v>45071</v>
      </c>
      <c r="P74" s="18">
        <v>2.41E-2</v>
      </c>
      <c r="Q74" s="18">
        <v>2.1861122102945321</v>
      </c>
      <c r="R74" s="21">
        <v>2.06E-2</v>
      </c>
      <c r="S74" s="21">
        <v>2.348708456677159</v>
      </c>
      <c r="T74" s="21">
        <v>5.9620290683904669</v>
      </c>
      <c r="U74" s="21">
        <v>0.1004414542141603</v>
      </c>
      <c r="AC74" s="18"/>
      <c r="AD74" s="21"/>
      <c r="AE74" s="21"/>
      <c r="AF74" s="21"/>
      <c r="AG74" s="21"/>
      <c r="AH74" s="21"/>
      <c r="AI74" s="17" t="s">
        <v>65</v>
      </c>
    </row>
    <row r="75" spans="1:35">
      <c r="A75" s="13" t="s">
        <v>62</v>
      </c>
      <c r="B75" s="13" t="s">
        <v>63</v>
      </c>
      <c r="C75" s="13">
        <v>73</v>
      </c>
      <c r="D75" s="14">
        <v>45071</v>
      </c>
      <c r="E75" s="14">
        <v>45078</v>
      </c>
      <c r="P75" s="18">
        <v>2.35E-2</v>
      </c>
      <c r="Q75" s="18">
        <v>2.2674256709536418</v>
      </c>
      <c r="R75" s="21">
        <v>1.5900000000000001E-2</v>
      </c>
      <c r="S75" s="21">
        <v>2.298060733712838</v>
      </c>
      <c r="T75" s="21">
        <v>5.6303000216635439</v>
      </c>
      <c r="U75" s="21">
        <v>9.451901537369635E-2</v>
      </c>
      <c r="Z75" s="20">
        <v>-6.1998619723452606</v>
      </c>
      <c r="AA75" s="10">
        <v>-31.941929589095508</v>
      </c>
      <c r="AB75" s="17">
        <v>3.1748188715082191</v>
      </c>
      <c r="AC75" s="18">
        <v>0.95172963913309705</v>
      </c>
      <c r="AD75" s="21">
        <v>3.0661850104451629</v>
      </c>
      <c r="AE75" s="21">
        <v>3.3439154984407709</v>
      </c>
      <c r="AF75" s="21">
        <v>2.8643758207309241E-2</v>
      </c>
      <c r="AG75" s="21"/>
      <c r="AH75" s="21">
        <v>3.4194357706840748</v>
      </c>
    </row>
    <row r="76" spans="1:35">
      <c r="A76" s="13" t="s">
        <v>62</v>
      </c>
      <c r="B76" s="13" t="s">
        <v>63</v>
      </c>
      <c r="C76" s="13">
        <v>74</v>
      </c>
      <c r="D76" s="14">
        <v>45078</v>
      </c>
      <c r="E76" s="14">
        <v>45085</v>
      </c>
      <c r="P76" s="18">
        <v>0.02</v>
      </c>
      <c r="Q76" s="18">
        <v>1.992169674248131</v>
      </c>
      <c r="R76" s="21">
        <v>1.06E-2</v>
      </c>
      <c r="S76" s="21">
        <v>1.8149320941214451</v>
      </c>
      <c r="T76" s="21">
        <v>3.843720962527128</v>
      </c>
      <c r="U76" s="21">
        <v>0.1118307596765911</v>
      </c>
      <c r="Z76" s="20">
        <v>-6.3765221553081961</v>
      </c>
      <c r="AA76" s="10">
        <v>-31.67138314216724</v>
      </c>
      <c r="AB76" s="17">
        <v>3.2825235820112542</v>
      </c>
      <c r="AC76" s="18">
        <v>1.0315751211354061</v>
      </c>
      <c r="AD76" s="21">
        <v>0.20505164713663179</v>
      </c>
      <c r="AE76" s="21">
        <v>3.7956687850379338</v>
      </c>
      <c r="AF76" s="21">
        <v>3.1537447913334557E-2</v>
      </c>
      <c r="AG76" s="21"/>
      <c r="AH76" s="21">
        <v>5.2303374788943877</v>
      </c>
    </row>
    <row r="77" spans="1:35">
      <c r="A77" s="13" t="s">
        <v>62</v>
      </c>
      <c r="B77" s="13" t="s">
        <v>63</v>
      </c>
      <c r="C77" s="13">
        <v>75</v>
      </c>
      <c r="D77" s="14">
        <v>45085</v>
      </c>
      <c r="E77" s="14">
        <v>45092</v>
      </c>
      <c r="P77" s="18">
        <v>0.02</v>
      </c>
      <c r="Q77" s="18">
        <v>2.020489415491542</v>
      </c>
      <c r="R77" s="21">
        <v>9.4000000000000004E-3</v>
      </c>
      <c r="S77" s="21">
        <v>1.758646965876967</v>
      </c>
      <c r="T77" s="21">
        <v>3.6052193961154062</v>
      </c>
      <c r="U77" s="21">
        <v>6.4451248952879153E-2</v>
      </c>
      <c r="Z77" s="20">
        <v>-6.5589157316330109</v>
      </c>
      <c r="AA77" s="10">
        <v>-33.030407154644159</v>
      </c>
      <c r="AB77" s="17">
        <v>3.388875945075192</v>
      </c>
      <c r="AC77" s="18">
        <v>1.005941284386884</v>
      </c>
      <c r="AD77" s="21">
        <v>0.1799176038557469</v>
      </c>
      <c r="AE77" s="21">
        <v>3.7088631408075958</v>
      </c>
      <c r="AF77" s="21">
        <v>3.1290739667500511E-2</v>
      </c>
      <c r="AG77" s="21"/>
      <c r="AH77" s="21">
        <v>5.3420587133416237</v>
      </c>
      <c r="AI77" s="35"/>
    </row>
    <row r="78" spans="1:35">
      <c r="A78" s="13" t="s">
        <v>62</v>
      </c>
      <c r="B78" s="13" t="s">
        <v>63</v>
      </c>
      <c r="C78" s="13">
        <v>76</v>
      </c>
      <c r="D78" s="14">
        <v>45092</v>
      </c>
      <c r="E78" s="14">
        <v>45098</v>
      </c>
      <c r="P78" s="18">
        <v>1.83E-2</v>
      </c>
      <c r="Q78" s="18">
        <v>2.1025340568855819</v>
      </c>
      <c r="R78" s="21">
        <v>0.1394</v>
      </c>
      <c r="S78" s="21">
        <v>1.6087004335776069</v>
      </c>
      <c r="T78" s="21">
        <v>4.734185929196796</v>
      </c>
      <c r="U78" s="21">
        <v>0.1610810971070693</v>
      </c>
      <c r="Z78" s="20">
        <v>-6.7069089477865482</v>
      </c>
      <c r="AA78" s="10">
        <v>-35.037134740968753</v>
      </c>
      <c r="AB78" s="17">
        <v>3.6580501147624749</v>
      </c>
      <c r="AC78" s="18">
        <v>1.1222121999509851</v>
      </c>
      <c r="AD78" s="21">
        <v>0.1849884558508765</v>
      </c>
      <c r="AE78" s="21">
        <v>4.1258549534208031</v>
      </c>
      <c r="AF78" s="21">
        <v>3.3503077712947797E-2</v>
      </c>
      <c r="AG78" s="21"/>
      <c r="AH78" s="21">
        <v>5.6493732064423616</v>
      </c>
    </row>
    <row r="79" spans="1:35">
      <c r="A79" s="13" t="s">
        <v>62</v>
      </c>
      <c r="B79" s="13" t="s">
        <v>63</v>
      </c>
      <c r="C79" s="13">
        <v>77</v>
      </c>
      <c r="D79" s="14">
        <v>45098</v>
      </c>
      <c r="E79" s="14">
        <v>45104</v>
      </c>
      <c r="P79" s="18">
        <v>1.54E-2</v>
      </c>
      <c r="Q79" s="18">
        <v>2.1339268127404232</v>
      </c>
      <c r="R79" s="21" t="s">
        <v>50</v>
      </c>
      <c r="S79" s="21">
        <v>1.654065076222397</v>
      </c>
      <c r="T79" s="21">
        <v>4.6464876018987926</v>
      </c>
      <c r="U79" s="21">
        <v>0.16499231681230761</v>
      </c>
      <c r="Z79" s="20">
        <v>-6.7646012184904674</v>
      </c>
      <c r="AA79" s="10">
        <v>-35.046572407722067</v>
      </c>
      <c r="AB79" s="17">
        <v>3.7718846417440548</v>
      </c>
      <c r="AC79" s="18">
        <v>1.223126635392114</v>
      </c>
      <c r="AD79" s="21">
        <v>0.1912111195358222</v>
      </c>
      <c r="AE79" s="21">
        <v>4.5107301577619348</v>
      </c>
      <c r="AF79" s="21">
        <v>3.5515400636357837E-2</v>
      </c>
      <c r="AG79" s="21"/>
      <c r="AH79" s="21">
        <v>5.7522608270293567</v>
      </c>
    </row>
    <row r="80" spans="1:35">
      <c r="A80" s="13" t="s">
        <v>62</v>
      </c>
      <c r="B80" s="13" t="s">
        <v>63</v>
      </c>
      <c r="C80" s="13">
        <v>78</v>
      </c>
      <c r="D80" s="14">
        <v>45104</v>
      </c>
      <c r="E80" s="14">
        <v>45111</v>
      </c>
      <c r="P80" s="18">
        <v>1.54E-2</v>
      </c>
      <c r="Q80" s="18">
        <v>2.0226218679416852</v>
      </c>
      <c r="R80" s="21">
        <v>2.7799999999999998E-2</v>
      </c>
      <c r="S80" s="21">
        <v>1.9491325936545481</v>
      </c>
      <c r="T80" s="21">
        <v>4.5796931894666706</v>
      </c>
      <c r="U80" s="21">
        <v>0.16542689677955641</v>
      </c>
      <c r="Z80" s="20">
        <v>-6.9351696710064044</v>
      </c>
      <c r="AA80" s="10">
        <v>-36.053606404621767</v>
      </c>
      <c r="AB80" s="17">
        <v>3.7448786049188731</v>
      </c>
      <c r="AC80" s="18">
        <v>1.2364899653577479</v>
      </c>
      <c r="AD80" s="21">
        <v>0.19182918506899299</v>
      </c>
      <c r="AE80" s="21">
        <v>4.6481403944273936</v>
      </c>
      <c r="AF80" s="21">
        <v>3.5690288437246753E-2</v>
      </c>
      <c r="AG80" s="21"/>
      <c r="AH80" s="21">
        <v>5.5848204279056164</v>
      </c>
    </row>
    <row r="81" spans="1:36">
      <c r="A81" s="13" t="s">
        <v>62</v>
      </c>
      <c r="B81" s="13" t="s">
        <v>63</v>
      </c>
      <c r="C81" s="13">
        <v>79</v>
      </c>
      <c r="D81" s="14">
        <v>45104</v>
      </c>
      <c r="E81" s="14">
        <v>45117</v>
      </c>
      <c r="Z81" s="20">
        <v>-6.0639762284679097</v>
      </c>
      <c r="AA81" s="10">
        <v>-29.736618484961468</v>
      </c>
      <c r="AC81" s="18"/>
      <c r="AD81" s="21"/>
      <c r="AE81" s="21"/>
      <c r="AF81" s="21"/>
      <c r="AG81" s="21"/>
      <c r="AH81" s="21"/>
    </row>
    <row r="82" spans="1:36">
      <c r="A82" s="13" t="s">
        <v>62</v>
      </c>
      <c r="B82" s="13" t="s">
        <v>63</v>
      </c>
      <c r="C82" s="13">
        <v>80</v>
      </c>
      <c r="D82" s="14">
        <v>45111</v>
      </c>
      <c r="E82" s="14">
        <v>45125</v>
      </c>
      <c r="P82" s="18">
        <v>1.9199999999999998E-2</v>
      </c>
      <c r="Q82" s="18">
        <v>1.978032885333473</v>
      </c>
      <c r="R82" s="21">
        <v>6.9099999999999995E-2</v>
      </c>
      <c r="S82" s="21">
        <v>1.5864285144229751</v>
      </c>
      <c r="T82" s="21">
        <v>4.823934951099317</v>
      </c>
      <c r="U82" s="21">
        <v>0.13587545900664461</v>
      </c>
      <c r="Z82" s="20">
        <v>-6.7975682303212794</v>
      </c>
      <c r="AA82" s="10">
        <v>-35.36850170697393</v>
      </c>
      <c r="AB82" s="17">
        <v>3.8975869993826282</v>
      </c>
      <c r="AC82" s="18">
        <v>1.326315798769369</v>
      </c>
      <c r="AD82" s="21">
        <v>0.20782671398611999</v>
      </c>
      <c r="AE82" s="21">
        <v>4.9701502148298022</v>
      </c>
      <c r="AF82" s="21">
        <v>3.734613795896248E-2</v>
      </c>
      <c r="AG82" s="21"/>
      <c r="AH82" s="21">
        <v>5.8053787283026619</v>
      </c>
    </row>
    <row r="83" spans="1:36">
      <c r="A83" s="13" t="s">
        <v>62</v>
      </c>
      <c r="B83" s="13" t="s">
        <v>63</v>
      </c>
      <c r="C83" s="13">
        <v>81</v>
      </c>
      <c r="D83" s="14">
        <v>45125</v>
      </c>
      <c r="E83" s="14">
        <v>45132</v>
      </c>
      <c r="P83" s="18">
        <v>2.3400000000000001E-2</v>
      </c>
      <c r="Q83" s="18">
        <v>2.1362147758751462</v>
      </c>
      <c r="R83" s="21" t="s">
        <v>50</v>
      </c>
      <c r="S83" s="21">
        <v>1.831237189758256</v>
      </c>
      <c r="T83" s="21">
        <v>5.1677242036630524</v>
      </c>
      <c r="U83" s="21">
        <v>0.14587079825336469</v>
      </c>
      <c r="Z83" s="20">
        <v>-6.7771430164695801</v>
      </c>
      <c r="AA83" s="10">
        <v>-35.900506477290257</v>
      </c>
      <c r="AB83" s="17">
        <v>3.8842986756286968</v>
      </c>
      <c r="AC83" s="18">
        <v>1.3485359421429211</v>
      </c>
      <c r="AD83" s="21">
        <v>0.2199018639223346</v>
      </c>
      <c r="AE83" s="21">
        <v>5.001258101006913</v>
      </c>
      <c r="AF83" s="21">
        <v>3.7458649852616897E-2</v>
      </c>
      <c r="AG83" s="21"/>
      <c r="AH83" s="21">
        <v>5.8263078119592979</v>
      </c>
    </row>
    <row r="84" spans="1:36">
      <c r="A84" s="13" t="s">
        <v>62</v>
      </c>
      <c r="B84" s="13" t="s">
        <v>63</v>
      </c>
      <c r="C84" s="13">
        <v>82</v>
      </c>
      <c r="D84" s="14">
        <v>45132</v>
      </c>
      <c r="E84" s="14">
        <v>45139</v>
      </c>
      <c r="P84" s="18">
        <v>1.8599999999999998E-2</v>
      </c>
      <c r="Q84" s="18">
        <v>1.7524799719027191</v>
      </c>
      <c r="R84" s="21">
        <v>2.6800000000000001E-2</v>
      </c>
      <c r="S84" s="21">
        <v>1.443547243866528</v>
      </c>
      <c r="T84" s="21">
        <v>3.1291414689947761</v>
      </c>
      <c r="U84" s="21">
        <v>0.1197960002184426</v>
      </c>
      <c r="Z84" s="20">
        <v>-6.6603251267212702</v>
      </c>
      <c r="AA84" s="10">
        <v>-34.212911844512853</v>
      </c>
      <c r="AB84" s="17">
        <v>3.4650021795994368</v>
      </c>
      <c r="AC84" s="18">
        <v>1.0594112554887241</v>
      </c>
      <c r="AD84" s="21">
        <v>0.2324456723549399</v>
      </c>
      <c r="AE84" s="21">
        <v>3.77645751368892</v>
      </c>
      <c r="AF84" s="21">
        <v>3.1822797418406393E-2</v>
      </c>
      <c r="AG84" s="21"/>
      <c r="AH84" s="21">
        <v>5.4569107337384564</v>
      </c>
    </row>
    <row r="85" spans="1:36">
      <c r="A85" s="13" t="s">
        <v>62</v>
      </c>
      <c r="B85" s="13" t="s">
        <v>63</v>
      </c>
      <c r="C85" s="13">
        <v>83</v>
      </c>
      <c r="D85" s="14">
        <v>45139</v>
      </c>
      <c r="E85" s="14">
        <v>45146</v>
      </c>
      <c r="P85" s="18">
        <v>1.7000000000000001E-2</v>
      </c>
      <c r="Q85" s="18">
        <v>1.9529982808469639</v>
      </c>
      <c r="R85" s="21">
        <v>0.1148</v>
      </c>
      <c r="S85" s="21">
        <v>1.3885994934153969</v>
      </c>
      <c r="T85" s="21">
        <v>4.3447776982767294</v>
      </c>
      <c r="U85" s="21">
        <v>0.136477903228264</v>
      </c>
      <c r="V85" s="21">
        <v>0.17749847562106</v>
      </c>
      <c r="Z85" s="20">
        <v>-6.3672954668169348</v>
      </c>
      <c r="AA85" s="10">
        <v>-31.17115232953234</v>
      </c>
      <c r="AB85" s="17">
        <v>3.4300264618701881</v>
      </c>
      <c r="AC85" s="18">
        <v>1.2031575044305569</v>
      </c>
      <c r="AD85" s="21">
        <v>0.17918725399090349</v>
      </c>
      <c r="AE85" s="21">
        <v>4.397467335267903</v>
      </c>
      <c r="AF85" s="21">
        <v>3.2920900338308912E-2</v>
      </c>
      <c r="AG85" s="21"/>
      <c r="AH85" s="21">
        <v>5.7166348864223533</v>
      </c>
    </row>
    <row r="86" spans="1:36">
      <c r="A86" s="13" t="s">
        <v>62</v>
      </c>
      <c r="B86" s="13" t="s">
        <v>63</v>
      </c>
      <c r="C86" s="13">
        <v>84</v>
      </c>
      <c r="D86" s="14">
        <v>45146</v>
      </c>
      <c r="E86" s="14">
        <v>45153</v>
      </c>
      <c r="P86" s="18">
        <v>1.8100000000000002E-2</v>
      </c>
      <c r="Q86" s="18">
        <v>2.106610753933734</v>
      </c>
      <c r="R86" s="21" t="s">
        <v>50</v>
      </c>
      <c r="S86" s="21">
        <v>1.809815794052027</v>
      </c>
      <c r="T86" s="21">
        <v>4.6187390148714531</v>
      </c>
      <c r="U86" s="21">
        <v>0.1310950793669089</v>
      </c>
      <c r="Z86" s="20">
        <v>-6.5336518705548174</v>
      </c>
      <c r="AA86" s="10">
        <v>-31.8897906190894</v>
      </c>
      <c r="AB86" s="17">
        <v>3.652562051558836</v>
      </c>
      <c r="AC86" s="18">
        <v>1.191388686339877</v>
      </c>
      <c r="AD86" s="21">
        <v>0.22170445819171691</v>
      </c>
      <c r="AE86" s="21">
        <v>4.4250092431189598</v>
      </c>
      <c r="AF86" s="21">
        <v>3.3250493711349083E-2</v>
      </c>
      <c r="AG86" s="21"/>
      <c r="AH86" s="21">
        <v>5.6103806122156614</v>
      </c>
    </row>
    <row r="87" spans="1:36">
      <c r="A87" s="13" t="s">
        <v>62</v>
      </c>
      <c r="B87" s="13" t="s">
        <v>63</v>
      </c>
      <c r="C87" s="13">
        <v>85</v>
      </c>
      <c r="D87" s="14">
        <v>45153</v>
      </c>
      <c r="E87" s="14">
        <v>45159</v>
      </c>
      <c r="P87" s="18">
        <v>2.9000000000000001E-2</v>
      </c>
      <c r="Q87" s="18">
        <v>1.705547924551809</v>
      </c>
      <c r="R87" s="21" t="s">
        <v>50</v>
      </c>
      <c r="S87" s="21">
        <v>1.391017549836868</v>
      </c>
      <c r="T87" s="21">
        <v>3.6778223644788088</v>
      </c>
      <c r="U87" s="21">
        <v>0.12515851818959489</v>
      </c>
      <c r="V87" s="21">
        <v>2.0774224485629929E-3</v>
      </c>
      <c r="AC87" s="18"/>
      <c r="AD87" s="21"/>
      <c r="AE87" s="21"/>
      <c r="AF87" s="21"/>
      <c r="AG87" s="21"/>
      <c r="AH87" s="21"/>
    </row>
    <row r="88" spans="1:36" s="39" customFormat="1" ht="16.2">
      <c r="A88" s="36" t="s">
        <v>62</v>
      </c>
      <c r="B88" s="36" t="s">
        <v>63</v>
      </c>
      <c r="C88" s="36">
        <v>86</v>
      </c>
      <c r="D88" s="37">
        <v>45159</v>
      </c>
      <c r="E88" s="37">
        <v>45167</v>
      </c>
      <c r="F88" s="38"/>
      <c r="K88" s="40"/>
      <c r="M88" s="36"/>
      <c r="N88" s="36"/>
      <c r="O88" s="36"/>
      <c r="P88" s="41">
        <v>1.6400000000000001E-2</v>
      </c>
      <c r="Q88" s="41">
        <v>2.088016842453853</v>
      </c>
      <c r="R88" s="42">
        <v>9.69E-2</v>
      </c>
      <c r="S88" s="42">
        <v>1.6662752408746251</v>
      </c>
      <c r="T88" s="42">
        <v>5.0396263402052677</v>
      </c>
      <c r="U88" s="42">
        <v>0.14522470075814459</v>
      </c>
      <c r="V88" s="42">
        <v>3.2553113889547652E-2</v>
      </c>
      <c r="W88" s="41"/>
      <c r="X88" s="43"/>
      <c r="Y88" s="43"/>
      <c r="Z88" s="40">
        <v>-6.4832978052748658</v>
      </c>
      <c r="AA88" s="44">
        <v>-31.96814916801603</v>
      </c>
      <c r="AB88" s="40">
        <v>3.535931888982554</v>
      </c>
      <c r="AC88" s="41">
        <v>1.327556648407336</v>
      </c>
      <c r="AD88" s="42">
        <v>0.1605053581842408</v>
      </c>
      <c r="AE88" s="42">
        <v>4.8740685557705676</v>
      </c>
      <c r="AF88" s="42">
        <v>3.6415919147066579E-2</v>
      </c>
      <c r="AG88" s="42"/>
      <c r="AH88" s="42">
        <v>5.7491679681700054</v>
      </c>
      <c r="AI88" s="45"/>
      <c r="AJ88" s="40"/>
    </row>
    <row r="89" spans="1:36">
      <c r="A89" s="13" t="s">
        <v>146</v>
      </c>
      <c r="B89" s="13" t="s">
        <v>63</v>
      </c>
      <c r="C89" s="13">
        <v>87</v>
      </c>
      <c r="D89" s="14">
        <v>45167</v>
      </c>
      <c r="E89" s="14">
        <v>45175</v>
      </c>
      <c r="P89" s="18">
        <v>1.9099999999999999E-2</v>
      </c>
      <c r="Q89" s="18">
        <v>1.995887841595124</v>
      </c>
      <c r="R89" s="21">
        <v>0.1847</v>
      </c>
      <c r="S89" s="21">
        <v>2.0933307034703699</v>
      </c>
      <c r="T89" s="21">
        <v>3.5464181071441891</v>
      </c>
      <c r="U89" s="21">
        <v>0.1200133431720181</v>
      </c>
      <c r="V89" s="21">
        <v>0.1046541399816333</v>
      </c>
      <c r="Z89" s="20">
        <v>-6.4251170658625281</v>
      </c>
      <c r="AA89" s="10">
        <v>-32.613071336224493</v>
      </c>
      <c r="AB89" s="17">
        <v>2.9111072090160648</v>
      </c>
      <c r="AC89" s="18">
        <v>0.97311514910179697</v>
      </c>
      <c r="AD89" s="21">
        <v>0.17486857320036209</v>
      </c>
      <c r="AE89" s="21">
        <v>3.3923765094001328</v>
      </c>
      <c r="AF89" s="21">
        <v>2.672471741671573E-2</v>
      </c>
      <c r="AG89" s="21"/>
      <c r="AH89" s="21">
        <v>4.9011963123533429</v>
      </c>
    </row>
    <row r="90" spans="1:36" ht="16.2">
      <c r="A90" s="13" t="s">
        <v>146</v>
      </c>
      <c r="B90" s="13" t="s">
        <v>63</v>
      </c>
      <c r="C90" s="13">
        <v>88</v>
      </c>
      <c r="D90" s="14">
        <v>45175</v>
      </c>
      <c r="E90" s="14">
        <v>45182</v>
      </c>
      <c r="P90" s="18">
        <v>1.7999999999999999E-2</v>
      </c>
      <c r="Q90" s="18">
        <v>2.0644670627670338</v>
      </c>
      <c r="R90" s="21">
        <v>4.1000000000000002E-2</v>
      </c>
      <c r="S90" s="21">
        <v>1.634120402521779</v>
      </c>
      <c r="T90" s="21">
        <v>3.3419976690064379</v>
      </c>
      <c r="U90" s="21">
        <v>0.13081821070892949</v>
      </c>
      <c r="V90" s="21">
        <v>6.1542186235850123E-2</v>
      </c>
      <c r="Z90" s="20">
        <v>-6.3543664136141933</v>
      </c>
      <c r="AA90" s="10">
        <v>-31.769684747404561</v>
      </c>
      <c r="AB90" s="17">
        <v>3.09440585987572</v>
      </c>
      <c r="AC90" s="18">
        <v>0.93714738385914476</v>
      </c>
      <c r="AD90" s="21">
        <v>0.14816998249506569</v>
      </c>
      <c r="AE90" s="21">
        <v>3.2299223229248049</v>
      </c>
      <c r="AF90" s="21">
        <v>2.5920150545611729E-2</v>
      </c>
      <c r="AG90" s="21"/>
      <c r="AH90" s="21">
        <v>5.3842691256792232</v>
      </c>
      <c r="AI90" s="46"/>
    </row>
    <row r="91" spans="1:36">
      <c r="A91" s="13" t="s">
        <v>146</v>
      </c>
      <c r="B91" s="13" t="s">
        <v>63</v>
      </c>
      <c r="C91" s="13">
        <v>89</v>
      </c>
      <c r="D91" s="14">
        <v>45182</v>
      </c>
      <c r="E91" s="14">
        <v>45189</v>
      </c>
      <c r="P91" s="18">
        <v>1.54E-2</v>
      </c>
      <c r="Q91" s="18">
        <v>2.0917312959841441</v>
      </c>
      <c r="R91" s="21">
        <v>4.41E-2</v>
      </c>
      <c r="S91" s="21">
        <v>1.5489263447969499</v>
      </c>
      <c r="T91" s="21">
        <v>4.1139320711169329</v>
      </c>
      <c r="U91" s="21">
        <v>0.1472827707651754</v>
      </c>
      <c r="V91" s="21">
        <v>1.843023249006695E-2</v>
      </c>
      <c r="Z91" s="20">
        <v>-6.405364345691674</v>
      </c>
      <c r="AA91" s="10">
        <v>-31.916527490950131</v>
      </c>
      <c r="AB91" s="17">
        <v>3.3671603194986748</v>
      </c>
      <c r="AC91" s="18">
        <v>1.122469903216148</v>
      </c>
      <c r="AD91" s="21">
        <v>0.16972531457670709</v>
      </c>
      <c r="AE91" s="21">
        <v>3.9870083263200149</v>
      </c>
      <c r="AF91" s="21">
        <v>3.0476763795754581E-2</v>
      </c>
      <c r="AG91" s="21"/>
      <c r="AH91" s="21">
        <v>5.6098210154472863</v>
      </c>
    </row>
    <row r="92" spans="1:36">
      <c r="A92" s="13" t="s">
        <v>146</v>
      </c>
      <c r="B92" s="13" t="s">
        <v>63</v>
      </c>
      <c r="C92" s="13">
        <v>90</v>
      </c>
      <c r="D92" s="14">
        <v>45189</v>
      </c>
      <c r="E92" s="14">
        <v>45196</v>
      </c>
      <c r="P92" s="18">
        <v>1.46E-2</v>
      </c>
      <c r="Q92" s="18">
        <v>2.0004599776788572</v>
      </c>
      <c r="R92" s="21" t="s">
        <v>50</v>
      </c>
      <c r="S92" s="21">
        <v>1.5123306585679039</v>
      </c>
      <c r="T92" s="21">
        <v>4.2100216898488103</v>
      </c>
      <c r="U92" s="21">
        <v>0.1344198332212333</v>
      </c>
      <c r="V92" s="21" t="s">
        <v>50</v>
      </c>
      <c r="Z92" s="20">
        <v>-6.4660590676712104</v>
      </c>
      <c r="AA92" s="10">
        <v>-32.052557585921093</v>
      </c>
      <c r="AB92" s="17">
        <v>3.4409866322657781</v>
      </c>
      <c r="AC92" s="18">
        <v>1.2367559893694651</v>
      </c>
      <c r="AD92" s="21">
        <v>0.15892377171987179</v>
      </c>
      <c r="AE92" s="21">
        <v>4.5039009001465606</v>
      </c>
      <c r="AF92" s="21">
        <v>3.4003340072391641E-2</v>
      </c>
      <c r="AG92" s="21"/>
      <c r="AH92" s="21">
        <v>5.6742805198171373</v>
      </c>
    </row>
    <row r="93" spans="1:36" ht="16.2">
      <c r="A93" s="13" t="s">
        <v>146</v>
      </c>
      <c r="B93" s="13" t="s">
        <v>63</v>
      </c>
      <c r="C93" s="13">
        <v>91</v>
      </c>
      <c r="D93" s="14">
        <v>45196</v>
      </c>
      <c r="E93" s="14">
        <v>45202</v>
      </c>
      <c r="P93" s="18">
        <v>1.6199999999999999E-2</v>
      </c>
      <c r="Q93" s="18">
        <v>2.1487162722172428</v>
      </c>
      <c r="R93" s="21" t="s">
        <v>50</v>
      </c>
      <c r="S93" s="21">
        <v>1.747513109064579</v>
      </c>
      <c r="T93" s="21">
        <v>4.9739612000388984</v>
      </c>
      <c r="U93" s="21">
        <v>0.1287601407018987</v>
      </c>
      <c r="V93" s="21">
        <v>1.1740446563997149E-2</v>
      </c>
      <c r="Z93" s="20">
        <v>-6.8952318059288791</v>
      </c>
      <c r="AA93" s="10">
        <v>-37.552010169016228</v>
      </c>
      <c r="AB93" s="17">
        <v>3.5433990174207701</v>
      </c>
      <c r="AC93" s="18">
        <v>1.316764101581551</v>
      </c>
      <c r="AD93" s="21">
        <v>0.163763120096794</v>
      </c>
      <c r="AE93" s="21">
        <v>4.7956475111379886</v>
      </c>
      <c r="AF93" s="21">
        <v>3.5377419993189788E-2</v>
      </c>
      <c r="AG93" s="21"/>
      <c r="AH93" s="21">
        <v>5.7016292783821836</v>
      </c>
      <c r="AI93" s="46"/>
    </row>
    <row r="94" spans="1:36" ht="16.2">
      <c r="A94" s="13" t="s">
        <v>146</v>
      </c>
      <c r="B94" s="13" t="s">
        <v>63</v>
      </c>
      <c r="C94" s="13">
        <v>92</v>
      </c>
      <c r="D94" s="14">
        <v>45202</v>
      </c>
      <c r="E94" s="14">
        <v>45210</v>
      </c>
      <c r="P94" s="18">
        <v>1.8100000000000002E-2</v>
      </c>
      <c r="Q94" s="18">
        <v>2.014830977923332</v>
      </c>
      <c r="R94" s="21">
        <v>4.9000000000000002E-2</v>
      </c>
      <c r="S94" s="21">
        <v>2.1348262915991132</v>
      </c>
      <c r="T94" s="21">
        <v>3.5436041412065502</v>
      </c>
      <c r="U94" s="21">
        <v>0.14162307824584089</v>
      </c>
      <c r="V94" s="21">
        <v>6.2285495783191203E-2</v>
      </c>
      <c r="Z94" s="20">
        <v>-6.6815432877169014</v>
      </c>
      <c r="AA94" s="10">
        <v>-35.601896679317178</v>
      </c>
      <c r="AB94" s="17">
        <v>3.0270779392641449</v>
      </c>
      <c r="AC94" s="18">
        <v>1.0192260846274179</v>
      </c>
      <c r="AD94" s="21">
        <v>0.15771195524731421</v>
      </c>
      <c r="AE94" s="21">
        <v>3.5598183061388138</v>
      </c>
      <c r="AF94" s="21">
        <v>2.7829611395639688E-2</v>
      </c>
      <c r="AG94" s="21"/>
      <c r="AH94" s="21">
        <v>5.1322199844698657</v>
      </c>
      <c r="AI94" s="46"/>
    </row>
    <row r="95" spans="1:36" ht="16.2">
      <c r="A95" s="13" t="s">
        <v>146</v>
      </c>
      <c r="B95" s="13" t="s">
        <v>63</v>
      </c>
      <c r="C95" s="13">
        <v>93</v>
      </c>
      <c r="D95" s="14">
        <v>45210</v>
      </c>
      <c r="E95" s="14">
        <v>45217</v>
      </c>
      <c r="P95" s="18">
        <v>1.26E-2</v>
      </c>
      <c r="Q95" s="18">
        <v>2.0893376599238511</v>
      </c>
      <c r="R95" s="21">
        <v>3.49E-2</v>
      </c>
      <c r="S95" s="21">
        <v>1.7007808579848589</v>
      </c>
      <c r="T95" s="21">
        <v>3.862792613110011</v>
      </c>
      <c r="U95" s="21">
        <v>0.1117810631438951</v>
      </c>
      <c r="V95" s="21">
        <v>1.3227065658679329E-2</v>
      </c>
      <c r="Z95" s="20">
        <v>-6.5325000355186313</v>
      </c>
      <c r="AA95" s="10">
        <v>-33.218230861287608</v>
      </c>
      <c r="AB95" s="17">
        <v>3.283154070625292</v>
      </c>
      <c r="AC95" s="18">
        <v>1.0844081905424969</v>
      </c>
      <c r="AD95" s="21">
        <v>0.14463533262087319</v>
      </c>
      <c r="AE95" s="21">
        <v>3.8673281327403348</v>
      </c>
      <c r="AF95" s="21">
        <v>2.9270533695546799E-2</v>
      </c>
      <c r="AG95" s="21"/>
      <c r="AH95" s="21">
        <v>5.5559489217773752</v>
      </c>
      <c r="AI95" s="46"/>
    </row>
    <row r="96" spans="1:36" ht="16.2">
      <c r="A96" s="13" t="s">
        <v>146</v>
      </c>
      <c r="B96" s="13" t="s">
        <v>63</v>
      </c>
      <c r="C96" s="13">
        <v>94</v>
      </c>
      <c r="D96" s="14">
        <v>45217</v>
      </c>
      <c r="E96" s="14">
        <v>45224</v>
      </c>
      <c r="P96" s="18">
        <v>7.1999999999999998E-3</v>
      </c>
      <c r="Q96" s="18">
        <v>0.29935380494760311</v>
      </c>
      <c r="R96" s="21" t="s">
        <v>50</v>
      </c>
      <c r="S96" s="21">
        <v>0.24686397470759641</v>
      </c>
      <c r="T96" s="21">
        <v>0.58723588443004071</v>
      </c>
      <c r="U96" s="21">
        <v>3.0272526965209899E-2</v>
      </c>
      <c r="AB96" s="17">
        <v>3.6754036124644238</v>
      </c>
      <c r="AC96" s="18">
        <v>1.135284361449743</v>
      </c>
      <c r="AD96" s="21">
        <v>0.18539545568268731</v>
      </c>
      <c r="AE96" s="21">
        <v>4.0296470041471686</v>
      </c>
      <c r="AF96" s="21">
        <v>3.188814178661558E-2</v>
      </c>
      <c r="AG96" s="21"/>
      <c r="AH96" s="21">
        <v>5.4410429564997722</v>
      </c>
      <c r="AI96" s="46"/>
    </row>
    <row r="97" spans="1:36" ht="16.2">
      <c r="A97" s="13" t="s">
        <v>146</v>
      </c>
      <c r="B97" s="13" t="s">
        <v>63</v>
      </c>
      <c r="C97" s="13">
        <v>95</v>
      </c>
      <c r="D97" s="14">
        <v>45224</v>
      </c>
      <c r="E97" s="14">
        <v>45231</v>
      </c>
      <c r="P97" s="18">
        <v>1.4E-2</v>
      </c>
      <c r="Q97" s="18">
        <v>2.0359847625212311</v>
      </c>
      <c r="R97" s="21">
        <v>0.1172</v>
      </c>
      <c r="S97" s="21">
        <v>2.0457039164866639</v>
      </c>
      <c r="T97" s="21">
        <v>4.5029518313981196</v>
      </c>
      <c r="U97" s="21">
        <v>0.1231004481825642</v>
      </c>
      <c r="V97" s="21">
        <v>0.227300215292913</v>
      </c>
      <c r="Z97" s="20">
        <v>-6.4818612438078942</v>
      </c>
      <c r="AA97" s="10">
        <v>-32.70689722224293</v>
      </c>
      <c r="AB97" s="17">
        <v>3.2992731933223212</v>
      </c>
      <c r="AC97" s="18">
        <v>1.146981647844701</v>
      </c>
      <c r="AD97" s="21">
        <v>0.16306103778871839</v>
      </c>
      <c r="AE97" s="21">
        <v>4.1117067503652578</v>
      </c>
      <c r="AF97" s="21">
        <v>3.0564482429258331E-2</v>
      </c>
      <c r="AG97" s="21"/>
      <c r="AH97" s="21">
        <v>5.4024784013280396</v>
      </c>
      <c r="AI97" s="46"/>
    </row>
    <row r="98" spans="1:36" ht="16.2">
      <c r="A98" s="13" t="s">
        <v>146</v>
      </c>
      <c r="B98" s="13" t="s">
        <v>63</v>
      </c>
      <c r="C98" s="13">
        <v>96</v>
      </c>
      <c r="D98" s="14">
        <v>45231</v>
      </c>
      <c r="E98" s="14">
        <v>45238</v>
      </c>
      <c r="P98" s="18">
        <v>1.8499999999999999E-2</v>
      </c>
      <c r="Q98" s="18">
        <v>2.1558626199904229</v>
      </c>
      <c r="R98" s="21" t="s">
        <v>50</v>
      </c>
      <c r="S98" s="21">
        <v>1.7529654547102109</v>
      </c>
      <c r="T98" s="21">
        <v>4.1359032068329791</v>
      </c>
      <c r="U98" s="21">
        <v>0.13081821070892949</v>
      </c>
      <c r="V98" s="21">
        <v>1.0253827469314971E-2</v>
      </c>
      <c r="Z98" s="20">
        <v>-6.5030505254457198</v>
      </c>
      <c r="AA98" s="10">
        <v>-32.885131526166433</v>
      </c>
      <c r="AB98" s="17">
        <v>3.4971625973173892</v>
      </c>
      <c r="AC98" s="18">
        <v>1.149728333571443</v>
      </c>
      <c r="AD98" s="21">
        <v>0.1692613425674343</v>
      </c>
      <c r="AE98" s="18">
        <v>4.1279570485595158</v>
      </c>
      <c r="AF98" s="18">
        <v>3.0679179763830521E-2</v>
      </c>
      <c r="AG98" s="21"/>
      <c r="AH98" s="21">
        <v>5.6689695523212968</v>
      </c>
      <c r="AI98" s="46"/>
    </row>
    <row r="99" spans="1:36" ht="16.2">
      <c r="A99" s="13" t="s">
        <v>146</v>
      </c>
      <c r="B99" s="13" t="s">
        <v>63</v>
      </c>
      <c r="C99" s="13">
        <v>97</v>
      </c>
      <c r="D99" s="14">
        <v>45238</v>
      </c>
      <c r="E99" s="14">
        <v>45245</v>
      </c>
      <c r="P99" s="18">
        <v>1.44E-2</v>
      </c>
      <c r="Q99" s="18">
        <v>1.9716704204799249</v>
      </c>
      <c r="R99" s="21" t="s">
        <v>50</v>
      </c>
      <c r="S99" s="21">
        <v>2.151606863010147</v>
      </c>
      <c r="T99" s="21">
        <v>4.0020849369043523</v>
      </c>
      <c r="U99" s="21">
        <v>0.12618755319311031</v>
      </c>
      <c r="V99" s="21">
        <v>1.991685158474913E-2</v>
      </c>
      <c r="Z99" s="20">
        <v>-6.3809428007531608</v>
      </c>
      <c r="AA99" s="10">
        <v>-31.71248234849369</v>
      </c>
      <c r="AB99" s="17">
        <v>3.1953691708827119</v>
      </c>
      <c r="AC99" s="18">
        <v>1.1173331739379779</v>
      </c>
      <c r="AD99" s="21">
        <v>0.1573837757020419</v>
      </c>
      <c r="AE99" s="21">
        <v>4.0109449844544143</v>
      </c>
      <c r="AF99" s="18">
        <v>3.001481382967806E-2</v>
      </c>
      <c r="AG99" s="21"/>
      <c r="AH99" s="21">
        <v>5.1764489817369261</v>
      </c>
      <c r="AI99" s="46"/>
    </row>
    <row r="100" spans="1:36" ht="16.2">
      <c r="A100" s="13" t="s">
        <v>146</v>
      </c>
      <c r="B100" s="13" t="s">
        <v>63</v>
      </c>
      <c r="C100" s="13">
        <v>98</v>
      </c>
      <c r="D100" s="14">
        <v>45245</v>
      </c>
      <c r="E100" s="14">
        <v>45253</v>
      </c>
      <c r="P100" s="18">
        <v>1.61E-2</v>
      </c>
      <c r="Q100" s="18">
        <v>2.089667843104893</v>
      </c>
      <c r="R100" s="21" t="s">
        <v>50</v>
      </c>
      <c r="S100" s="21">
        <v>1.6669589600575829</v>
      </c>
      <c r="T100" s="21">
        <v>4.0127657751859456</v>
      </c>
      <c r="U100" s="21">
        <v>0.16220377831614829</v>
      </c>
      <c r="V100" s="21">
        <v>5.7939701852684367E-3</v>
      </c>
      <c r="Z100" s="20">
        <v>-6.4725235942725803</v>
      </c>
      <c r="AA100" s="10">
        <v>-32.621791214107262</v>
      </c>
      <c r="AB100" s="17">
        <v>3.3366257822918</v>
      </c>
      <c r="AC100" s="18">
        <v>1.1212761500598281</v>
      </c>
      <c r="AD100" s="21">
        <v>0.15397617613414369</v>
      </c>
      <c r="AE100" s="21">
        <v>3.959265957375786</v>
      </c>
      <c r="AF100" s="18">
        <v>3.0172705064139261E-2</v>
      </c>
      <c r="AG100" s="21"/>
      <c r="AH100" s="21">
        <v>5.570272102752182</v>
      </c>
      <c r="AI100" s="46"/>
    </row>
    <row r="101" spans="1:36" ht="16.2">
      <c r="A101" s="13" t="s">
        <v>146</v>
      </c>
      <c r="B101" s="13" t="s">
        <v>63</v>
      </c>
      <c r="C101" s="13">
        <v>99</v>
      </c>
      <c r="D101" s="14">
        <v>45253</v>
      </c>
      <c r="E101" s="14">
        <v>45259</v>
      </c>
      <c r="P101" s="18">
        <v>1.49E-2</v>
      </c>
      <c r="Q101" s="18">
        <v>2.2707168754059821</v>
      </c>
      <c r="R101" s="21" t="s">
        <v>50</v>
      </c>
      <c r="S101" s="21">
        <v>1.9569458315370341</v>
      </c>
      <c r="T101" s="21">
        <v>4.2374876727276609</v>
      </c>
      <c r="U101" s="21">
        <v>0.1333907982177179</v>
      </c>
      <c r="V101" s="21">
        <v>1.0997137016656061E-2</v>
      </c>
      <c r="Z101" s="20">
        <v>-6.2976222356688272</v>
      </c>
      <c r="AA101" s="10">
        <v>-30.83177468233556</v>
      </c>
      <c r="AB101" s="17">
        <v>3.2919526629785469</v>
      </c>
      <c r="AC101" s="18">
        <v>1.1605171913157271</v>
      </c>
      <c r="AD101" s="21">
        <v>0.16456577963274971</v>
      </c>
      <c r="AE101" s="21">
        <v>4.0951920481674016</v>
      </c>
      <c r="AF101" s="21">
        <v>3.0444714276274661E-2</v>
      </c>
      <c r="AG101" s="21"/>
      <c r="AH101" s="21">
        <v>5.3420138155492669</v>
      </c>
      <c r="AI101" s="46"/>
    </row>
    <row r="102" spans="1:36" ht="16.2">
      <c r="A102" s="13" t="s">
        <v>146</v>
      </c>
      <c r="B102" s="13" t="s">
        <v>63</v>
      </c>
      <c r="C102" s="13">
        <v>100</v>
      </c>
      <c r="D102" s="14">
        <v>45259</v>
      </c>
      <c r="E102" s="14">
        <v>45266</v>
      </c>
      <c r="P102" s="18">
        <v>2.3E-2</v>
      </c>
      <c r="Q102" s="18">
        <v>2.061075659997095</v>
      </c>
      <c r="R102" s="21">
        <v>3.3000000000000002E-2</v>
      </c>
      <c r="S102" s="21">
        <v>1.5996986888843321</v>
      </c>
      <c r="T102" s="21">
        <v>3.771213013411836</v>
      </c>
      <c r="U102" s="21">
        <v>9.1714880575345395E-2</v>
      </c>
      <c r="V102" s="21" t="s">
        <v>50</v>
      </c>
      <c r="Z102" s="20">
        <v>-6.3231212017075684</v>
      </c>
      <c r="AA102" s="10">
        <v>-30.962572850576858</v>
      </c>
      <c r="AB102" s="17">
        <v>3.1600534598956922</v>
      </c>
      <c r="AC102" s="18">
        <v>1.06765168612647</v>
      </c>
      <c r="AD102" s="21">
        <v>0.1760661547067488</v>
      </c>
      <c r="AE102" s="21">
        <v>3.827155288216181</v>
      </c>
      <c r="AF102" s="21">
        <v>2.895767977369694E-2</v>
      </c>
      <c r="AG102" s="21"/>
      <c r="AH102" s="21">
        <v>5.2114995038552756</v>
      </c>
      <c r="AI102" s="46"/>
    </row>
    <row r="103" spans="1:36">
      <c r="A103" s="13" t="s">
        <v>146</v>
      </c>
      <c r="B103" s="13" t="s">
        <v>63</v>
      </c>
      <c r="C103" s="13">
        <v>101</v>
      </c>
      <c r="D103" s="14">
        <v>45266</v>
      </c>
      <c r="E103" s="14">
        <v>45273</v>
      </c>
      <c r="P103" s="18">
        <v>1.4200000000000001E-2</v>
      </c>
      <c r="Q103" s="18">
        <v>2.1166316536735268</v>
      </c>
      <c r="R103" s="21" t="s">
        <v>50</v>
      </c>
      <c r="S103" s="21">
        <v>1.732172291979545</v>
      </c>
      <c r="T103" s="21">
        <v>4.059512247141309</v>
      </c>
      <c r="U103" s="21">
        <v>0.13544886822474869</v>
      </c>
      <c r="V103" s="21">
        <v>1.0253827469314971E-2</v>
      </c>
      <c r="Z103" s="20">
        <v>-6.4157794163272142</v>
      </c>
      <c r="AA103" s="10">
        <v>-32.056394332189512</v>
      </c>
      <c r="AB103" s="17">
        <v>3.3615803300389282</v>
      </c>
      <c r="AC103" s="18">
        <v>1.143525901190612</v>
      </c>
      <c r="AD103" s="21">
        <v>0.15340239959435639</v>
      </c>
      <c r="AE103" s="21">
        <v>4.1379107591436952</v>
      </c>
      <c r="AF103" s="21">
        <v>3.0703967999627671E-2</v>
      </c>
      <c r="AG103" s="21"/>
      <c r="AH103" s="21">
        <v>5.6115146082518637</v>
      </c>
    </row>
    <row r="104" spans="1:36" s="48" customFormat="1">
      <c r="A104" s="12" t="s">
        <v>146</v>
      </c>
      <c r="B104" s="12" t="s">
        <v>63</v>
      </c>
      <c r="C104" s="12">
        <v>102</v>
      </c>
      <c r="D104" s="47">
        <v>45273</v>
      </c>
      <c r="E104" s="47">
        <v>45279</v>
      </c>
      <c r="F104" s="3"/>
      <c r="K104" s="20"/>
      <c r="M104" s="12"/>
      <c r="N104" s="12"/>
      <c r="O104" s="12"/>
      <c r="P104" s="11">
        <v>2.12E-2</v>
      </c>
      <c r="Q104" s="11">
        <v>2.0140406216872302</v>
      </c>
      <c r="R104" s="49" t="s">
        <v>50</v>
      </c>
      <c r="S104" s="49">
        <v>1.787462844626192</v>
      </c>
      <c r="T104" s="49">
        <v>4.2288202939429196</v>
      </c>
      <c r="U104" s="49">
        <v>0.1346102269537239</v>
      </c>
      <c r="V104" s="49"/>
      <c r="W104" s="11"/>
      <c r="X104" s="50"/>
      <c r="Y104" s="50"/>
      <c r="Z104" s="20">
        <v>-6.4405601016324692</v>
      </c>
      <c r="AA104" s="10">
        <v>-31.71352873383962</v>
      </c>
      <c r="AB104" s="20">
        <v>3.2745664073637908</v>
      </c>
      <c r="AC104" s="49">
        <v>1.1673338203796659</v>
      </c>
      <c r="AD104" s="50">
        <v>0.14060635279121941</v>
      </c>
      <c r="AE104" s="50">
        <v>4.3256804905346593</v>
      </c>
      <c r="AF104" s="50">
        <v>3.1387242879468431E-2</v>
      </c>
      <c r="AG104" s="50"/>
      <c r="AH104" s="50">
        <v>5.5080068108624776</v>
      </c>
      <c r="AI104" s="51"/>
      <c r="AJ104" s="20"/>
    </row>
    <row r="105" spans="1:36">
      <c r="A105" s="13" t="s">
        <v>146</v>
      </c>
      <c r="B105" s="13" t="s">
        <v>63</v>
      </c>
      <c r="C105" s="13">
        <v>103</v>
      </c>
      <c r="D105" s="14">
        <v>45279</v>
      </c>
      <c r="E105" s="14">
        <v>45286</v>
      </c>
      <c r="P105" s="18">
        <v>1.46E-2</v>
      </c>
      <c r="Q105" s="18">
        <v>2.155287774796629</v>
      </c>
      <c r="R105" s="21" t="s">
        <v>50</v>
      </c>
      <c r="S105" s="21">
        <v>1.9532268239566859</v>
      </c>
      <c r="T105" s="21">
        <v>4.7352393560308288</v>
      </c>
      <c r="U105" s="21">
        <v>0.1313327282106872</v>
      </c>
      <c r="V105" s="21">
        <v>3.6269661626253093E-2</v>
      </c>
      <c r="Z105" s="20">
        <v>-6.340359939311222</v>
      </c>
      <c r="AA105" s="10">
        <v>-31.319739048654458</v>
      </c>
      <c r="AB105" s="17">
        <v>3.5360147186514981</v>
      </c>
      <c r="AC105" s="18">
        <v>1.2156342848240591</v>
      </c>
      <c r="AD105" s="21">
        <v>0.13952274568358949</v>
      </c>
      <c r="AE105" s="21">
        <v>4.4712341121693031</v>
      </c>
      <c r="AF105" s="21">
        <v>3.3648388832677512E-2</v>
      </c>
      <c r="AG105" s="21"/>
      <c r="AH105" s="21">
        <v>5.5554388577679861</v>
      </c>
    </row>
    <row r="106" spans="1:36">
      <c r="A106" s="13" t="s">
        <v>146</v>
      </c>
      <c r="B106" s="13" t="s">
        <v>63</v>
      </c>
      <c r="C106" s="13">
        <v>104</v>
      </c>
      <c r="D106" s="14">
        <v>45286</v>
      </c>
      <c r="E106" s="14">
        <v>45293</v>
      </c>
      <c r="P106" s="18">
        <v>1.12E-2</v>
      </c>
      <c r="Q106" s="18">
        <v>1.756098215321227</v>
      </c>
      <c r="R106" s="21" t="s">
        <v>50</v>
      </c>
      <c r="S106" s="21">
        <v>1.593871675239154</v>
      </c>
      <c r="T106" s="21">
        <v>3.695824259783195</v>
      </c>
      <c r="U106" s="21">
        <v>4.5922822918911407E-2</v>
      </c>
      <c r="V106" s="21">
        <v>8.0238988272917054E-3</v>
      </c>
      <c r="Z106" s="20">
        <v>-6.3310222897759099</v>
      </c>
      <c r="AA106" s="10">
        <v>-31.09197583835693</v>
      </c>
      <c r="AB106" s="17">
        <v>3.5707889867116709</v>
      </c>
      <c r="AC106" s="18">
        <v>1.255986773139024</v>
      </c>
      <c r="AD106" s="21">
        <v>0.14887413130113691</v>
      </c>
      <c r="AE106" s="21">
        <v>4.535517264628476</v>
      </c>
      <c r="AF106" s="21">
        <v>3.3244543256666842E-2</v>
      </c>
      <c r="AG106" s="21"/>
      <c r="AH106" s="21">
        <v>5.5535889960662326</v>
      </c>
    </row>
    <row r="107" spans="1:36" ht="16.2">
      <c r="A107" s="13" t="s">
        <v>146</v>
      </c>
      <c r="B107" s="13" t="s">
        <v>63</v>
      </c>
      <c r="C107" s="13">
        <v>105</v>
      </c>
      <c r="D107" s="14">
        <v>45293</v>
      </c>
      <c r="E107" s="14">
        <v>45300</v>
      </c>
      <c r="P107" s="18">
        <v>2.3599999999999999E-2</v>
      </c>
      <c r="Q107" s="18">
        <v>2.219263985700191</v>
      </c>
      <c r="R107" s="21" t="s">
        <v>50</v>
      </c>
      <c r="S107" s="21">
        <v>1.796033037256719</v>
      </c>
      <c r="T107" s="21">
        <v>5.1553566318097452</v>
      </c>
      <c r="U107" s="21">
        <v>0.1375069382317794</v>
      </c>
      <c r="V107" s="21">
        <v>2.2146780226772401E-2</v>
      </c>
      <c r="Z107" s="20">
        <v>-6.3949492750561321</v>
      </c>
      <c r="AA107" s="10">
        <v>-31.805959439396808</v>
      </c>
      <c r="AB107" s="17">
        <v>3.511038285782031</v>
      </c>
      <c r="AC107" s="18">
        <v>1.264902934505113</v>
      </c>
      <c r="AD107" s="21">
        <v>0.13888694396143431</v>
      </c>
      <c r="AE107" s="21">
        <v>4.519042911092213</v>
      </c>
      <c r="AF107" s="21">
        <v>3.4271486614628463E-2</v>
      </c>
      <c r="AG107" s="21"/>
      <c r="AH107" s="21">
        <v>5.607135254949033</v>
      </c>
      <c r="AI107" s="46"/>
    </row>
    <row r="108" spans="1:36" s="56" customFormat="1" ht="16.2">
      <c r="A108" s="52" t="s">
        <v>146</v>
      </c>
      <c r="B108" s="52" t="s">
        <v>63</v>
      </c>
      <c r="C108" s="52">
        <v>106</v>
      </c>
      <c r="D108" s="53">
        <v>45300</v>
      </c>
      <c r="E108" s="53">
        <v>45307</v>
      </c>
      <c r="F108" s="54"/>
      <c r="G108" s="55"/>
      <c r="K108" s="57"/>
      <c r="M108" s="52"/>
      <c r="N108" s="52"/>
      <c r="O108" s="52"/>
      <c r="P108" s="58"/>
      <c r="Q108" s="58"/>
      <c r="R108" s="59"/>
      <c r="S108" s="59"/>
      <c r="T108" s="59"/>
      <c r="U108" s="59"/>
      <c r="V108" s="59">
        <v>0.1230387319167645</v>
      </c>
      <c r="W108" s="58"/>
      <c r="X108" s="60"/>
      <c r="Y108" s="60"/>
      <c r="Z108" s="57">
        <v>-6.4128288328513499</v>
      </c>
      <c r="AA108" s="61">
        <v>-30.406993940178271</v>
      </c>
      <c r="AB108" s="57">
        <v>3.6644903177015822</v>
      </c>
      <c r="AC108" s="59">
        <v>1.2911719067670699</v>
      </c>
      <c r="AD108" s="57">
        <v>0.18186075906624119</v>
      </c>
      <c r="AE108" s="60">
        <v>4.6502573494151349</v>
      </c>
      <c r="AF108" s="57">
        <v>3.7219892133532453E-2</v>
      </c>
      <c r="AG108" s="57"/>
      <c r="AH108" s="57">
        <v>5.8266255303856536</v>
      </c>
      <c r="AI108" s="62" t="s">
        <v>148</v>
      </c>
      <c r="AJ108" s="57"/>
    </row>
    <row r="109" spans="1:36">
      <c r="A109" s="13" t="s">
        <v>146</v>
      </c>
      <c r="B109" s="13" t="s">
        <v>63</v>
      </c>
      <c r="C109" s="13">
        <v>107</v>
      </c>
      <c r="D109" s="14">
        <v>45307</v>
      </c>
      <c r="E109" s="14">
        <v>45314</v>
      </c>
      <c r="P109" s="18">
        <v>1.78E-2</v>
      </c>
      <c r="Q109" s="18">
        <v>2.196571485161622</v>
      </c>
      <c r="R109" s="21" t="s">
        <v>50</v>
      </c>
      <c r="S109" s="21">
        <v>1.807999927058233</v>
      </c>
      <c r="T109" s="21">
        <v>5.5411207174596671</v>
      </c>
      <c r="U109" s="21">
        <v>9.9231745660729037E-2</v>
      </c>
      <c r="V109" s="21">
        <v>2.645636403605189E-2</v>
      </c>
      <c r="Z109" s="20">
        <v>-6.4696399941446847</v>
      </c>
      <c r="AA109" s="10">
        <v>-30.573386166675679</v>
      </c>
      <c r="AB109" s="17">
        <v>3.6748237058193212</v>
      </c>
      <c r="AC109" s="18">
        <v>1.339457374154819</v>
      </c>
      <c r="AD109" s="21">
        <v>0.1837426527282936</v>
      </c>
      <c r="AE109" s="21">
        <v>4.889484571640982</v>
      </c>
      <c r="AF109" s="21">
        <v>3.8408731076706087E-2</v>
      </c>
      <c r="AG109" s="21"/>
      <c r="AH109" s="21">
        <v>5.7561860919005277</v>
      </c>
    </row>
    <row r="110" spans="1:36" ht="16.2">
      <c r="A110" s="13" t="s">
        <v>146</v>
      </c>
      <c r="B110" s="13" t="s">
        <v>63</v>
      </c>
      <c r="C110" s="13">
        <v>108</v>
      </c>
      <c r="D110" s="14">
        <v>45314</v>
      </c>
      <c r="E110" s="14">
        <v>45322</v>
      </c>
      <c r="P110" s="18">
        <v>1.32E-2</v>
      </c>
      <c r="Q110" s="18">
        <v>2.184924950042618</v>
      </c>
      <c r="R110" s="21" t="s">
        <v>50</v>
      </c>
      <c r="S110" s="21">
        <v>1.9156675785482</v>
      </c>
      <c r="T110" s="21">
        <v>5.5201423222363788</v>
      </c>
      <c r="U110" s="21">
        <v>0.101551836440239</v>
      </c>
      <c r="V110" s="21">
        <v>1.8910866545371219E-2</v>
      </c>
      <c r="Z110" s="20">
        <v>-6.4769234763617796</v>
      </c>
      <c r="AA110" s="10">
        <v>-30.324148865382099</v>
      </c>
      <c r="AB110" s="17">
        <v>3.6130889634485248</v>
      </c>
      <c r="AC110" s="18">
        <v>1.3295436275413379</v>
      </c>
      <c r="AD110" s="21">
        <v>0.18218478315629469</v>
      </c>
      <c r="AE110" s="21">
        <v>4.8407763814298042</v>
      </c>
      <c r="AF110" s="21">
        <v>3.870709092412955E-2</v>
      </c>
      <c r="AG110" s="21"/>
      <c r="AH110" s="21">
        <v>5.7231163283824067</v>
      </c>
      <c r="AI110" s="46"/>
    </row>
    <row r="111" spans="1:36" ht="16.2">
      <c r="A111" s="13" t="s">
        <v>146</v>
      </c>
      <c r="B111" s="13" t="s">
        <v>63</v>
      </c>
      <c r="C111" s="13">
        <v>109</v>
      </c>
      <c r="D111" s="14">
        <v>45322</v>
      </c>
      <c r="E111" s="14">
        <v>45329</v>
      </c>
      <c r="P111" s="18">
        <v>2.24E-2</v>
      </c>
      <c r="Q111" s="18">
        <v>2.140944387692139</v>
      </c>
      <c r="R111" s="21" t="s">
        <v>50</v>
      </c>
      <c r="S111" s="21">
        <v>1.9417431053209759</v>
      </c>
      <c r="T111" s="21">
        <v>5.7621367136870143</v>
      </c>
      <c r="U111" s="21">
        <v>0.111605563151449</v>
      </c>
      <c r="V111" s="21">
        <v>1.362901830189475E-2</v>
      </c>
      <c r="Z111" s="20">
        <v>-6.3847874263155378</v>
      </c>
      <c r="AA111" s="10">
        <v>-30.093516602072391</v>
      </c>
      <c r="AB111" s="17">
        <v>3.7628081442371779</v>
      </c>
      <c r="AC111" s="18">
        <v>1.378681406131153</v>
      </c>
      <c r="AD111" s="21">
        <v>0.20271243363097799</v>
      </c>
      <c r="AE111" s="21">
        <v>5.03961341737224</v>
      </c>
      <c r="AF111" s="21">
        <v>3.9515361114996317E-2</v>
      </c>
      <c r="AG111" s="21"/>
      <c r="AH111" s="21">
        <v>5.8831572231738978</v>
      </c>
      <c r="AI111" s="46"/>
    </row>
    <row r="112" spans="1:36" ht="16.2">
      <c r="A112" s="13" t="s">
        <v>146</v>
      </c>
      <c r="B112" s="13" t="s">
        <v>63</v>
      </c>
      <c r="C112" s="13">
        <v>110</v>
      </c>
      <c r="D112" s="14">
        <v>45329</v>
      </c>
      <c r="E112" s="14">
        <v>45337</v>
      </c>
      <c r="P112" s="18">
        <v>1.2999999999999999E-2</v>
      </c>
      <c r="Q112" s="18">
        <v>2.1535618694004262</v>
      </c>
      <c r="R112" s="21">
        <v>6.9099999999999995E-2</v>
      </c>
      <c r="S112" s="21">
        <v>2.0189568985319162</v>
      </c>
      <c r="T112" s="21">
        <v>5.7261715043131822</v>
      </c>
      <c r="U112" s="21">
        <v>9.4204882305124041E-2</v>
      </c>
      <c r="V112" s="21">
        <v>0.16001166962109981</v>
      </c>
      <c r="Z112" s="20">
        <v>-6.3796889887635713</v>
      </c>
      <c r="AA112" s="10">
        <v>-29.843928262326269</v>
      </c>
      <c r="AB112" s="17">
        <v>3.4707901828203198</v>
      </c>
      <c r="AC112" s="18">
        <v>1.260581061719767</v>
      </c>
      <c r="AD112" s="21">
        <v>0.17993505667761561</v>
      </c>
      <c r="AE112" s="21">
        <v>4.7180036782463466</v>
      </c>
      <c r="AF112" s="21">
        <v>3.7804979064001543E-2</v>
      </c>
      <c r="AG112" s="21"/>
      <c r="AH112" s="21">
        <v>5.6825474956544202</v>
      </c>
      <c r="AI112" s="46"/>
    </row>
    <row r="113" spans="1:36" ht="16.2">
      <c r="A113" s="13" t="s">
        <v>146</v>
      </c>
      <c r="B113" s="13" t="s">
        <v>63</v>
      </c>
      <c r="C113" s="13">
        <v>111</v>
      </c>
      <c r="D113" s="14">
        <v>45337</v>
      </c>
      <c r="E113" s="14">
        <v>45343</v>
      </c>
      <c r="P113" s="18">
        <v>1.5599999999999999E-2</v>
      </c>
      <c r="Q113" s="18">
        <v>0.50651664916341199</v>
      </c>
      <c r="R113" s="21">
        <v>1.35E-2</v>
      </c>
      <c r="S113" s="21">
        <v>0.35722624842019418</v>
      </c>
      <c r="T113" s="21">
        <v>1.4166638723908529</v>
      </c>
      <c r="U113" s="21">
        <v>6.9843929120269099E-2</v>
      </c>
      <c r="V113" s="21">
        <v>6.0411102744114931E-2</v>
      </c>
      <c r="Z113" s="20">
        <v>-6.5169826285557972</v>
      </c>
      <c r="AA113" s="10">
        <v>-30.961283656717121</v>
      </c>
      <c r="AB113" s="17">
        <v>3.707248166145686</v>
      </c>
      <c r="AC113" s="18">
        <v>1.3454774933932281</v>
      </c>
      <c r="AD113" s="21">
        <v>0.21207777190379121</v>
      </c>
      <c r="AE113" s="21">
        <v>4.8780890731163833</v>
      </c>
      <c r="AF113" s="21">
        <v>3.9001332318955688E-2</v>
      </c>
      <c r="AG113" s="21"/>
      <c r="AH113" s="21">
        <v>5.9346428001848066</v>
      </c>
      <c r="AI113" s="46"/>
    </row>
    <row r="114" spans="1:36" ht="16.2">
      <c r="A114" s="13" t="s">
        <v>146</v>
      </c>
      <c r="B114" s="13" t="s">
        <v>63</v>
      </c>
      <c r="C114" s="13">
        <v>112</v>
      </c>
      <c r="D114" s="14">
        <v>45343</v>
      </c>
      <c r="E114" s="14">
        <v>45349</v>
      </c>
      <c r="P114" s="18">
        <v>1.24E-2</v>
      </c>
      <c r="Q114" s="18">
        <v>2.1918466308360509</v>
      </c>
      <c r="R114" s="21" t="s">
        <v>50</v>
      </c>
      <c r="S114" s="21">
        <v>1.7750602919555281</v>
      </c>
      <c r="T114" s="21">
        <v>5.7771963417130232</v>
      </c>
      <c r="U114" s="21">
        <v>0.101165154643654</v>
      </c>
      <c r="V114" s="21">
        <v>2.4192714788847689E-2</v>
      </c>
      <c r="Z114" s="20">
        <v>-6.4918546149068224</v>
      </c>
      <c r="AA114" s="10">
        <v>-31.121708229521591</v>
      </c>
      <c r="AB114" s="17">
        <v>3.6661547758702859</v>
      </c>
      <c r="AC114" s="18">
        <v>1.3770592030062321</v>
      </c>
      <c r="AD114" s="21">
        <v>0.18306656130969751</v>
      </c>
      <c r="AE114" s="21">
        <v>5.0754608533762244</v>
      </c>
      <c r="AF114" s="21">
        <v>4.0097671088262031E-2</v>
      </c>
      <c r="AG114" s="21"/>
      <c r="AH114" s="21">
        <v>5.9471895193452804</v>
      </c>
      <c r="AI114" s="46"/>
    </row>
    <row r="115" spans="1:36" s="66" customFormat="1" ht="16.2">
      <c r="A115" s="63" t="s">
        <v>146</v>
      </c>
      <c r="B115" s="63" t="s">
        <v>63</v>
      </c>
      <c r="C115" s="63">
        <v>113</v>
      </c>
      <c r="D115" s="64">
        <v>45349</v>
      </c>
      <c r="E115" s="64">
        <v>45356</v>
      </c>
      <c r="F115" s="65"/>
      <c r="K115" s="67"/>
      <c r="M115" s="63"/>
      <c r="N115" s="63"/>
      <c r="O115" s="63"/>
      <c r="P115" s="68">
        <v>1.2500000000000001E-2</v>
      </c>
      <c r="Q115" s="68">
        <v>2.206268847172256</v>
      </c>
      <c r="R115" s="69" t="s">
        <v>50</v>
      </c>
      <c r="S115" s="69">
        <v>1.732919829191893</v>
      </c>
      <c r="T115" s="69">
        <v>5.9758689727315586</v>
      </c>
      <c r="U115" s="69">
        <v>9.2658155118784044E-2</v>
      </c>
      <c r="V115" s="69" t="s">
        <v>50</v>
      </c>
      <c r="W115" s="68"/>
      <c r="X115" s="70"/>
      <c r="Y115" s="70"/>
      <c r="Z115" s="67">
        <v>-6.4361359759460504</v>
      </c>
      <c r="AA115" s="71">
        <v>-30.89248012002199</v>
      </c>
      <c r="AB115" s="67">
        <v>3.685633114942775</v>
      </c>
      <c r="AC115" s="68">
        <v>1.3823730895422961</v>
      </c>
      <c r="AD115" s="69">
        <v>0.20617172879197229</v>
      </c>
      <c r="AE115" s="69">
        <v>5.1263743145984453</v>
      </c>
      <c r="AF115" s="69">
        <v>3.9937233872078821E-2</v>
      </c>
      <c r="AG115" s="69"/>
      <c r="AH115" s="69">
        <v>5.7978446869382863</v>
      </c>
      <c r="AI115" s="72"/>
      <c r="AJ115" s="67"/>
    </row>
    <row r="116" spans="1:36" s="66" customFormat="1" ht="16.2">
      <c r="A116" s="63" t="s">
        <v>146</v>
      </c>
      <c r="B116" s="63" t="s">
        <v>63</v>
      </c>
      <c r="C116" s="63">
        <v>114</v>
      </c>
      <c r="D116" s="64">
        <v>45356</v>
      </c>
      <c r="E116" s="64">
        <v>45363</v>
      </c>
      <c r="F116" s="65"/>
      <c r="K116" s="67"/>
      <c r="M116" s="63"/>
      <c r="N116" s="63"/>
      <c r="O116" s="63"/>
      <c r="P116" s="68">
        <v>2.5399999999999999E-2</v>
      </c>
      <c r="Q116" s="68">
        <v>2.2232005018189418</v>
      </c>
      <c r="R116" s="69" t="s">
        <v>50</v>
      </c>
      <c r="S116" s="69">
        <v>1.7988637791517761</v>
      </c>
      <c r="T116" s="69">
        <v>6.2374542013316328</v>
      </c>
      <c r="U116" s="69">
        <v>0.108512108778769</v>
      </c>
      <c r="V116" s="69">
        <v>3.3247311777664497E-2</v>
      </c>
      <c r="W116" s="68"/>
      <c r="X116" s="70"/>
      <c r="Y116" s="70"/>
      <c r="Z116" s="67">
        <v>-6.492947137239387</v>
      </c>
      <c r="AA116" s="71">
        <v>-31.085902307363909</v>
      </c>
      <c r="AB116" s="67">
        <v>3.753583659984308</v>
      </c>
      <c r="AC116" s="68">
        <v>1.451013599520864</v>
      </c>
      <c r="AD116" s="69">
        <v>0.22484546537550371</v>
      </c>
      <c r="AE116" s="69">
        <v>5.3864607204723676</v>
      </c>
      <c r="AF116" s="69">
        <v>4.1011530473933272E-2</v>
      </c>
      <c r="AG116" s="69"/>
      <c r="AH116" s="69">
        <v>5.8214928785613322</v>
      </c>
      <c r="AI116" s="72"/>
      <c r="AJ116" s="67"/>
    </row>
    <row r="117" spans="1:36" ht="16.2">
      <c r="A117" s="13" t="s">
        <v>146</v>
      </c>
      <c r="B117" s="13" t="s">
        <v>63</v>
      </c>
      <c r="C117" s="13">
        <v>115</v>
      </c>
      <c r="D117" s="14">
        <v>45363</v>
      </c>
      <c r="E117" s="14">
        <v>45370</v>
      </c>
      <c r="P117" s="18">
        <v>1.5299999999999999E-2</v>
      </c>
      <c r="Q117" s="18">
        <v>2.2321205914690099</v>
      </c>
      <c r="R117" s="21" t="s">
        <v>50</v>
      </c>
      <c r="S117" s="21">
        <v>1.745016249992426</v>
      </c>
      <c r="T117" s="21">
        <v>6.3972682179614058</v>
      </c>
      <c r="U117" s="21">
        <v>9.2271473322199038E-2</v>
      </c>
      <c r="V117" s="21">
        <v>2.3438165039779621E-2</v>
      </c>
      <c r="Z117" s="20">
        <v>-6.5971009329438326</v>
      </c>
      <c r="AA117" s="10">
        <v>-32.395626773739103</v>
      </c>
      <c r="AB117" s="17">
        <v>3.9496951157426898</v>
      </c>
      <c r="AC117" s="18">
        <v>1.4941328762487129</v>
      </c>
      <c r="AD117" s="21">
        <v>0.2157434482681056</v>
      </c>
      <c r="AE117" s="21">
        <v>5.5882896335596346</v>
      </c>
      <c r="AF117" s="21">
        <v>4.202539673759819E-2</v>
      </c>
      <c r="AG117" s="21"/>
      <c r="AH117" s="21">
        <v>2.0810863494013101</v>
      </c>
      <c r="AI117" s="46"/>
    </row>
    <row r="118" spans="1:36" ht="16.2">
      <c r="A118" s="13" t="s">
        <v>146</v>
      </c>
      <c r="B118" s="13" t="s">
        <v>63</v>
      </c>
      <c r="C118" s="13">
        <v>116</v>
      </c>
      <c r="D118" s="14">
        <v>45370</v>
      </c>
      <c r="E118" s="14">
        <v>45377</v>
      </c>
      <c r="G118" s="73"/>
      <c r="P118" s="18">
        <v>2.2499999999999999E-2</v>
      </c>
      <c r="Q118" s="18">
        <v>2.2340552582511801</v>
      </c>
      <c r="R118" s="21" t="s">
        <v>50</v>
      </c>
      <c r="S118" s="21">
        <v>1.7158024957713109</v>
      </c>
      <c r="T118" s="21">
        <v>6.5915640340667041</v>
      </c>
      <c r="U118" s="21">
        <v>9.729833667780402E-2</v>
      </c>
      <c r="V118" s="21">
        <v>3.7774610272072899E-2</v>
      </c>
      <c r="Z118" s="20">
        <v>-6.5377405528745163</v>
      </c>
      <c r="AA118" s="10">
        <v>-31.79184063539407</v>
      </c>
      <c r="AB118" s="17">
        <v>3.936269869322039</v>
      </c>
      <c r="AC118" s="18">
        <v>1.5244835663423399</v>
      </c>
      <c r="AD118" s="21">
        <v>0.21122488600444589</v>
      </c>
      <c r="AE118" s="21">
        <v>5.6614667516293533</v>
      </c>
      <c r="AF118" s="21">
        <v>4.3118233497172302E-2</v>
      </c>
      <c r="AG118" s="21"/>
      <c r="AH118" s="21">
        <v>5.9043905342797984</v>
      </c>
      <c r="AI118" s="46"/>
    </row>
    <row r="119" spans="1:36" ht="16.2">
      <c r="A119" s="13" t="s">
        <v>146</v>
      </c>
      <c r="B119" s="13" t="s">
        <v>63</v>
      </c>
      <c r="C119" s="13">
        <v>117</v>
      </c>
      <c r="D119" s="14">
        <v>45377</v>
      </c>
      <c r="E119" s="14">
        <v>45384</v>
      </c>
      <c r="G119" s="73"/>
      <c r="P119" s="18">
        <v>2.3199999999999998E-2</v>
      </c>
      <c r="Q119" s="18">
        <v>2.1081151735867132</v>
      </c>
      <c r="R119" s="21" t="s">
        <v>50</v>
      </c>
      <c r="S119" s="21">
        <v>1.6699283794280091</v>
      </c>
      <c r="T119" s="21">
        <v>6.3126693963017368</v>
      </c>
      <c r="U119" s="21">
        <v>0.12281933525241399</v>
      </c>
      <c r="V119" s="21">
        <v>2.9474563032324159E-2</v>
      </c>
      <c r="Z119" s="20">
        <v>-6.5541283878629768</v>
      </c>
      <c r="AA119" s="10">
        <v>-31.797106212181959</v>
      </c>
      <c r="AB119" s="17">
        <v>4.054373177504071</v>
      </c>
      <c r="AC119" s="18">
        <v>1.5819500777111239</v>
      </c>
      <c r="AD119" s="21">
        <v>0.26779873834340179</v>
      </c>
      <c r="AE119" s="21">
        <v>5.9320774662976836</v>
      </c>
      <c r="AF119" s="21">
        <v>4.4032112919799769E-2</v>
      </c>
      <c r="AG119" s="21"/>
      <c r="AH119" s="21">
        <v>6.0170453758687099</v>
      </c>
      <c r="AI119" s="46"/>
    </row>
    <row r="120" spans="1:36" ht="16.2">
      <c r="A120" s="13" t="s">
        <v>146</v>
      </c>
      <c r="B120" s="13" t="s">
        <v>63</v>
      </c>
      <c r="C120" s="13">
        <v>118</v>
      </c>
      <c r="D120" s="14">
        <v>45384</v>
      </c>
      <c r="E120" s="14">
        <v>45391</v>
      </c>
      <c r="P120" s="18">
        <v>1.26E-2</v>
      </c>
      <c r="Q120" s="18">
        <v>2.245909181880406</v>
      </c>
      <c r="R120" s="21" t="s">
        <v>50</v>
      </c>
      <c r="S120" s="21">
        <v>1.825056983011295</v>
      </c>
      <c r="T120" s="21">
        <v>6.8523634769175459</v>
      </c>
      <c r="U120" s="21">
        <v>0.11315229033778899</v>
      </c>
      <c r="V120" s="21">
        <v>1.589266754909895E-2</v>
      </c>
      <c r="Z120" s="20">
        <v>-6.5978292811655432</v>
      </c>
      <c r="AA120" s="10">
        <v>-32.289964199528733</v>
      </c>
      <c r="AB120" s="17">
        <v>4.0314846658844576</v>
      </c>
      <c r="AC120" s="18">
        <v>1.66007142596698</v>
      </c>
      <c r="AD120" s="21">
        <v>0.25217151643738378</v>
      </c>
      <c r="AE120" s="21">
        <v>6.1157017975904848</v>
      </c>
      <c r="AF120" s="21">
        <v>4.5290522247828993E-2</v>
      </c>
      <c r="AG120" s="21"/>
      <c r="AH120" s="21">
        <v>6.0858602428728732</v>
      </c>
      <c r="AI120" s="46"/>
    </row>
    <row r="121" spans="1:36" ht="16.2">
      <c r="A121" s="13" t="s">
        <v>146</v>
      </c>
      <c r="B121" s="13" t="s">
        <v>63</v>
      </c>
      <c r="C121" s="13">
        <v>119</v>
      </c>
      <c r="D121" s="14">
        <v>45391</v>
      </c>
      <c r="E121" s="14">
        <v>45398</v>
      </c>
      <c r="P121" s="18">
        <v>1.24E-2</v>
      </c>
      <c r="Q121" s="18">
        <v>2.2762082374253452</v>
      </c>
      <c r="R121" s="21" t="s">
        <v>50</v>
      </c>
      <c r="S121" s="21">
        <v>1.825573689045122</v>
      </c>
      <c r="T121" s="21">
        <v>7.0994585362565106</v>
      </c>
      <c r="U121" s="21">
        <v>0.118952517286564</v>
      </c>
      <c r="V121" s="21">
        <v>3.0229112781392221E-2</v>
      </c>
      <c r="Z121" s="20">
        <v>-6.7442272737291367</v>
      </c>
      <c r="AA121" s="10">
        <v>-33.746422739059867</v>
      </c>
      <c r="AB121" s="17">
        <v>4.0895366856947772</v>
      </c>
      <c r="AC121" s="18">
        <v>1.7297250648855811</v>
      </c>
      <c r="AD121" s="21">
        <v>0.2463780360241504</v>
      </c>
      <c r="AE121" s="21">
        <v>6.3225697630564648</v>
      </c>
      <c r="AF121" s="21">
        <v>4.6173609913243298E-2</v>
      </c>
      <c r="AG121" s="21"/>
      <c r="AH121" s="21">
        <v>6.1384251062411561</v>
      </c>
      <c r="AI121" s="46"/>
    </row>
    <row r="122" spans="1:36" ht="16.2">
      <c r="A122" s="13" t="s">
        <v>146</v>
      </c>
      <c r="B122" s="13" t="s">
        <v>63</v>
      </c>
      <c r="C122" s="13">
        <v>120</v>
      </c>
      <c r="D122" s="14">
        <v>45398</v>
      </c>
      <c r="E122" s="14">
        <v>45405</v>
      </c>
      <c r="G122" s="74"/>
      <c r="P122" s="18">
        <v>1.41E-2</v>
      </c>
      <c r="Q122" s="18">
        <v>2.211746714035256</v>
      </c>
      <c r="R122" s="21">
        <v>0.24310000000000001</v>
      </c>
      <c r="S122" s="21">
        <v>2.0011720741917371</v>
      </c>
      <c r="T122" s="21">
        <v>7.2217497701126483</v>
      </c>
      <c r="U122" s="21">
        <v>0.127459516811434</v>
      </c>
      <c r="V122" s="21">
        <v>0.13812972689812589</v>
      </c>
      <c r="Z122" s="20">
        <v>-6.6047485892717814</v>
      </c>
      <c r="AA122" s="10">
        <v>-33.003274335061917</v>
      </c>
      <c r="AB122" s="17">
        <v>3.5551976173118738</v>
      </c>
      <c r="AC122" s="18">
        <v>1.7520449333274151</v>
      </c>
      <c r="AD122" s="21">
        <v>0.2434180232998012</v>
      </c>
      <c r="AE122" s="21">
        <v>6.3384166296820226</v>
      </c>
      <c r="AF122" s="21">
        <v>3.5074327481955762E-2</v>
      </c>
      <c r="AG122" s="21"/>
      <c r="AH122" s="21">
        <v>6.5626903130167547</v>
      </c>
      <c r="AI122" s="46"/>
    </row>
    <row r="123" spans="1:36" ht="16.2">
      <c r="A123" s="13" t="s">
        <v>146</v>
      </c>
      <c r="B123" s="32" t="s">
        <v>147</v>
      </c>
      <c r="C123" s="13">
        <v>121</v>
      </c>
      <c r="E123" s="14">
        <v>45412</v>
      </c>
      <c r="Z123" s="20">
        <v>-5.9446707095904401</v>
      </c>
      <c r="AA123" s="10">
        <v>-29.53971155080545</v>
      </c>
      <c r="AB123" s="17">
        <v>4.1990907612282076</v>
      </c>
      <c r="AC123" s="18">
        <v>1.673191483292843</v>
      </c>
      <c r="AD123" s="21">
        <v>0.26267332566864932</v>
      </c>
      <c r="AE123" s="21">
        <v>6.5182084507846278</v>
      </c>
      <c r="AF123" s="21">
        <v>4.5798498179531327E-2</v>
      </c>
      <c r="AG123" s="21"/>
      <c r="AH123" s="21">
        <v>5.7871761417754568</v>
      </c>
      <c r="AI123" s="46"/>
    </row>
    <row r="124" spans="1:36" ht="16.2">
      <c r="A124" s="13" t="s">
        <v>146</v>
      </c>
      <c r="B124" s="32" t="s">
        <v>147</v>
      </c>
      <c r="C124" s="13">
        <v>122</v>
      </c>
      <c r="E124" s="14">
        <v>45419</v>
      </c>
      <c r="Z124" s="20">
        <v>-6.4323140503034724</v>
      </c>
      <c r="AA124" s="10">
        <v>-30.815626957190801</v>
      </c>
      <c r="AB124" s="17">
        <v>4.1254380081347177</v>
      </c>
      <c r="AC124" s="18">
        <v>1.6449383099610519</v>
      </c>
      <c r="AD124" s="21">
        <v>0.25476461682452328</v>
      </c>
      <c r="AE124" s="21">
        <v>6.5064310627097788</v>
      </c>
      <c r="AF124" s="21">
        <v>4.5280386339927647E-2</v>
      </c>
      <c r="AG124" s="21"/>
      <c r="AH124" s="21">
        <v>5.7377070082347759</v>
      </c>
      <c r="AI124" s="46"/>
    </row>
    <row r="125" spans="1:36" ht="16.2">
      <c r="A125" s="13" t="s">
        <v>146</v>
      </c>
      <c r="B125" s="32" t="s">
        <v>147</v>
      </c>
      <c r="C125" s="13">
        <v>123</v>
      </c>
      <c r="E125" s="14">
        <v>45426</v>
      </c>
      <c r="Z125" s="20">
        <v>-6.5160435259012157</v>
      </c>
      <c r="AA125" s="10">
        <v>-31.35028638297473</v>
      </c>
      <c r="AB125" s="17">
        <v>4.1170449619122653</v>
      </c>
      <c r="AC125" s="18">
        <v>1.679185065701591</v>
      </c>
      <c r="AD125" s="21">
        <v>0.24275192821691061</v>
      </c>
      <c r="AE125" s="21">
        <v>6.5310089781529941</v>
      </c>
      <c r="AF125" s="21">
        <v>4.5857348402899338E-2</v>
      </c>
      <c r="AG125" s="21"/>
      <c r="AH125" s="21">
        <v>5.8665704003466406</v>
      </c>
      <c r="AI125" s="46"/>
    </row>
    <row r="126" spans="1:36" ht="16.2">
      <c r="A126" s="13" t="s">
        <v>62</v>
      </c>
      <c r="B126" s="13" t="s">
        <v>63</v>
      </c>
      <c r="C126" s="13">
        <v>124</v>
      </c>
      <c r="E126" s="14">
        <v>45433</v>
      </c>
      <c r="Z126" s="20">
        <v>-6.5232306053516647</v>
      </c>
      <c r="AA126" s="10">
        <v>-31.673504443610462</v>
      </c>
      <c r="AB126" s="17">
        <v>4.1296844405990258</v>
      </c>
      <c r="AC126" s="18">
        <v>1.7521388346686499</v>
      </c>
      <c r="AD126" s="21">
        <v>0.2545905242178037</v>
      </c>
      <c r="AE126" s="21">
        <v>6.6819861407741934</v>
      </c>
      <c r="AF126" s="21">
        <v>4.6718555338816588E-2</v>
      </c>
      <c r="AG126" s="21"/>
      <c r="AH126" s="21">
        <v>5.7905129314902748</v>
      </c>
      <c r="AI126" s="46"/>
    </row>
    <row r="127" spans="1:36" ht="16.2">
      <c r="A127" s="13" t="s">
        <v>62</v>
      </c>
      <c r="B127" s="13" t="s">
        <v>63</v>
      </c>
      <c r="C127" s="13">
        <v>125</v>
      </c>
      <c r="E127" s="14">
        <v>45440</v>
      </c>
      <c r="Z127" s="20">
        <v>-6.3586464859363598</v>
      </c>
      <c r="AA127" s="10">
        <v>-30.565773167277531</v>
      </c>
      <c r="AB127" s="17">
        <v>3.8918567452973112</v>
      </c>
      <c r="AC127" s="18">
        <v>1.5680999717085951</v>
      </c>
      <c r="AD127" s="21">
        <v>0.26610872022097698</v>
      </c>
      <c r="AE127" s="21">
        <v>6.0703751005568396</v>
      </c>
      <c r="AF127" s="21">
        <v>4.2555329400178317E-2</v>
      </c>
      <c r="AG127" s="21"/>
      <c r="AH127" s="21">
        <v>5.5535927874323372</v>
      </c>
      <c r="AI127" s="46"/>
    </row>
    <row r="128" spans="1:36" ht="16.2">
      <c r="A128" s="13" t="s">
        <v>62</v>
      </c>
      <c r="B128" s="13" t="s">
        <v>63</v>
      </c>
      <c r="C128" s="13">
        <v>126</v>
      </c>
      <c r="E128" s="14">
        <v>45446</v>
      </c>
      <c r="Z128" s="20">
        <v>-6.5825240108178766</v>
      </c>
      <c r="AA128" s="10">
        <v>-31.769362476582732</v>
      </c>
      <c r="AB128" s="17">
        <v>3.9450173241824489</v>
      </c>
      <c r="AC128" s="18">
        <v>1.5518909925244531</v>
      </c>
      <c r="AD128" s="21">
        <v>0.2464464275361529</v>
      </c>
      <c r="AE128" s="21">
        <v>6.1303999655674088</v>
      </c>
      <c r="AF128" s="21">
        <v>4.316594997375766E-2</v>
      </c>
      <c r="AG128" s="21"/>
      <c r="AH128" s="21">
        <v>5.6235728745954168</v>
      </c>
      <c r="AI128" s="46"/>
    </row>
    <row r="129" spans="1:35" ht="16.2">
      <c r="A129" s="13" t="s">
        <v>62</v>
      </c>
      <c r="B129" s="13" t="s">
        <v>63</v>
      </c>
      <c r="C129" s="13">
        <v>127</v>
      </c>
      <c r="E129" s="14">
        <v>45454</v>
      </c>
      <c r="Z129" s="20">
        <v>-6.4589062442701382</v>
      </c>
      <c r="AA129" s="10">
        <v>-31.055445068561841</v>
      </c>
      <c r="AB129" s="17">
        <v>2.7144094212736061</v>
      </c>
      <c r="AC129" s="18">
        <v>1.0832995384742581</v>
      </c>
      <c r="AD129" s="21">
        <v>0.18389403581103481</v>
      </c>
      <c r="AE129" s="21">
        <v>4.7588099286025258</v>
      </c>
      <c r="AF129" s="21">
        <v>3.4933884764275412E-2</v>
      </c>
      <c r="AG129" s="21"/>
      <c r="AH129" s="21">
        <v>5.048883772711612</v>
      </c>
      <c r="AI129" s="46"/>
    </row>
    <row r="130" spans="1:35" ht="16.2">
      <c r="A130" s="13" t="s">
        <v>62</v>
      </c>
      <c r="B130" s="13" t="s">
        <v>63</v>
      </c>
      <c r="C130" s="13">
        <v>128</v>
      </c>
      <c r="E130" s="14">
        <v>45461</v>
      </c>
      <c r="Z130" s="20">
        <v>-6.5052629067255401</v>
      </c>
      <c r="AA130" s="10">
        <v>-31.25546652364477</v>
      </c>
      <c r="AB130" s="17">
        <v>3.9296474266038972</v>
      </c>
      <c r="AC130" s="18">
        <v>1.5228427326910809</v>
      </c>
      <c r="AD130" s="21">
        <v>0.2338198534077055</v>
      </c>
      <c r="AE130" s="21">
        <v>6.0088078232820106</v>
      </c>
      <c r="AF130" s="21">
        <v>4.27414605939576E-2</v>
      </c>
      <c r="AG130" s="21"/>
      <c r="AH130" s="21">
        <v>5.8366481844334261</v>
      </c>
      <c r="AI130" s="46"/>
    </row>
    <row r="131" spans="1:35" ht="16.2">
      <c r="A131" s="13" t="s">
        <v>62</v>
      </c>
      <c r="B131" s="13" t="s">
        <v>63</v>
      </c>
      <c r="C131" s="13">
        <v>129</v>
      </c>
      <c r="E131" s="14">
        <v>45468</v>
      </c>
      <c r="Z131" s="20">
        <v>-6.561681480411572</v>
      </c>
      <c r="AA131" s="10">
        <v>-31.935816317231311</v>
      </c>
      <c r="AB131" s="17">
        <v>4.0031648454335</v>
      </c>
      <c r="AC131" s="18">
        <v>1.58142995435931</v>
      </c>
      <c r="AD131" s="21">
        <v>0.26952209201375288</v>
      </c>
      <c r="AE131" s="21">
        <v>6.1940971237468476</v>
      </c>
      <c r="AF131" s="21">
        <v>4.3564384179015238E-2</v>
      </c>
      <c r="AG131" s="21"/>
      <c r="AH131" s="21">
        <v>5.9027148454154448</v>
      </c>
      <c r="AI131" s="46"/>
    </row>
    <row r="132" spans="1:35" ht="16.2">
      <c r="A132" s="13" t="s">
        <v>62</v>
      </c>
      <c r="B132" s="13" t="s">
        <v>63</v>
      </c>
      <c r="C132" s="13">
        <v>130</v>
      </c>
      <c r="E132" s="14">
        <v>45475</v>
      </c>
      <c r="Z132" s="20">
        <v>-6.5505415072633753</v>
      </c>
      <c r="AA132" s="10">
        <v>-31.871103493528011</v>
      </c>
      <c r="AB132" s="17">
        <v>3.9870480833851079</v>
      </c>
      <c r="AC132" s="18">
        <v>1.581692236353085</v>
      </c>
      <c r="AD132" s="21">
        <v>0.26356827209237882</v>
      </c>
      <c r="AE132" s="21">
        <v>6.2295082956223968</v>
      </c>
      <c r="AF132" s="21">
        <v>4.4276958339595288E-2</v>
      </c>
      <c r="AG132" s="21"/>
      <c r="AH132" s="21">
        <v>5.8299812403244884</v>
      </c>
      <c r="AI132" s="46"/>
    </row>
    <row r="133" spans="1:35" ht="16.2">
      <c r="A133" s="13" t="s">
        <v>62</v>
      </c>
      <c r="B133" s="13" t="s">
        <v>63</v>
      </c>
      <c r="C133" s="13">
        <v>131</v>
      </c>
      <c r="E133" s="14">
        <v>45482</v>
      </c>
      <c r="Z133" s="20">
        <v>-6.5692279138345464</v>
      </c>
      <c r="AA133" s="10">
        <v>-31.744792367048319</v>
      </c>
      <c r="AB133" s="17">
        <v>4.0980507287757426</v>
      </c>
      <c r="AC133" s="18">
        <v>1.611188778494544</v>
      </c>
      <c r="AD133" s="21">
        <v>0.26076349909519397</v>
      </c>
      <c r="AE133" s="21">
        <v>6.4245139996160958</v>
      </c>
      <c r="AF133" s="21">
        <v>4.5118040941343591E-2</v>
      </c>
      <c r="AG133" s="21"/>
      <c r="AH133" s="21">
        <v>5.9342804416188359</v>
      </c>
      <c r="AI133" s="46"/>
    </row>
    <row r="134" spans="1:35" ht="16.2">
      <c r="A134" s="13" t="s">
        <v>62</v>
      </c>
      <c r="B134" s="13" t="s">
        <v>63</v>
      </c>
      <c r="C134" s="13">
        <v>132</v>
      </c>
      <c r="E134" s="14">
        <v>45489</v>
      </c>
      <c r="Z134" s="20">
        <v>-6.5598847105489604</v>
      </c>
      <c r="AA134" s="10">
        <v>-31.468638178196809</v>
      </c>
      <c r="AB134" s="17">
        <v>4.0777515639090023</v>
      </c>
      <c r="AC134" s="18">
        <v>1.5983418817304771</v>
      </c>
      <c r="AD134" s="21">
        <v>0.25256809724247192</v>
      </c>
      <c r="AE134" s="21">
        <v>6.4064960141752918</v>
      </c>
      <c r="AF134" s="21">
        <v>4.5366000904708048E-2</v>
      </c>
      <c r="AG134" s="21"/>
      <c r="AH134" s="21">
        <v>5.8822166028290797</v>
      </c>
      <c r="AI134" s="46"/>
    </row>
    <row r="135" spans="1:35" ht="16.2">
      <c r="A135" s="13" t="s">
        <v>62</v>
      </c>
      <c r="B135" s="13" t="s">
        <v>63</v>
      </c>
      <c r="C135" s="13">
        <v>133</v>
      </c>
      <c r="E135" s="14">
        <v>45496</v>
      </c>
      <c r="Z135" s="20">
        <v>-6.5818053028728327</v>
      </c>
      <c r="AA135" s="10">
        <v>-31.75032929314057</v>
      </c>
      <c r="AB135" s="17">
        <v>4.1518096864710374</v>
      </c>
      <c r="AC135" s="18">
        <v>1.674416775157882</v>
      </c>
      <c r="AD135" s="21">
        <v>0.26475901925661571</v>
      </c>
      <c r="AE135" s="21">
        <v>6.5919117611124216</v>
      </c>
      <c r="AF135" s="21">
        <v>4.5595203253991683E-2</v>
      </c>
      <c r="AG135" s="21"/>
      <c r="AH135" s="21">
        <v>6.0199264150454628</v>
      </c>
      <c r="AI135" s="46"/>
    </row>
    <row r="136" spans="1:35" ht="16.2">
      <c r="A136" s="13" t="s">
        <v>62</v>
      </c>
      <c r="B136" s="13" t="s">
        <v>63</v>
      </c>
      <c r="C136" s="13">
        <v>134</v>
      </c>
      <c r="E136" s="14">
        <v>45503</v>
      </c>
      <c r="G136" s="16" t="s">
        <v>66</v>
      </c>
      <c r="Z136" s="20">
        <v>-7.2225334358804503</v>
      </c>
      <c r="AA136" s="10">
        <v>-37.149524348856417</v>
      </c>
      <c r="AB136" s="17">
        <v>3.1822236684406482</v>
      </c>
      <c r="AC136" s="18">
        <v>0.98034613513078772</v>
      </c>
      <c r="AD136" s="21">
        <v>0.25634988396515862</v>
      </c>
      <c r="AE136" s="21">
        <v>3.5837586852329659</v>
      </c>
      <c r="AF136" s="21">
        <v>2.8275295001696819E-2</v>
      </c>
      <c r="AG136" s="21"/>
      <c r="AH136" s="21">
        <v>5.1960030251271494</v>
      </c>
      <c r="AI136" s="46"/>
    </row>
    <row r="137" spans="1:35">
      <c r="A137" s="13" t="s">
        <v>62</v>
      </c>
      <c r="B137" s="13" t="s">
        <v>63</v>
      </c>
      <c r="C137" s="13">
        <v>135</v>
      </c>
      <c r="E137" s="14">
        <v>45510</v>
      </c>
      <c r="Z137" s="20">
        <v>-7.2798759999999989</v>
      </c>
      <c r="AA137" s="10">
        <v>-37.265631199999987</v>
      </c>
      <c r="AB137" s="17">
        <v>3.5664647475170161</v>
      </c>
      <c r="AC137" s="18">
        <v>1.2219420224149591</v>
      </c>
      <c r="AD137" s="21">
        <v>0.23591231865411591</v>
      </c>
      <c r="AE137" s="21">
        <v>4.680276275281499</v>
      </c>
      <c r="AF137" s="21">
        <v>3.4674636246754563E-2</v>
      </c>
      <c r="AG137" s="21"/>
      <c r="AH137" s="21">
        <v>5.5613344510393752</v>
      </c>
    </row>
    <row r="138" spans="1:35">
      <c r="A138" s="13" t="s">
        <v>62</v>
      </c>
      <c r="B138" s="13" t="s">
        <v>63</v>
      </c>
      <c r="C138" s="13">
        <v>136</v>
      </c>
      <c r="E138" s="14">
        <v>45517</v>
      </c>
      <c r="Z138" s="20">
        <v>-7.1900759999999986</v>
      </c>
      <c r="AA138" s="10">
        <v>-36.685490666666666</v>
      </c>
      <c r="AB138" s="17">
        <v>3.6782044054690468</v>
      </c>
      <c r="AC138" s="18">
        <v>1.275726742647628</v>
      </c>
      <c r="AD138" s="21">
        <v>0.22546538748802</v>
      </c>
      <c r="AE138" s="21">
        <v>4.8765450908456636</v>
      </c>
      <c r="AF138" s="21">
        <v>3.6627568952017263E-2</v>
      </c>
      <c r="AG138" s="21"/>
      <c r="AH138" s="21">
        <v>5.6796036613026102</v>
      </c>
    </row>
    <row r="139" spans="1:35">
      <c r="A139" s="13" t="s">
        <v>62</v>
      </c>
      <c r="B139" s="13" t="s">
        <v>63</v>
      </c>
      <c r="C139" s="13">
        <v>137</v>
      </c>
      <c r="E139" s="14">
        <v>45524</v>
      </c>
      <c r="Z139" s="20">
        <v>-7.4849791999999988</v>
      </c>
      <c r="AA139" s="10">
        <v>-38.936906133333324</v>
      </c>
      <c r="AB139" s="17">
        <v>3.5453568106033551</v>
      </c>
      <c r="AC139" s="18">
        <v>1.230616041340832</v>
      </c>
      <c r="AD139" s="21">
        <v>0.22718719181770791</v>
      </c>
      <c r="AE139" s="21">
        <v>4.7556032002603281</v>
      </c>
      <c r="AF139" s="21">
        <v>3.4952486588126629E-2</v>
      </c>
      <c r="AG139" s="21"/>
      <c r="AH139" s="21">
        <v>5.6302068902375746</v>
      </c>
    </row>
    <row r="140" spans="1:35">
      <c r="A140" s="13" t="s">
        <v>62</v>
      </c>
      <c r="B140" s="13" t="s">
        <v>63</v>
      </c>
      <c r="C140" s="13">
        <v>138</v>
      </c>
      <c r="E140" s="14">
        <v>45531</v>
      </c>
      <c r="Z140" s="20">
        <v>-7.2884967999999999</v>
      </c>
      <c r="AA140" s="10">
        <v>-37.246961599999992</v>
      </c>
      <c r="AB140" s="17">
        <v>3.672641346618875</v>
      </c>
      <c r="AC140" s="18">
        <v>1.2917003191771279</v>
      </c>
      <c r="AD140" s="21">
        <v>0.22861595516764879</v>
      </c>
      <c r="AE140" s="21">
        <v>4.6905742317820369</v>
      </c>
      <c r="AF140" s="21">
        <v>3.6186422459026611E-2</v>
      </c>
      <c r="AG140" s="21"/>
      <c r="AH140" s="21">
        <v>5.8114623758839574</v>
      </c>
    </row>
    <row r="141" spans="1:35">
      <c r="A141" s="13" t="s">
        <v>62</v>
      </c>
      <c r="B141" s="13" t="s">
        <v>63</v>
      </c>
      <c r="C141" s="13">
        <v>139</v>
      </c>
      <c r="E141" s="14">
        <v>45538</v>
      </c>
      <c r="Z141" s="20">
        <v>-7.1024311999999998</v>
      </c>
      <c r="AA141" s="10">
        <v>-35.782780933333328</v>
      </c>
      <c r="AB141" s="17">
        <v>3.8816342545710172</v>
      </c>
      <c r="AC141" s="18">
        <v>1.390876300842228</v>
      </c>
      <c r="AD141" s="21">
        <v>0.23658699374250261</v>
      </c>
      <c r="AE141" s="21">
        <v>5.5144887335009081</v>
      </c>
      <c r="AF141" s="21">
        <v>3.9743094616930541E-2</v>
      </c>
      <c r="AG141" s="21"/>
      <c r="AH141" s="21">
        <v>5.9975335220947281</v>
      </c>
    </row>
    <row r="142" spans="1:35">
      <c r="A142" s="13" t="s">
        <v>62</v>
      </c>
      <c r="B142" s="13" t="s">
        <v>63</v>
      </c>
      <c r="C142" s="13">
        <v>140</v>
      </c>
      <c r="E142" s="14">
        <v>45545</v>
      </c>
      <c r="Z142" s="20">
        <v>-7.1009943999999976</v>
      </c>
      <c r="AA142" s="10">
        <v>-35.654513866666662</v>
      </c>
      <c r="AB142" s="17">
        <v>3.9195466561191572</v>
      </c>
      <c r="AC142" s="18">
        <v>1.451754631828329</v>
      </c>
      <c r="AD142" s="21">
        <v>0.23812790368158571</v>
      </c>
      <c r="AE142" s="21">
        <v>5.7233216605551283</v>
      </c>
      <c r="AF142" s="21">
        <v>4.083714183291056E-2</v>
      </c>
      <c r="AG142" s="21"/>
      <c r="AH142" s="21">
        <v>6.0212923411293922</v>
      </c>
    </row>
    <row r="143" spans="1:35">
      <c r="A143" s="13" t="s">
        <v>62</v>
      </c>
      <c r="B143" s="13" t="s">
        <v>63</v>
      </c>
      <c r="C143" s="13">
        <v>141</v>
      </c>
      <c r="E143" s="14">
        <v>45551</v>
      </c>
      <c r="Z143" s="20">
        <v>-7.0550167999999989</v>
      </c>
      <c r="AA143" s="10">
        <v>-35.439467733333338</v>
      </c>
      <c r="AB143" s="17">
        <v>3.9134383419509731</v>
      </c>
      <c r="AC143" s="18">
        <v>1.4826475991377259</v>
      </c>
      <c r="AD143" s="21">
        <v>0.24163797514702859</v>
      </c>
      <c r="AE143" s="21">
        <v>6.0106237888880534</v>
      </c>
      <c r="AF143" s="21">
        <v>4.2513587296205087E-2</v>
      </c>
      <c r="AG143" s="21"/>
      <c r="AH143" s="21">
        <v>5.8988723593364831</v>
      </c>
    </row>
    <row r="144" spans="1:35">
      <c r="A144" s="13" t="s">
        <v>62</v>
      </c>
      <c r="B144" s="13" t="s">
        <v>63</v>
      </c>
      <c r="C144" s="13">
        <v>142</v>
      </c>
      <c r="E144" s="14">
        <v>45559</v>
      </c>
      <c r="AB144" s="17">
        <v>2.480673133323263</v>
      </c>
      <c r="AC144" s="18">
        <v>0.91590073457627308</v>
      </c>
      <c r="AD144" s="21">
        <v>0.38118698700500442</v>
      </c>
      <c r="AE144" s="21">
        <v>4.5287073508667026</v>
      </c>
      <c r="AF144" s="21">
        <v>3.3992745633644079E-2</v>
      </c>
      <c r="AG144" s="21"/>
      <c r="AH144" s="21">
        <v>5.9127453068622184</v>
      </c>
    </row>
    <row r="145" spans="1:34">
      <c r="A145" s="13" t="s">
        <v>62</v>
      </c>
      <c r="B145" s="13" t="s">
        <v>63</v>
      </c>
      <c r="C145" s="13">
        <v>143</v>
      </c>
      <c r="E145" s="14">
        <v>45565</v>
      </c>
      <c r="AB145" s="17">
        <v>3.4124713193023251</v>
      </c>
      <c r="AC145" s="18">
        <v>1.2193236304991637</v>
      </c>
      <c r="AD145" s="21">
        <v>0.35484814408979759</v>
      </c>
      <c r="AE145" s="21">
        <v>4.6449214227266626</v>
      </c>
      <c r="AF145" s="21">
        <v>3.3820639648767407E-2</v>
      </c>
      <c r="AG145" s="21"/>
      <c r="AH145" s="21">
        <v>5.4223819821006094</v>
      </c>
    </row>
    <row r="146" spans="1:34">
      <c r="A146" s="13" t="s">
        <v>62</v>
      </c>
      <c r="B146" s="13" t="s">
        <v>63</v>
      </c>
      <c r="C146" s="13">
        <v>144</v>
      </c>
      <c r="E146" s="14">
        <v>45572</v>
      </c>
      <c r="AB146" s="17">
        <v>3.1310884447048082</v>
      </c>
      <c r="AC146" s="18">
        <v>0.98395117756325534</v>
      </c>
      <c r="AD146" s="21">
        <v>0.32692839404311974</v>
      </c>
      <c r="AE146" s="21">
        <v>3.6225223305637271</v>
      </c>
      <c r="AF146" s="21">
        <v>2.7895046332757956E-2</v>
      </c>
      <c r="AG146" s="21"/>
      <c r="AH146" s="21">
        <v>5.3059772520147392</v>
      </c>
    </row>
    <row r="147" spans="1:34">
      <c r="A147" s="13" t="s">
        <v>62</v>
      </c>
      <c r="B147" s="13" t="s">
        <v>63</v>
      </c>
      <c r="C147" s="13">
        <v>146</v>
      </c>
      <c r="E147" s="14">
        <v>45580</v>
      </c>
      <c r="AB147" s="17">
        <v>3.4788816918817362</v>
      </c>
      <c r="AC147" s="18">
        <v>1.1625673082703456</v>
      </c>
      <c r="AD147" s="21">
        <v>0.33950280826301688</v>
      </c>
      <c r="AE147" s="21">
        <v>4.4030686467822493</v>
      </c>
      <c r="AF147" s="21">
        <v>3.2473775810640877E-2</v>
      </c>
      <c r="AG147" s="21"/>
      <c r="AH147" s="21">
        <v>5.842441626269542</v>
      </c>
    </row>
    <row r="148" spans="1:34">
      <c r="A148" s="13" t="s">
        <v>62</v>
      </c>
      <c r="B148" s="13" t="s">
        <v>63</v>
      </c>
      <c r="C148" s="13">
        <v>147</v>
      </c>
      <c r="E148" s="14">
        <v>45587</v>
      </c>
      <c r="AB148" s="17">
        <v>3.5322384250782153</v>
      </c>
      <c r="AC148" s="18">
        <v>1.2064559595630797</v>
      </c>
      <c r="AD148" s="21">
        <v>0.33933035648474946</v>
      </c>
      <c r="AE148" s="21">
        <v>4.5204885902787151</v>
      </c>
      <c r="AF148" s="21">
        <v>3.3488724843528078E-2</v>
      </c>
      <c r="AG148" s="21"/>
      <c r="AH148" s="21">
        <v>5.5883933677975115</v>
      </c>
    </row>
    <row r="149" spans="1:34">
      <c r="A149" s="13" t="s">
        <v>62</v>
      </c>
      <c r="B149" s="13" t="s">
        <v>63</v>
      </c>
      <c r="C149" s="13">
        <v>148</v>
      </c>
      <c r="E149" s="14">
        <v>45594</v>
      </c>
      <c r="AB149" s="17">
        <v>5.3896593998556401</v>
      </c>
      <c r="AC149" s="18">
        <v>1.4214791195568934</v>
      </c>
      <c r="AD149" s="21">
        <v>1.0293374554071193</v>
      </c>
      <c r="AE149" s="21">
        <v>5.1574942835046542</v>
      </c>
      <c r="AF149" s="21">
        <v>3.6723066960424121E-2</v>
      </c>
      <c r="AG149" s="21"/>
      <c r="AH149" s="21">
        <v>6.8382261699341198</v>
      </c>
    </row>
    <row r="150" spans="1:34">
      <c r="A150" s="13" t="s">
        <v>62</v>
      </c>
      <c r="B150" s="13" t="s">
        <v>63</v>
      </c>
      <c r="C150" s="13">
        <v>149</v>
      </c>
      <c r="E150" s="14">
        <v>45601</v>
      </c>
      <c r="AB150" s="17">
        <v>2.8411134652040664</v>
      </c>
      <c r="AC150" s="18">
        <v>0.79306784511883122</v>
      </c>
      <c r="AD150" s="21">
        <v>0.34716316774129646</v>
      </c>
      <c r="AE150" s="21">
        <v>2.9375970224737724</v>
      </c>
      <c r="AF150" s="21">
        <v>2.3029767667812371E-2</v>
      </c>
      <c r="AG150" s="21"/>
      <c r="AH150" s="21">
        <v>4.7805517167567002</v>
      </c>
    </row>
    <row r="151" spans="1:34">
      <c r="A151" s="13" t="s">
        <v>62</v>
      </c>
      <c r="B151" s="13" t="s">
        <v>63</v>
      </c>
      <c r="C151" s="13">
        <v>150</v>
      </c>
      <c r="E151" s="14">
        <v>45608</v>
      </c>
    </row>
    <row r="152" spans="1:34">
      <c r="A152" s="13" t="s">
        <v>62</v>
      </c>
      <c r="B152" s="13" t="s">
        <v>63</v>
      </c>
      <c r="C152" s="13">
        <v>151</v>
      </c>
      <c r="E152" s="14">
        <v>45615</v>
      </c>
      <c r="AB152" s="17">
        <v>3.157448761795167</v>
      </c>
      <c r="AC152" s="18">
        <v>0.96486380330773347</v>
      </c>
      <c r="AD152" s="21">
        <v>0.31609601595488263</v>
      </c>
      <c r="AE152" s="21">
        <v>3.4523526045571531</v>
      </c>
      <c r="AF152" s="21">
        <v>2.6224711282961957E-2</v>
      </c>
      <c r="AG152" s="21"/>
      <c r="AH152" s="21">
        <v>5.3287483428036584</v>
      </c>
    </row>
    <row r="153" spans="1:34">
      <c r="A153" s="13" t="s">
        <v>62</v>
      </c>
      <c r="B153" s="13" t="s">
        <v>63</v>
      </c>
      <c r="C153" s="13">
        <v>152</v>
      </c>
      <c r="E153" s="14">
        <v>45622</v>
      </c>
      <c r="AB153" s="17">
        <v>3.1084802740046023</v>
      </c>
      <c r="AC153" s="18">
        <v>0.9307013503574324</v>
      </c>
      <c r="AD153" s="21">
        <v>0.31200132640016504</v>
      </c>
      <c r="AE153" s="21">
        <v>3.3528367091219962</v>
      </c>
      <c r="AF153" s="21">
        <v>2.5823629867517673E-2</v>
      </c>
      <c r="AG153" s="21"/>
      <c r="AH153" s="21">
        <v>5.3026325611589593</v>
      </c>
    </row>
    <row r="154" spans="1:34">
      <c r="A154" s="13" t="s">
        <v>62</v>
      </c>
      <c r="B154" s="13" t="s">
        <v>63</v>
      </c>
      <c r="C154" s="13">
        <v>153</v>
      </c>
      <c r="E154" s="14">
        <v>45629</v>
      </c>
      <c r="AB154" s="17">
        <v>3.5010282406889459</v>
      </c>
      <c r="AC154" s="18">
        <v>1.089178216776421</v>
      </c>
      <c r="AD154" s="21">
        <v>0.32392726651898124</v>
      </c>
      <c r="AE154" s="21">
        <v>4.0575120441939729</v>
      </c>
      <c r="AF154" s="21">
        <v>3.0038706017145402E-2</v>
      </c>
      <c r="AG154" s="21"/>
      <c r="AH154" s="21">
        <v>5.7868356278644288</v>
      </c>
    </row>
    <row r="155" spans="1:34">
      <c r="A155" s="13" t="s">
        <v>62</v>
      </c>
      <c r="B155" s="13" t="s">
        <v>63</v>
      </c>
      <c r="C155" s="13">
        <v>154</v>
      </c>
      <c r="E155" s="14">
        <v>45636</v>
      </c>
      <c r="AB155" s="17">
        <v>3.3455381529898074</v>
      </c>
      <c r="AC155" s="18">
        <v>1.1170926558564076</v>
      </c>
      <c r="AD155" s="21">
        <v>0.32069621583629199</v>
      </c>
      <c r="AE155" s="21">
        <v>4.1602477598278673</v>
      </c>
      <c r="AF155" s="21">
        <v>3.0415842360357506E-2</v>
      </c>
      <c r="AG155" s="21"/>
      <c r="AH155" s="21">
        <v>5.4674301289877114</v>
      </c>
    </row>
    <row r="156" spans="1:34">
      <c r="A156" s="13" t="s">
        <v>62</v>
      </c>
      <c r="B156" s="13" t="s">
        <v>63</v>
      </c>
      <c r="C156" s="13">
        <v>155</v>
      </c>
      <c r="E156" s="14">
        <v>45643</v>
      </c>
      <c r="AB156" s="17">
        <v>3.3981623830093066</v>
      </c>
      <c r="AC156" s="18">
        <v>1.1843632055107487</v>
      </c>
      <c r="AD156" s="21">
        <v>0.31005983429514283</v>
      </c>
      <c r="AE156" s="21">
        <v>4.4310549106324855</v>
      </c>
      <c r="AF156" s="21">
        <v>3.271745102133837E-2</v>
      </c>
      <c r="AG156" s="21"/>
      <c r="AH156" s="21">
        <v>5.5767393041193234</v>
      </c>
    </row>
    <row r="157" spans="1:34">
      <c r="A157" s="13" t="s">
        <v>62</v>
      </c>
      <c r="B157" s="13" t="s">
        <v>63</v>
      </c>
      <c r="C157" s="13">
        <v>156</v>
      </c>
      <c r="E157" s="14">
        <v>45650</v>
      </c>
      <c r="AB157" s="17">
        <v>2.1487912960109692</v>
      </c>
      <c r="AC157" s="18">
        <v>0.64042322926500284</v>
      </c>
      <c r="AD157" s="21">
        <v>0.28452266263451731</v>
      </c>
      <c r="AE157" s="21">
        <v>2.7153035140450714</v>
      </c>
      <c r="AF157" s="21">
        <v>2.1018358509189653E-2</v>
      </c>
      <c r="AG157" s="21"/>
      <c r="AH157" s="21">
        <v>3.8210165011937947</v>
      </c>
    </row>
    <row r="158" spans="1:34">
      <c r="A158" s="13" t="s">
        <v>62</v>
      </c>
      <c r="B158" s="13" t="s">
        <v>63</v>
      </c>
      <c r="C158" s="13">
        <v>157</v>
      </c>
      <c r="E158" s="14">
        <v>45656</v>
      </c>
      <c r="AB158" s="17">
        <v>3.3570851351254878</v>
      </c>
      <c r="AC158" s="18">
        <v>1.0776045789861117</v>
      </c>
      <c r="AD158" s="21">
        <v>0.31234013452044596</v>
      </c>
      <c r="AE158" s="21">
        <v>3.9801710456790032</v>
      </c>
      <c r="AF158" s="21">
        <v>2.9955705021711191E-2</v>
      </c>
      <c r="AG158" s="21"/>
      <c r="AH158" s="21">
        <v>5.525052398491705</v>
      </c>
    </row>
    <row r="159" spans="1:34">
      <c r="A159" s="13" t="s">
        <v>62</v>
      </c>
      <c r="B159" s="13" t="s">
        <v>63</v>
      </c>
      <c r="C159" s="13">
        <v>158</v>
      </c>
      <c r="E159" s="14">
        <v>45664</v>
      </c>
      <c r="AB159" s="17">
        <v>3.5497671538307762</v>
      </c>
      <c r="AC159" s="18">
        <v>1.1275547326654654</v>
      </c>
      <c r="AD159" s="21">
        <v>0.30731834836482746</v>
      </c>
      <c r="AE159" s="21">
        <v>4.1791588579150201</v>
      </c>
      <c r="AF159" s="21">
        <v>3.1136484179185808E-2</v>
      </c>
      <c r="AG159" s="21"/>
      <c r="AH159" s="21">
        <v>5.485929471643721</v>
      </c>
    </row>
    <row r="160" spans="1:34">
      <c r="A160" s="13" t="s">
        <v>62</v>
      </c>
      <c r="B160" s="13" t="s">
        <v>63</v>
      </c>
      <c r="C160" s="13">
        <v>159</v>
      </c>
      <c r="E160" s="14">
        <v>45671</v>
      </c>
      <c r="AB160" s="17">
        <v>3.4497101570911211</v>
      </c>
      <c r="AC160" s="18">
        <v>1.2073727712954567</v>
      </c>
      <c r="AD160" s="21">
        <v>0.29987691557386814</v>
      </c>
      <c r="AE160" s="21">
        <v>4.4974732672082798</v>
      </c>
      <c r="AF160" s="21">
        <v>3.3537894045397282E-2</v>
      </c>
      <c r="AG160" s="21"/>
      <c r="AH160" s="21">
        <v>5.3423330904076458</v>
      </c>
    </row>
    <row r="161" spans="1:34">
      <c r="A161" s="13" t="s">
        <v>62</v>
      </c>
      <c r="B161" s="13" t="s">
        <v>63</v>
      </c>
      <c r="C161" s="13">
        <v>160</v>
      </c>
      <c r="E161" s="14">
        <v>45677</v>
      </c>
      <c r="AB161" s="17">
        <v>3.5127078087230084</v>
      </c>
      <c r="AC161" s="18">
        <v>1.2351196922990344</v>
      </c>
      <c r="AD161" s="21">
        <v>0.30558727610848219</v>
      </c>
      <c r="AE161" s="21">
        <v>4.6205974372355936</v>
      </c>
      <c r="AF161" s="21">
        <v>3.4200408541833448E-2</v>
      </c>
      <c r="AG161" s="21"/>
      <c r="AH161" s="21">
        <v>5.3876271508079192</v>
      </c>
    </row>
    <row r="162" spans="1:34">
      <c r="A162" s="13" t="s">
        <v>62</v>
      </c>
      <c r="B162" s="13" t="s">
        <v>63</v>
      </c>
      <c r="C162" s="13">
        <v>161</v>
      </c>
      <c r="E162" s="14">
        <v>45684</v>
      </c>
      <c r="AB162" s="17">
        <v>3.5341609189808971</v>
      </c>
      <c r="AC162" s="18">
        <v>1.2880611994056133</v>
      </c>
      <c r="AD162" s="21">
        <v>0.30953127074604087</v>
      </c>
      <c r="AE162" s="21">
        <v>4.7533173260763641</v>
      </c>
      <c r="AF162" s="21">
        <v>3.4881353992168296E-2</v>
      </c>
      <c r="AG162" s="21"/>
      <c r="AH162" s="21">
        <v>5.3996632789340131</v>
      </c>
    </row>
    <row r="163" spans="1:34">
      <c r="A163" s="13" t="s">
        <v>62</v>
      </c>
      <c r="B163" s="13" t="s">
        <v>63</v>
      </c>
      <c r="C163" s="13">
        <v>162</v>
      </c>
      <c r="E163" s="14">
        <v>45692</v>
      </c>
      <c r="AB163" s="17">
        <v>3.4678419772247677</v>
      </c>
      <c r="AC163" s="18">
        <v>1.2632001025851813</v>
      </c>
      <c r="AD163" s="21">
        <v>0.30675365767571788</v>
      </c>
      <c r="AE163" s="21">
        <v>4.8286353852336292</v>
      </c>
      <c r="AF163" s="21">
        <v>3.5224354089471457E-2</v>
      </c>
      <c r="AG163" s="21"/>
      <c r="AH163" s="21">
        <v>5.158389959125854</v>
      </c>
    </row>
    <row r="164" spans="1:34">
      <c r="A164" s="13" t="s">
        <v>62</v>
      </c>
      <c r="B164" s="13" t="s">
        <v>63</v>
      </c>
      <c r="C164" s="13">
        <v>163</v>
      </c>
      <c r="E164" s="14">
        <v>45699</v>
      </c>
      <c r="AB164" s="17">
        <v>3.4619321664660885</v>
      </c>
      <c r="AC164" s="18">
        <v>1.288953516503107</v>
      </c>
      <c r="AD164" s="21">
        <v>0.29815691584589038</v>
      </c>
      <c r="AE164" s="21">
        <v>4.8388849460294665</v>
      </c>
      <c r="AF164" s="21">
        <v>3.5343039867681683E-2</v>
      </c>
      <c r="AG164" s="21"/>
      <c r="AH164" s="21">
        <v>5.1306370029595127</v>
      </c>
    </row>
    <row r="165" spans="1:34">
      <c r="A165" s="13" t="s">
        <v>62</v>
      </c>
      <c r="B165" s="13" t="s">
        <v>63</v>
      </c>
      <c r="C165" s="13">
        <v>164</v>
      </c>
      <c r="E165" s="14">
        <v>45706</v>
      </c>
      <c r="AB165" s="17">
        <v>3.3549861386069453</v>
      </c>
      <c r="AC165" s="18">
        <v>1.1185975809974567</v>
      </c>
      <c r="AD165" s="21">
        <v>0.30198349738707719</v>
      </c>
      <c r="AE165" s="21">
        <v>4.2192267867077637</v>
      </c>
      <c r="AF165" s="21">
        <v>3.0665933655117487E-2</v>
      </c>
      <c r="AG165" s="21"/>
      <c r="AH165" s="21">
        <v>5.1040178209673668</v>
      </c>
    </row>
    <row r="166" spans="1:34">
      <c r="A166" s="13" t="s">
        <v>62</v>
      </c>
      <c r="B166" s="13" t="s">
        <v>63</v>
      </c>
      <c r="C166" s="13">
        <v>165</v>
      </c>
      <c r="E166" s="14">
        <v>45713</v>
      </c>
      <c r="AB166" s="17">
        <v>3.2323013159812795</v>
      </c>
      <c r="AC166" s="18">
        <v>1.0936305624133589</v>
      </c>
      <c r="AD166" s="21">
        <v>0.29913289823669859</v>
      </c>
      <c r="AE166" s="21">
        <v>4.0859553164556406</v>
      </c>
      <c r="AF166" s="21">
        <v>3.0256605553473977E-2</v>
      </c>
      <c r="AG166" s="21"/>
      <c r="AH166" s="21">
        <v>5.121742107423195</v>
      </c>
    </row>
    <row r="167" spans="1:34">
      <c r="A167" s="13" t="s">
        <v>62</v>
      </c>
      <c r="B167" s="13" t="s">
        <v>63</v>
      </c>
      <c r="C167" s="13">
        <v>166</v>
      </c>
      <c r="E167" s="14">
        <v>45720</v>
      </c>
      <c r="AB167" s="17">
        <v>3.3663001089262914</v>
      </c>
      <c r="AC167" s="18">
        <v>1.1510461328922654</v>
      </c>
      <c r="AD167" s="21">
        <v>0.30431287497935017</v>
      </c>
      <c r="AE167" s="21">
        <v>4.2734142467001632</v>
      </c>
      <c r="AF167" s="21">
        <v>3.1771467862542084E-2</v>
      </c>
      <c r="AG167" s="21"/>
      <c r="AH167" s="21">
        <v>5.4102645943734453</v>
      </c>
    </row>
    <row r="168" spans="1:34">
      <c r="A168" s="13" t="s">
        <v>62</v>
      </c>
      <c r="B168" s="13" t="s">
        <v>63</v>
      </c>
      <c r="C168" s="13">
        <v>167</v>
      </c>
      <c r="E168" s="14">
        <v>45727</v>
      </c>
      <c r="AB168" s="17">
        <v>3.3006575595333358</v>
      </c>
      <c r="AC168" s="18">
        <v>1.1243823348763278</v>
      </c>
      <c r="AD168" s="21">
        <v>0.29691175264477054</v>
      </c>
      <c r="AE168" s="21">
        <v>4.1982974765640231</v>
      </c>
      <c r="AF168" s="21">
        <v>3.1184719155789326E-2</v>
      </c>
      <c r="AG168" s="21"/>
      <c r="AH168" s="21">
        <v>5.1819408280637989</v>
      </c>
    </row>
    <row r="169" spans="1:34">
      <c r="A169" s="13" t="s">
        <v>62</v>
      </c>
      <c r="B169" s="13" t="s">
        <v>63</v>
      </c>
      <c r="C169" s="13">
        <v>168</v>
      </c>
      <c r="E169" s="14">
        <v>45734</v>
      </c>
      <c r="AB169" s="17">
        <v>3.4132051486305821</v>
      </c>
      <c r="AC169" s="18">
        <v>1.16582311394906</v>
      </c>
      <c r="AD169" s="21">
        <v>0.30308912764259838</v>
      </c>
      <c r="AE169" s="21">
        <v>4.404992815014416</v>
      </c>
      <c r="AF169" s="21">
        <v>3.1975089365905741E-2</v>
      </c>
      <c r="AG169" s="21"/>
      <c r="AH169" s="21">
        <v>5.2989787317347119</v>
      </c>
    </row>
    <row r="170" spans="1:34">
      <c r="A170" s="13" t="s">
        <v>62</v>
      </c>
      <c r="B170" s="13" t="s">
        <v>63</v>
      </c>
      <c r="C170" s="13">
        <v>169</v>
      </c>
      <c r="E170" s="14">
        <v>45740</v>
      </c>
      <c r="AB170" s="17">
        <v>3.3693697940519907</v>
      </c>
      <c r="AC170" s="18">
        <v>1.1993038631990498</v>
      </c>
      <c r="AD170" s="21">
        <v>0.30681672633973933</v>
      </c>
      <c r="AE170" s="21">
        <v>4.6920399312551435</v>
      </c>
      <c r="AF170" s="21">
        <v>3.3616134350384838E-2</v>
      </c>
      <c r="AG170" s="21"/>
      <c r="AH170" s="21">
        <v>5.3396680239605852</v>
      </c>
    </row>
    <row r="171" spans="1:34">
      <c r="A171" s="13" t="s">
        <v>62</v>
      </c>
      <c r="B171" s="13" t="s">
        <v>63</v>
      </c>
      <c r="C171" s="13">
        <v>170</v>
      </c>
      <c r="E171" s="14">
        <v>45747</v>
      </c>
      <c r="AB171" s="17">
        <v>3.3496066054048739</v>
      </c>
      <c r="AC171" s="18">
        <v>1.2000502729964602</v>
      </c>
      <c r="AD171" s="21">
        <v>0.31753982927140351</v>
      </c>
      <c r="AE171" s="21">
        <v>4.4943749280647447</v>
      </c>
      <c r="AF171" s="21">
        <v>3.3414558590523641E-2</v>
      </c>
      <c r="AG171" s="21"/>
      <c r="AH171" s="21">
        <v>5.196177325141595</v>
      </c>
    </row>
    <row r="172" spans="1:34">
      <c r="A172" s="13" t="s">
        <v>62</v>
      </c>
      <c r="B172" s="13" t="s">
        <v>63</v>
      </c>
      <c r="C172" s="13">
        <v>171</v>
      </c>
      <c r="E172" s="14">
        <v>45755</v>
      </c>
      <c r="AB172" s="17">
        <v>3.2836335488013151</v>
      </c>
      <c r="AC172" s="18">
        <v>1.1163632797945882</v>
      </c>
      <c r="AD172" s="21">
        <v>0.30596717907326071</v>
      </c>
      <c r="AE172" s="21">
        <v>4.1426302219076696</v>
      </c>
      <c r="AF172" s="21">
        <v>3.109349555410431E-2</v>
      </c>
      <c r="AG172" s="21"/>
      <c r="AH172" s="21">
        <v>5.225817250729718</v>
      </c>
    </row>
    <row r="173" spans="1:34">
      <c r="A173" s="13" t="s">
        <v>62</v>
      </c>
      <c r="B173" s="13" t="s">
        <v>63</v>
      </c>
      <c r="C173" s="13">
        <v>172</v>
      </c>
      <c r="E173" s="14">
        <v>45762</v>
      </c>
      <c r="AB173" s="17">
        <v>3.3913715390478978</v>
      </c>
      <c r="AC173" s="18">
        <v>1.2224663390754416</v>
      </c>
      <c r="AD173" s="21">
        <v>0.31282363591094714</v>
      </c>
      <c r="AE173" s="21">
        <v>4.5752884920527546</v>
      </c>
      <c r="AF173" s="21">
        <v>3.3961275589396094E-2</v>
      </c>
      <c r="AG173" s="21"/>
      <c r="AH173" s="21">
        <v>5.3009264552770716</v>
      </c>
    </row>
    <row r="174" spans="1:34">
      <c r="A174" s="13" t="s">
        <v>62</v>
      </c>
      <c r="B174" s="13" t="s">
        <v>63</v>
      </c>
      <c r="C174" s="13">
        <v>173</v>
      </c>
      <c r="E174" s="14">
        <v>45769</v>
      </c>
      <c r="AB174" s="17">
        <v>3.5311131234705844</v>
      </c>
      <c r="AC174" s="18">
        <v>1.2997308803818131</v>
      </c>
      <c r="AD174" s="21">
        <v>0.32763492538174388</v>
      </c>
      <c r="AE174" s="21">
        <v>4.8672164273731431</v>
      </c>
      <c r="AF174" s="21">
        <v>3.5708737230743907E-2</v>
      </c>
      <c r="AG174" s="21"/>
      <c r="AH174" s="21">
        <v>5.4277755123916407</v>
      </c>
    </row>
    <row r="175" spans="1:34">
      <c r="A175" s="13" t="s">
        <v>62</v>
      </c>
      <c r="B175" s="13" t="s">
        <v>63</v>
      </c>
      <c r="C175" s="13">
        <v>174</v>
      </c>
      <c r="E175" s="14">
        <v>45776</v>
      </c>
      <c r="AB175" s="17">
        <v>3.6887946906744955</v>
      </c>
      <c r="AC175" s="18">
        <v>1.4125493330250509</v>
      </c>
      <c r="AD175" s="21">
        <v>0.34262416610747914</v>
      </c>
      <c r="AE175" s="21">
        <v>5.4093959081810477</v>
      </c>
      <c r="AF175" s="21">
        <v>3.9337374338294991E-2</v>
      </c>
      <c r="AG175" s="21"/>
      <c r="AH175" s="21">
        <v>5.6979421452607451</v>
      </c>
    </row>
    <row r="176" spans="1:34">
      <c r="A176" s="13" t="s">
        <v>62</v>
      </c>
      <c r="B176" s="13" t="s">
        <v>63</v>
      </c>
      <c r="C176" s="13">
        <v>175</v>
      </c>
      <c r="E176" s="14">
        <v>45783</v>
      </c>
      <c r="AB176" s="17">
        <v>3.81280874184651</v>
      </c>
      <c r="AC176" s="18">
        <v>1.4636336180783571</v>
      </c>
      <c r="AD176" s="21">
        <v>0.35595251188906718</v>
      </c>
      <c r="AE176" s="21">
        <v>5.6621059830465219</v>
      </c>
      <c r="AF176" s="21">
        <v>4.0420811185462958E-2</v>
      </c>
      <c r="AG176" s="21"/>
      <c r="AH176" s="21">
        <v>5.7196434346602318</v>
      </c>
    </row>
    <row r="177" spans="1:34">
      <c r="A177" s="13" t="s">
        <v>62</v>
      </c>
      <c r="B177" s="13" t="s">
        <v>63</v>
      </c>
      <c r="C177" s="13">
        <v>176</v>
      </c>
      <c r="E177" s="14">
        <v>45789</v>
      </c>
      <c r="AB177" s="17">
        <v>3.4281216015334879</v>
      </c>
      <c r="AC177" s="18">
        <v>1.2840068994699081</v>
      </c>
      <c r="AD177" s="21">
        <v>0.34077730009558072</v>
      </c>
      <c r="AE177" s="21">
        <v>4.9915773545017013</v>
      </c>
      <c r="AF177" s="21">
        <v>3.6236022126331563E-2</v>
      </c>
      <c r="AG177" s="21"/>
      <c r="AH177" s="21">
        <v>5.2714772710321984</v>
      </c>
    </row>
    <row r="178" spans="1:34">
      <c r="A178" s="13" t="s">
        <v>62</v>
      </c>
      <c r="B178" s="13" t="s">
        <v>63</v>
      </c>
      <c r="C178" s="13">
        <v>177</v>
      </c>
      <c r="E178" s="14">
        <v>45797</v>
      </c>
      <c r="AB178" s="17">
        <v>3.6040689484970376</v>
      </c>
      <c r="AC178" s="18">
        <v>1.3183242165736226</v>
      </c>
      <c r="AD178" s="21">
        <v>0.34609423097627001</v>
      </c>
      <c r="AE178" s="21">
        <v>5.0186516426792407</v>
      </c>
      <c r="AF178" s="21">
        <v>3.6737704046857035E-2</v>
      </c>
      <c r="AG178" s="21"/>
      <c r="AH178" s="21">
        <v>5.8750535002915898</v>
      </c>
    </row>
    <row r="179" spans="1:34">
      <c r="A179" s="13" t="s">
        <v>62</v>
      </c>
      <c r="B179" s="13" t="s">
        <v>63</v>
      </c>
      <c r="C179" s="13">
        <v>178</v>
      </c>
      <c r="E179" s="14">
        <v>45804</v>
      </c>
      <c r="AB179" s="17">
        <v>3.5802308249654562</v>
      </c>
      <c r="AC179" s="18">
        <v>1.3764759563426501</v>
      </c>
      <c r="AD179" s="21">
        <v>0.32891247441943317</v>
      </c>
      <c r="AE179" s="21">
        <v>5.3305248749151231</v>
      </c>
      <c r="AF179" s="21">
        <v>3.8489938115081154E-2</v>
      </c>
      <c r="AG179" s="21"/>
      <c r="AH179" s="21">
        <v>5.726899294930262</v>
      </c>
    </row>
    <row r="180" spans="1:34">
      <c r="A180" s="13" t="s">
        <v>62</v>
      </c>
      <c r="B180" s="13" t="s">
        <v>63</v>
      </c>
      <c r="C180" s="13">
        <v>179</v>
      </c>
      <c r="E180" s="14">
        <v>45811</v>
      </c>
      <c r="AB180" s="17">
        <v>3.5491483078093546</v>
      </c>
      <c r="AC180" s="18">
        <v>1.3399103992062309</v>
      </c>
      <c r="AD180" s="21">
        <v>0.3434761441737002</v>
      </c>
      <c r="AE180" s="21">
        <v>5.2375089420753147</v>
      </c>
      <c r="AF180" s="21">
        <v>3.8115267548445422E-2</v>
      </c>
      <c r="AG180" s="21"/>
      <c r="AH180" s="21">
        <v>5.5656361335615028</v>
      </c>
    </row>
    <row r="181" spans="1:34">
      <c r="A181" s="13" t="s">
        <v>62</v>
      </c>
      <c r="B181" s="13" t="s">
        <v>63</v>
      </c>
      <c r="C181" s="13">
        <v>180</v>
      </c>
      <c r="E181" s="14">
        <v>45818</v>
      </c>
      <c r="AB181" s="17">
        <v>3.4874648605386129</v>
      </c>
      <c r="AC181" s="18">
        <v>1.3159358399806484</v>
      </c>
      <c r="AD181" s="21">
        <v>0.33343958586744538</v>
      </c>
      <c r="AE181" s="21">
        <v>5.087962750279365</v>
      </c>
      <c r="AF181" s="21">
        <v>3.7486701847836965E-2</v>
      </c>
      <c r="AG181" s="21"/>
      <c r="AH181" s="21">
        <v>5.5590561154836786</v>
      </c>
    </row>
    <row r="182" spans="1:34">
      <c r="A182" s="13" t="s">
        <v>62</v>
      </c>
      <c r="B182" s="13" t="s">
        <v>63</v>
      </c>
      <c r="C182" s="13">
        <v>181</v>
      </c>
      <c r="E182" s="14">
        <v>45825</v>
      </c>
      <c r="AB182" s="17">
        <v>3.3275282932383616</v>
      </c>
      <c r="AC182" s="18">
        <v>1.2535371829311903</v>
      </c>
      <c r="AD182" s="21">
        <v>0.33330305237469432</v>
      </c>
      <c r="AE182" s="21">
        <v>4.784231810066415</v>
      </c>
      <c r="AF182" s="21">
        <v>3.5473003909191052E-2</v>
      </c>
      <c r="AG182" s="21"/>
      <c r="AH182" s="21">
        <v>5.5924682695450123</v>
      </c>
    </row>
    <row r="183" spans="1:34">
      <c r="A183" s="13" t="s">
        <v>62</v>
      </c>
      <c r="B183" s="13" t="s">
        <v>63</v>
      </c>
      <c r="C183" s="13">
        <v>182</v>
      </c>
      <c r="E183" s="14">
        <v>45832</v>
      </c>
      <c r="AB183" s="17">
        <v>3.4761107683430601</v>
      </c>
      <c r="AC183" s="18">
        <v>1.289767156246449</v>
      </c>
      <c r="AD183" s="21">
        <v>0.33040026093618047</v>
      </c>
      <c r="AE183" s="21">
        <v>4.9627698944151222</v>
      </c>
      <c r="AF183" s="21">
        <v>3.7007063484611427E-2</v>
      </c>
      <c r="AG183" s="21"/>
      <c r="AH183" s="21">
        <v>5.7174307428216711</v>
      </c>
    </row>
    <row r="184" spans="1:34">
      <c r="A184" s="13" t="s">
        <v>62</v>
      </c>
      <c r="B184" s="13" t="s">
        <v>63</v>
      </c>
      <c r="C184" s="13">
        <v>183</v>
      </c>
      <c r="E184" s="14">
        <v>45839</v>
      </c>
      <c r="AB184" s="17">
        <v>3.6366996152309228</v>
      </c>
      <c r="AC184" s="18">
        <v>1.3677882994119626</v>
      </c>
      <c r="AD184" s="21">
        <v>0.33296912708748322</v>
      </c>
      <c r="AE184" s="21">
        <v>5.3068180122433573</v>
      </c>
      <c r="AF184" s="21">
        <v>3.8408692779720102E-2</v>
      </c>
      <c r="AG184" s="21"/>
      <c r="AH184" s="21">
        <v>5.8051403917525777</v>
      </c>
    </row>
    <row r="185" spans="1:34">
      <c r="A185" s="13" t="s">
        <v>62</v>
      </c>
      <c r="B185" s="13" t="s">
        <v>63</v>
      </c>
      <c r="C185" s="13">
        <v>184</v>
      </c>
      <c r="E185" s="14">
        <v>45846</v>
      </c>
      <c r="AB185" s="17">
        <v>3.7028691983297435</v>
      </c>
      <c r="AC185" s="18">
        <v>1.4122545192938845</v>
      </c>
      <c r="AD185" s="21">
        <v>0.34173394448014027</v>
      </c>
      <c r="AE185" s="21">
        <v>5.540331023447834</v>
      </c>
      <c r="AF185" s="21">
        <v>3.9830403509651856E-2</v>
      </c>
      <c r="AG185" s="21"/>
      <c r="AH185" s="21">
        <v>5.7852198245178519</v>
      </c>
    </row>
    <row r="186" spans="1:34">
      <c r="A186" s="13" t="s">
        <v>62</v>
      </c>
      <c r="B186" s="13" t="s">
        <v>63</v>
      </c>
      <c r="C186" s="13">
        <v>185</v>
      </c>
      <c r="E186" s="14">
        <v>45853</v>
      </c>
      <c r="AB186" s="17">
        <v>3.8069297845887791</v>
      </c>
      <c r="AC186" s="18">
        <v>1.4788576078430831</v>
      </c>
      <c r="AD186" s="21">
        <v>0.33693943723572167</v>
      </c>
      <c r="AE186" s="21">
        <v>5.8267008812568291</v>
      </c>
      <c r="AF186" s="21">
        <v>4.1505025671268597E-2</v>
      </c>
      <c r="AG186" s="21"/>
      <c r="AH186" s="21">
        <v>5.8285135410776165</v>
      </c>
    </row>
    <row r="187" spans="1:34">
      <c r="A187" s="13" t="s">
        <v>62</v>
      </c>
      <c r="B187" s="13" t="s">
        <v>63</v>
      </c>
      <c r="C187" s="13">
        <v>186</v>
      </c>
      <c r="E187" s="14">
        <v>45860</v>
      </c>
      <c r="AB187" s="17">
        <v>3.3281991948476488</v>
      </c>
      <c r="AC187" s="18">
        <v>1.2783382384045503</v>
      </c>
      <c r="AD187" s="21">
        <v>0.37516332364611571</v>
      </c>
      <c r="AE187" s="21">
        <v>4.9410745002424825</v>
      </c>
      <c r="AF187" s="21">
        <v>3.6056035748158556E-2</v>
      </c>
      <c r="AG187" s="21"/>
      <c r="AH187" s="21">
        <v>5.1514255045184214</v>
      </c>
    </row>
    <row r="188" spans="1:34">
      <c r="A188" s="13" t="s">
        <v>62</v>
      </c>
      <c r="B188" s="13" t="s">
        <v>63</v>
      </c>
      <c r="C188" s="13">
        <v>187</v>
      </c>
      <c r="E188" s="14">
        <v>45867</v>
      </c>
      <c r="AB188" s="17">
        <v>3.2070257736119134</v>
      </c>
      <c r="AC188" s="18">
        <v>1.1181605166792083</v>
      </c>
      <c r="AD188" s="21">
        <v>0.32808228836325909</v>
      </c>
      <c r="AE188" s="21">
        <v>4.3492577390624856</v>
      </c>
      <c r="AF188" s="21">
        <v>3.163168536200045E-2</v>
      </c>
      <c r="AG188" s="21"/>
      <c r="AH188" s="21">
        <v>5.3654135854049434</v>
      </c>
    </row>
    <row r="189" spans="1:34">
      <c r="A189" s="13" t="s">
        <v>62</v>
      </c>
      <c r="B189" s="13" t="s">
        <v>63</v>
      </c>
      <c r="C189" s="13">
        <v>188</v>
      </c>
      <c r="E189" s="14">
        <v>45874</v>
      </c>
      <c r="AB189" s="17">
        <v>3.3271594638130142</v>
      </c>
      <c r="AC189" s="18">
        <v>1.1653456480934741</v>
      </c>
      <c r="AD189" s="21">
        <v>0.32482899679387467</v>
      </c>
      <c r="AE189" s="21">
        <v>4.450650616575488</v>
      </c>
      <c r="AF189" s="21">
        <v>3.2677259108412238E-2</v>
      </c>
      <c r="AG189" s="21"/>
      <c r="AH189" s="21">
        <v>5.6211218570020289</v>
      </c>
    </row>
    <row r="190" spans="1:34">
      <c r="A190" s="13" t="s">
        <v>62</v>
      </c>
      <c r="B190" s="13" t="s">
        <v>63</v>
      </c>
      <c r="C190" s="13">
        <v>189</v>
      </c>
      <c r="E190" s="14">
        <v>45881</v>
      </c>
      <c r="AB190" s="17">
        <v>3.5276047333813305</v>
      </c>
      <c r="AC190" s="18">
        <v>1.2544343191800331</v>
      </c>
      <c r="AD190" s="21">
        <v>0.32833262424516452</v>
      </c>
      <c r="AE190" s="21">
        <v>4.8056610950380678</v>
      </c>
      <c r="AF190" s="21">
        <v>3.5857605414582924E-2</v>
      </c>
      <c r="AG190" s="21"/>
      <c r="AH190" s="21">
        <v>5.7317795406198062</v>
      </c>
    </row>
    <row r="191" spans="1:34">
      <c r="A191" s="13" t="s">
        <v>62</v>
      </c>
      <c r="B191" s="13" t="s">
        <v>63</v>
      </c>
      <c r="C191" s="13">
        <v>190</v>
      </c>
      <c r="E191" s="14">
        <v>45888</v>
      </c>
      <c r="AB191" s="17">
        <v>3.489577872888467</v>
      </c>
      <c r="AC191" s="18">
        <v>1.2931672075433458</v>
      </c>
      <c r="AD191" s="21">
        <v>0.33845869315079252</v>
      </c>
      <c r="AE191" s="21">
        <v>4.9705979929645974</v>
      </c>
      <c r="AF191" s="21">
        <v>3.6371740826183274E-2</v>
      </c>
      <c r="AG191" s="21"/>
      <c r="AH191" s="21">
        <v>5.661490159571497</v>
      </c>
    </row>
    <row r="192" spans="1:34">
      <c r="A192" s="13" t="s">
        <v>62</v>
      </c>
      <c r="B192" s="13" t="s">
        <v>63</v>
      </c>
      <c r="C192" s="13">
        <v>191</v>
      </c>
      <c r="E192" s="14">
        <v>45894</v>
      </c>
      <c r="AB192" s="17">
        <v>3.5754551520387703</v>
      </c>
      <c r="AC192" s="18">
        <v>1.3401815585777903</v>
      </c>
      <c r="AD192" s="21">
        <v>0.33004910654463865</v>
      </c>
      <c r="AE192" s="21">
        <v>5.1566056644118126</v>
      </c>
      <c r="AF192" s="21">
        <v>3.7772398425272101E-2</v>
      </c>
      <c r="AG192" s="21"/>
      <c r="AH192" s="21">
        <v>5.7166314956700655</v>
      </c>
    </row>
    <row r="193" spans="1:34">
      <c r="A193" s="13" t="s">
        <v>62</v>
      </c>
      <c r="B193" s="13" t="s">
        <v>63</v>
      </c>
      <c r="C193" s="13">
        <v>192</v>
      </c>
      <c r="E193" s="14">
        <v>45902</v>
      </c>
      <c r="AB193" s="17">
        <v>3.6656769023245137</v>
      </c>
      <c r="AC193" s="18">
        <v>1.40078877164364</v>
      </c>
      <c r="AD193" s="21">
        <v>0.33721931330191884</v>
      </c>
      <c r="AE193" s="21">
        <v>5.4299628483833295</v>
      </c>
      <c r="AF193" s="21">
        <v>3.9223352526088259E-2</v>
      </c>
      <c r="AG193" s="21"/>
      <c r="AH193" s="21">
        <v>5.7961298152787952</v>
      </c>
    </row>
    <row r="194" spans="1:34">
      <c r="A194" s="13" t="s">
        <v>62</v>
      </c>
      <c r="B194" s="13" t="s">
        <v>63</v>
      </c>
      <c r="C194" s="13">
        <v>193</v>
      </c>
      <c r="E194" s="14">
        <v>45909</v>
      </c>
      <c r="AB194" s="17">
        <v>3.7574018127614237</v>
      </c>
      <c r="AC194" s="18">
        <v>1.4701936981832529</v>
      </c>
      <c r="AD194" s="21">
        <v>0.35028719782025458</v>
      </c>
      <c r="AE194" s="21">
        <v>5.7092499335620701</v>
      </c>
      <c r="AF194" s="21">
        <v>4.1557076056356182E-2</v>
      </c>
      <c r="AG194" s="21"/>
      <c r="AH194" s="21">
        <v>5.8004381963618972</v>
      </c>
    </row>
    <row r="195" spans="1:34">
      <c r="A195" s="13" t="s">
        <v>62</v>
      </c>
      <c r="B195" s="13" t="s">
        <v>63</v>
      </c>
      <c r="C195" s="13">
        <v>194</v>
      </c>
      <c r="E195" s="14">
        <v>45916</v>
      </c>
      <c r="AB195" s="17">
        <v>3.8030514097282722</v>
      </c>
      <c r="AC195" s="18">
        <v>1.5064033387160927</v>
      </c>
      <c r="AD195" s="21">
        <v>0.34196781747165667</v>
      </c>
      <c r="AE195" s="21">
        <v>5.9578437555081001</v>
      </c>
      <c r="AF195" s="21">
        <v>4.3021873066801192E-2</v>
      </c>
      <c r="AG195" s="21"/>
      <c r="AH195" s="21">
        <v>5.8812825854817055</v>
      </c>
    </row>
    <row r="196" spans="1:34">
      <c r="A196" s="13" t="s">
        <v>62</v>
      </c>
      <c r="B196" s="13" t="s">
        <v>63</v>
      </c>
      <c r="C196" s="13">
        <v>195</v>
      </c>
      <c r="E196" s="14">
        <v>45923</v>
      </c>
      <c r="AB196" s="17">
        <v>3.3032163179838334</v>
      </c>
      <c r="AC196" s="18">
        <v>1.3100721486992148</v>
      </c>
      <c r="AD196" s="21">
        <v>0.36784821659902611</v>
      </c>
      <c r="AE196" s="21">
        <v>5.0442036473928908</v>
      </c>
      <c r="AF196" s="21">
        <v>3.6703468050344835E-2</v>
      </c>
      <c r="AG196" s="21"/>
      <c r="AH196" s="21">
        <v>5.1286073674701012</v>
      </c>
    </row>
    <row r="197" spans="1:34">
      <c r="A197" s="13" t="s">
        <v>62</v>
      </c>
      <c r="B197" s="13" t="s">
        <v>63</v>
      </c>
      <c r="C197" s="13">
        <v>196</v>
      </c>
      <c r="E197" s="14">
        <v>45930</v>
      </c>
      <c r="AB197" s="17">
        <v>3.3632526009158528</v>
      </c>
      <c r="AC197" s="18">
        <v>1.173446687675167</v>
      </c>
      <c r="AD197" s="21">
        <v>0.32747800285783774</v>
      </c>
      <c r="AE197" s="21">
        <v>4.5862545731076239</v>
      </c>
      <c r="AF197" s="21">
        <v>3.2914843282466126E-2</v>
      </c>
      <c r="AG197" s="21"/>
      <c r="AH197" s="21">
        <v>5.6170651154217914</v>
      </c>
    </row>
    <row r="198" spans="1:34">
      <c r="A198" s="13" t="s">
        <v>62</v>
      </c>
      <c r="B198" s="13" t="s">
        <v>63</v>
      </c>
      <c r="C198" s="13">
        <v>197</v>
      </c>
      <c r="E198" s="14">
        <v>45937</v>
      </c>
      <c r="AB198" s="17">
        <v>3.4819480094541078</v>
      </c>
      <c r="AC198" s="18">
        <v>1.2959917285484801</v>
      </c>
      <c r="AD198" s="21">
        <v>0.33283441886501225</v>
      </c>
      <c r="AE198" s="21">
        <v>5.0409203048051374</v>
      </c>
      <c r="AF198" s="21">
        <v>3.6153110610224679E-2</v>
      </c>
      <c r="AG198" s="21"/>
      <c r="AH198" s="21">
        <v>5.7776837701733355</v>
      </c>
    </row>
    <row r="199" spans="1:34">
      <c r="A199" s="13" t="s">
        <v>62</v>
      </c>
      <c r="B199" s="13" t="s">
        <v>63</v>
      </c>
      <c r="C199" s="13">
        <v>198</v>
      </c>
      <c r="E199" s="14">
        <v>45943</v>
      </c>
      <c r="AB199" s="17">
        <v>3.6361034756931638</v>
      </c>
      <c r="AC199" s="18">
        <v>1.367388034579454</v>
      </c>
      <c r="AD199" s="21">
        <v>0.33418108324483931</v>
      </c>
      <c r="AE199" s="21">
        <v>5.4164900442549948</v>
      </c>
      <c r="AF199" s="21">
        <v>3.8385622323937288E-2</v>
      </c>
      <c r="AG199" s="21"/>
      <c r="AH199" s="21">
        <v>5.8370752636076393</v>
      </c>
    </row>
    <row r="200" spans="1:34">
      <c r="A200" s="13" t="s">
        <v>62</v>
      </c>
      <c r="B200" s="13" t="s">
        <v>63</v>
      </c>
      <c r="C200" s="13">
        <v>199</v>
      </c>
      <c r="E200" s="14">
        <v>45951</v>
      </c>
      <c r="AB200" s="17">
        <v>3.2358028337134961</v>
      </c>
      <c r="AC200" s="18">
        <v>1.2655118656789366</v>
      </c>
      <c r="AD200" s="21">
        <v>0.35223820350214896</v>
      </c>
      <c r="AE200" s="21">
        <v>4.8761786097228574</v>
      </c>
      <c r="AF200" s="21">
        <v>3.4917274863166044E-2</v>
      </c>
      <c r="AG200" s="21"/>
      <c r="AH200" s="21">
        <v>5.0895337965388245</v>
      </c>
    </row>
    <row r="201" spans="1:34">
      <c r="A201" s="13" t="s">
        <v>62</v>
      </c>
      <c r="B201" s="13" t="s">
        <v>63</v>
      </c>
      <c r="C201" s="13">
        <v>200</v>
      </c>
      <c r="E201" s="14">
        <v>45958</v>
      </c>
      <c r="AB201" s="17">
        <v>2.8500142285523284</v>
      </c>
      <c r="AC201" s="18">
        <v>0.86682242017194333</v>
      </c>
      <c r="AD201" s="21">
        <v>0.32553502325348282</v>
      </c>
      <c r="AE201" s="21">
        <v>3.2024751675809218</v>
      </c>
      <c r="AF201" s="21">
        <v>2.3840831444738343E-2</v>
      </c>
      <c r="AG201" s="21"/>
      <c r="AH201" s="21">
        <v>4.9642567791151739</v>
      </c>
    </row>
    <row r="202" spans="1:34">
      <c r="A202" s="13" t="s">
        <v>62</v>
      </c>
      <c r="B202" s="13" t="s">
        <v>63</v>
      </c>
      <c r="C202" s="13">
        <v>201</v>
      </c>
      <c r="E202" s="14">
        <v>45964</v>
      </c>
      <c r="AB202" s="17">
        <v>3.0536961356586341</v>
      </c>
      <c r="AC202" s="18">
        <v>0.93487791881436644</v>
      </c>
      <c r="AD202" s="21">
        <v>0.31402434347905256</v>
      </c>
      <c r="AE202" s="21">
        <v>3.3832424214690322</v>
      </c>
      <c r="AF202" s="21">
        <v>2.5821109990257666E-2</v>
      </c>
      <c r="AG202" s="21"/>
      <c r="AH202" s="21">
        <v>5.2878570196206072</v>
      </c>
    </row>
    <row r="203" spans="1:34">
      <c r="A203" s="13" t="s">
        <v>62</v>
      </c>
      <c r="B203" s="13" t="s">
        <v>63</v>
      </c>
      <c r="C203" s="13">
        <v>202</v>
      </c>
      <c r="E203" s="14">
        <v>45972</v>
      </c>
      <c r="AB203" s="17">
        <v>3.1174800803233937</v>
      </c>
      <c r="AC203" s="18">
        <v>0.97449602386337286</v>
      </c>
      <c r="AD203" s="21">
        <v>0.3284052514994229</v>
      </c>
      <c r="AE203" s="21">
        <v>3.5195400503120187</v>
      </c>
      <c r="AF203" s="21">
        <v>2.6911981115210828E-2</v>
      </c>
      <c r="AG203" s="21"/>
      <c r="AH203" s="21">
        <v>5.2529694876519457</v>
      </c>
    </row>
    <row r="204" spans="1:34">
      <c r="A204" s="13" t="s">
        <v>62</v>
      </c>
      <c r="B204" s="13" t="s">
        <v>63</v>
      </c>
      <c r="C204" s="13">
        <v>203</v>
      </c>
      <c r="E204" s="14">
        <v>45979</v>
      </c>
      <c r="AB204" s="17">
        <v>2.9218253649718462</v>
      </c>
      <c r="AC204" s="18">
        <v>0.83974362893375087</v>
      </c>
      <c r="AD204" s="21">
        <v>0.30672014791605601</v>
      </c>
      <c r="AE204" s="21">
        <v>2.9859558937154764</v>
      </c>
      <c r="AF204" s="21">
        <v>2.3232645123102032E-2</v>
      </c>
      <c r="AG204" s="21"/>
      <c r="AH204" s="21">
        <v>5.0872329110983747</v>
      </c>
    </row>
    <row r="205" spans="1:34">
      <c r="A205" s="13" t="s">
        <v>62</v>
      </c>
      <c r="B205" s="13" t="s">
        <v>63</v>
      </c>
      <c r="C205" s="13">
        <v>204</v>
      </c>
      <c r="E205" s="14">
        <v>45986</v>
      </c>
      <c r="AB205" s="17">
        <v>3.1595582135211799</v>
      </c>
      <c r="AC205" s="18">
        <v>0.97351601278555222</v>
      </c>
      <c r="AD205" s="21">
        <v>0.31187861362234315</v>
      </c>
      <c r="AE205" s="21">
        <v>3.5443841152191697</v>
      </c>
      <c r="AF205" s="21">
        <v>2.6927811877976441E-2</v>
      </c>
      <c r="AG205" s="21"/>
      <c r="AH205" s="21">
        <v>5.4028511234437708</v>
      </c>
    </row>
    <row r="206" spans="1:34">
      <c r="A206" s="13" t="s">
        <v>62</v>
      </c>
      <c r="B206" s="13" t="s">
        <v>63</v>
      </c>
      <c r="C206" s="13">
        <v>205</v>
      </c>
      <c r="E206" s="14">
        <v>45992</v>
      </c>
      <c r="AB206" s="17">
        <v>3.2863729968473865</v>
      </c>
      <c r="AC206" s="18">
        <v>1.0729573701619559</v>
      </c>
      <c r="AD206" s="21">
        <v>0.30480948689897863</v>
      </c>
      <c r="AE206" s="21">
        <v>3.996766825486926</v>
      </c>
      <c r="AF206" s="21">
        <v>2.9818484899229409E-2</v>
      </c>
      <c r="AG206" s="21"/>
      <c r="AH206" s="21">
        <v>5.5508421439329556</v>
      </c>
    </row>
    <row r="207" spans="1:34">
      <c r="A207" s="13" t="s">
        <v>62</v>
      </c>
      <c r="B207" s="13" t="s">
        <v>63</v>
      </c>
      <c r="C207" s="13">
        <v>206</v>
      </c>
      <c r="E207" s="14">
        <v>46000</v>
      </c>
      <c r="AB207" s="17">
        <v>3.3533304439999481</v>
      </c>
      <c r="AC207" s="18">
        <v>1.1461852916224553</v>
      </c>
      <c r="AD207" s="21">
        <v>0.31490644291462944</v>
      </c>
      <c r="AE207" s="21">
        <v>4.3140756102847044</v>
      </c>
      <c r="AF207" s="21">
        <v>3.1943266299363407E-2</v>
      </c>
      <c r="AG207" s="21"/>
      <c r="AH207" s="21">
        <v>5.4418408248203765</v>
      </c>
    </row>
    <row r="208" spans="1:34">
      <c r="A208" s="13" t="s">
        <v>62</v>
      </c>
      <c r="B208" s="13" t="s">
        <v>63</v>
      </c>
      <c r="C208" s="13">
        <v>207</v>
      </c>
      <c r="E208" s="14">
        <v>46007</v>
      </c>
      <c r="AB208" s="17">
        <v>3.379100322704033</v>
      </c>
      <c r="AC208" s="18">
        <v>1.1717355063418586</v>
      </c>
      <c r="AD208" s="21">
        <v>0.30791635376018894</v>
      </c>
      <c r="AE208" s="21">
        <v>4.5027741058064823</v>
      </c>
      <c r="AF208" s="21">
        <v>3.2357849754764786E-2</v>
      </c>
      <c r="AG208" s="21"/>
      <c r="AH208" s="21">
        <v>5.4287369825549829</v>
      </c>
    </row>
    <row r="209" spans="1:34">
      <c r="A209" s="13" t="s">
        <v>62</v>
      </c>
      <c r="B209" s="13" t="s">
        <v>63</v>
      </c>
      <c r="C209" s="13">
        <v>208</v>
      </c>
      <c r="E209" s="14">
        <v>46014</v>
      </c>
      <c r="AB209" s="17">
        <v>3.4199002227542374</v>
      </c>
      <c r="AC209" s="18">
        <v>1.2126341728360555</v>
      </c>
      <c r="AD209" s="21">
        <v>0.31262350091596364</v>
      </c>
      <c r="AE209" s="21">
        <v>4.4848427875246166</v>
      </c>
      <c r="AF209" s="21">
        <v>3.2841801754970909E-2</v>
      </c>
      <c r="AG209" s="21"/>
      <c r="AH209" s="21">
        <v>5.4903139690642062</v>
      </c>
    </row>
    <row r="210" spans="1:34">
      <c r="AC210" s="18"/>
      <c r="AD210" s="21"/>
      <c r="AE210" s="21"/>
      <c r="AF210" s="21"/>
      <c r="AG210" s="21"/>
      <c r="AH210" s="21"/>
    </row>
    <row r="211" spans="1:34">
      <c r="AC211" s="18"/>
      <c r="AD211" s="21"/>
      <c r="AE211" s="21"/>
      <c r="AF211" s="21"/>
      <c r="AG211" s="21"/>
      <c r="AH211" s="21"/>
    </row>
    <row r="212" spans="1:34">
      <c r="AC212" s="18"/>
      <c r="AD212" s="21"/>
      <c r="AE212" s="21"/>
      <c r="AF212" s="21"/>
      <c r="AG212" s="21"/>
      <c r="AH212" s="21"/>
    </row>
    <row r="213" spans="1:34">
      <c r="AC213" s="18"/>
      <c r="AD213" s="21"/>
      <c r="AE213" s="21"/>
      <c r="AF213" s="21"/>
      <c r="AG213" s="21"/>
      <c r="AH213" s="21"/>
    </row>
    <row r="214" spans="1:34">
      <c r="AC214" s="18"/>
      <c r="AD214" s="21"/>
      <c r="AE214" s="21"/>
      <c r="AF214" s="21"/>
      <c r="AG214" s="21"/>
      <c r="AH214" s="21"/>
    </row>
    <row r="215" spans="1:34">
      <c r="AC215" s="18"/>
      <c r="AD215" s="21"/>
      <c r="AE215" s="21"/>
      <c r="AF215" s="21"/>
      <c r="AG215" s="21"/>
      <c r="AH215" s="21"/>
    </row>
    <row r="216" spans="1:34">
      <c r="AC216" s="18"/>
      <c r="AD216" s="21"/>
      <c r="AE216" s="21"/>
      <c r="AF216" s="21"/>
      <c r="AG216" s="21"/>
      <c r="AH216" s="21"/>
    </row>
    <row r="217" spans="1:34">
      <c r="AC217" s="18"/>
      <c r="AD217" s="21"/>
      <c r="AE217" s="21"/>
      <c r="AF217" s="21"/>
      <c r="AG217" s="21"/>
      <c r="AH217" s="21"/>
    </row>
    <row r="218" spans="1:34">
      <c r="AC218" s="18"/>
      <c r="AD218" s="21"/>
      <c r="AE218" s="21"/>
      <c r="AF218" s="21"/>
      <c r="AG218" s="21"/>
      <c r="AH218" s="21"/>
    </row>
    <row r="219" spans="1:34">
      <c r="AC219" s="18"/>
      <c r="AD219" s="21"/>
      <c r="AE219" s="21"/>
      <c r="AF219" s="21"/>
      <c r="AG219" s="21"/>
      <c r="AH219" s="21"/>
    </row>
    <row r="220" spans="1:34">
      <c r="AC220" s="18"/>
      <c r="AD220" s="21"/>
      <c r="AE220" s="21"/>
      <c r="AF220" s="21"/>
      <c r="AG220" s="21"/>
      <c r="AH220" s="21"/>
    </row>
    <row r="221" spans="1:34">
      <c r="AC221" s="18"/>
      <c r="AD221" s="21"/>
      <c r="AE221" s="21"/>
      <c r="AF221" s="21"/>
      <c r="AG221" s="21"/>
      <c r="AH221" s="21"/>
    </row>
    <row r="222" spans="1:34">
      <c r="AC222" s="18"/>
      <c r="AD222" s="21"/>
      <c r="AE222" s="21"/>
      <c r="AF222" s="21"/>
      <c r="AG222" s="21"/>
      <c r="AH222" s="21"/>
    </row>
    <row r="223" spans="1:34">
      <c r="AC223" s="18"/>
      <c r="AD223" s="21"/>
      <c r="AE223" s="21"/>
      <c r="AF223" s="21"/>
      <c r="AG223" s="21"/>
      <c r="AH223" s="21"/>
    </row>
    <row r="224" spans="1:34">
      <c r="AC224" s="18"/>
      <c r="AD224" s="21"/>
      <c r="AE224" s="21"/>
      <c r="AF224" s="21"/>
      <c r="AG224" s="21"/>
      <c r="AH224" s="21"/>
    </row>
    <row r="225" spans="29:34">
      <c r="AC225" s="18"/>
      <c r="AD225" s="21"/>
      <c r="AE225" s="21"/>
      <c r="AF225" s="21"/>
      <c r="AG225" s="21"/>
      <c r="AH225" s="21"/>
    </row>
    <row r="226" spans="29:34">
      <c r="AC226" s="18"/>
      <c r="AD226" s="21"/>
      <c r="AE226" s="21"/>
      <c r="AF226" s="21"/>
      <c r="AG226" s="21"/>
      <c r="AH226" s="21"/>
    </row>
    <row r="227" spans="29:34">
      <c r="AC227" s="18"/>
      <c r="AD227" s="21"/>
      <c r="AE227" s="21"/>
      <c r="AF227" s="21"/>
      <c r="AG227" s="21"/>
      <c r="AH227" s="21"/>
    </row>
    <row r="228" spans="29:34">
      <c r="AC228" s="18"/>
      <c r="AD228" s="21"/>
      <c r="AE228" s="21"/>
      <c r="AF228" s="21"/>
      <c r="AG228" s="21"/>
      <c r="AH228" s="21"/>
    </row>
    <row r="229" spans="29:34">
      <c r="AC229" s="18"/>
      <c r="AD229" s="21"/>
      <c r="AE229" s="21"/>
      <c r="AF229" s="21"/>
      <c r="AG229" s="21"/>
      <c r="AH229" s="21"/>
    </row>
    <row r="230" spans="29:34">
      <c r="AC230" s="18"/>
      <c r="AD230" s="21"/>
      <c r="AE230" s="21"/>
      <c r="AF230" s="21"/>
      <c r="AG230" s="21"/>
      <c r="AH230" s="21"/>
    </row>
    <row r="231" spans="29:34">
      <c r="AC231" s="18"/>
      <c r="AD231" s="21"/>
      <c r="AE231" s="21"/>
      <c r="AF231" s="21"/>
      <c r="AG231" s="21"/>
      <c r="AH231" s="21"/>
    </row>
    <row r="232" spans="29:34">
      <c r="AC232" s="18"/>
      <c r="AD232" s="21"/>
      <c r="AE232" s="21"/>
      <c r="AF232" s="21"/>
      <c r="AG232" s="21"/>
      <c r="AH232" s="21"/>
    </row>
    <row r="233" spans="29:34">
      <c r="AC233" s="18"/>
      <c r="AD233" s="21"/>
      <c r="AE233" s="21"/>
      <c r="AF233" s="21"/>
      <c r="AG233" s="21"/>
      <c r="AH233" s="21"/>
    </row>
    <row r="234" spans="29:34">
      <c r="AC234" s="18"/>
      <c r="AD234" s="21"/>
      <c r="AE234" s="21"/>
      <c r="AF234" s="21"/>
      <c r="AG234" s="21"/>
      <c r="AH234" s="21"/>
    </row>
    <row r="235" spans="29:34">
      <c r="AC235" s="18"/>
      <c r="AD235" s="21"/>
      <c r="AE235" s="21"/>
      <c r="AF235" s="21"/>
      <c r="AG235" s="21"/>
      <c r="AH235" s="21"/>
    </row>
    <row r="236" spans="29:34">
      <c r="AC236" s="18"/>
      <c r="AD236" s="21"/>
      <c r="AE236" s="21"/>
      <c r="AF236" s="21"/>
      <c r="AG236" s="21"/>
      <c r="AH236" s="21"/>
    </row>
    <row r="237" spans="29:34">
      <c r="AC237" s="18"/>
      <c r="AD237" s="21"/>
      <c r="AE237" s="21"/>
      <c r="AF237" s="21"/>
      <c r="AG237" s="21"/>
      <c r="AH237" s="21"/>
    </row>
    <row r="238" spans="29:34">
      <c r="AC238" s="18"/>
      <c r="AD238" s="21"/>
      <c r="AE238" s="21"/>
      <c r="AF238" s="21"/>
      <c r="AG238" s="21"/>
      <c r="AH238" s="21"/>
    </row>
    <row r="239" spans="29:34">
      <c r="AC239" s="18"/>
      <c r="AD239" s="21"/>
      <c r="AE239" s="21"/>
      <c r="AF239" s="21"/>
      <c r="AG239" s="21"/>
      <c r="AH239" s="21"/>
    </row>
    <row r="240" spans="29:34">
      <c r="AC240" s="18"/>
      <c r="AD240" s="21"/>
      <c r="AE240" s="21"/>
      <c r="AF240" s="21"/>
      <c r="AG240" s="21"/>
      <c r="AH240" s="21"/>
    </row>
    <row r="241" spans="29:34">
      <c r="AC241" s="18"/>
      <c r="AD241" s="21"/>
      <c r="AE241" s="21"/>
      <c r="AF241" s="21"/>
      <c r="AG241" s="21"/>
      <c r="AH241" s="21"/>
    </row>
    <row r="242" spans="29:34">
      <c r="AC242" s="18"/>
      <c r="AD242" s="21"/>
      <c r="AE242" s="21"/>
      <c r="AF242" s="21"/>
      <c r="AG242" s="21"/>
      <c r="AH242" s="21"/>
    </row>
    <row r="243" spans="29:34">
      <c r="AC243" s="18"/>
      <c r="AD243" s="21"/>
      <c r="AE243" s="21"/>
      <c r="AF243" s="21"/>
      <c r="AG243" s="21"/>
      <c r="AH243" s="21"/>
    </row>
    <row r="244" spans="29:34">
      <c r="AC244" s="18"/>
      <c r="AD244" s="21"/>
      <c r="AE244" s="21"/>
      <c r="AF244" s="21"/>
      <c r="AG244" s="21"/>
      <c r="AH244" s="21"/>
    </row>
    <row r="245" spans="29:34">
      <c r="AC245" s="18"/>
      <c r="AD245" s="21"/>
      <c r="AE245" s="21"/>
      <c r="AF245" s="21"/>
      <c r="AG245" s="21"/>
      <c r="AH245" s="21"/>
    </row>
    <row r="246" spans="29:34">
      <c r="AC246" s="18"/>
      <c r="AD246" s="21"/>
      <c r="AE246" s="21"/>
      <c r="AF246" s="21"/>
      <c r="AG246" s="21"/>
      <c r="AH246" s="21"/>
    </row>
    <row r="247" spans="29:34">
      <c r="AC247" s="18"/>
      <c r="AD247" s="21"/>
      <c r="AE247" s="21"/>
      <c r="AF247" s="21"/>
      <c r="AG247" s="21"/>
      <c r="AH247" s="21"/>
    </row>
    <row r="248" spans="29:34">
      <c r="AC248" s="18"/>
      <c r="AD248" s="21"/>
      <c r="AE248" s="21"/>
      <c r="AF248" s="21"/>
      <c r="AG248" s="21"/>
      <c r="AH248" s="21"/>
    </row>
    <row r="249" spans="29:34">
      <c r="AC249" s="18"/>
      <c r="AD249" s="21"/>
      <c r="AE249" s="21"/>
      <c r="AF249" s="21"/>
      <c r="AG249" s="21"/>
      <c r="AH249" s="21"/>
    </row>
    <row r="250" spans="29:34">
      <c r="AC250" s="18"/>
      <c r="AD250" s="21"/>
      <c r="AE250" s="21"/>
      <c r="AF250" s="21"/>
      <c r="AG250" s="21"/>
      <c r="AH250" s="21"/>
    </row>
    <row r="251" spans="29:34">
      <c r="AC251" s="18"/>
      <c r="AD251" s="21"/>
      <c r="AE251" s="21"/>
      <c r="AF251" s="21"/>
      <c r="AG251" s="21"/>
      <c r="AH251" s="21"/>
    </row>
    <row r="252" spans="29:34">
      <c r="AC252" s="18"/>
      <c r="AD252" s="21"/>
      <c r="AE252" s="21"/>
      <c r="AF252" s="21"/>
      <c r="AG252" s="21"/>
      <c r="AH252" s="21"/>
    </row>
    <row r="253" spans="29:34">
      <c r="AC253" s="18"/>
      <c r="AD253" s="21"/>
      <c r="AE253" s="21"/>
      <c r="AF253" s="21"/>
      <c r="AG253" s="21"/>
      <c r="AH253" s="21"/>
    </row>
    <row r="254" spans="29:34">
      <c r="AC254" s="18"/>
      <c r="AD254" s="21"/>
      <c r="AE254" s="21"/>
      <c r="AF254" s="21"/>
      <c r="AG254" s="21"/>
      <c r="AH254" s="21"/>
    </row>
    <row r="255" spans="29:34">
      <c r="AC255" s="18"/>
      <c r="AD255" s="21"/>
      <c r="AE255" s="21"/>
      <c r="AF255" s="21"/>
      <c r="AG255" s="21"/>
      <c r="AH255" s="21"/>
    </row>
    <row r="256" spans="29:34">
      <c r="AC256" s="18"/>
      <c r="AD256" s="21"/>
      <c r="AE256" s="21"/>
      <c r="AF256" s="21"/>
      <c r="AG256" s="21"/>
      <c r="AH256" s="21"/>
    </row>
    <row r="257" spans="29:34">
      <c r="AC257" s="18"/>
      <c r="AD257" s="21"/>
      <c r="AE257" s="21"/>
      <c r="AF257" s="21"/>
      <c r="AG257" s="21"/>
      <c r="AH257" s="21"/>
    </row>
    <row r="258" spans="29:34">
      <c r="AC258" s="18"/>
      <c r="AD258" s="21"/>
      <c r="AE258" s="21"/>
      <c r="AF258" s="21"/>
      <c r="AG258" s="21"/>
      <c r="AH258" s="21"/>
    </row>
    <row r="259" spans="29:34">
      <c r="AC259" s="18"/>
      <c r="AD259" s="21"/>
      <c r="AE259" s="21"/>
      <c r="AF259" s="21"/>
      <c r="AG259" s="21"/>
      <c r="AH259" s="21"/>
    </row>
    <row r="260" spans="29:34">
      <c r="AC260" s="18"/>
      <c r="AD260" s="21"/>
      <c r="AE260" s="21"/>
      <c r="AF260" s="21"/>
      <c r="AG260" s="21"/>
      <c r="AH260" s="21"/>
    </row>
    <row r="261" spans="29:34">
      <c r="AC261" s="18"/>
      <c r="AD261" s="21"/>
      <c r="AE261" s="21"/>
      <c r="AF261" s="21"/>
      <c r="AG261" s="21"/>
      <c r="AH261" s="21"/>
    </row>
    <row r="262" spans="29:34">
      <c r="AC262" s="18"/>
      <c r="AD262" s="21"/>
      <c r="AE262" s="21"/>
      <c r="AF262" s="21"/>
      <c r="AG262" s="21"/>
      <c r="AH262" s="21"/>
    </row>
    <row r="263" spans="29:34">
      <c r="AC263" s="18"/>
      <c r="AD263" s="21"/>
      <c r="AE263" s="21"/>
      <c r="AF263" s="21"/>
      <c r="AG263" s="21"/>
      <c r="AH263" s="21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tabSelected="1" zoomScale="80" zoomScaleNormal="80" workbookViewId="0">
      <pane xSplit="5" ySplit="2" topLeftCell="F202" activePane="bottomRight" state="frozen"/>
      <selection pane="topRight" activeCell="F1" sqref="F1"/>
      <selection pane="bottomLeft" activeCell="A3" sqref="A3"/>
      <selection pane="bottomRight" activeCell="K209" sqref="K209"/>
    </sheetView>
  </sheetViews>
  <sheetFormatPr defaultColWidth="10" defaultRowHeight="15.6"/>
  <cols>
    <col min="1" max="1" width="11.21875" style="13" customWidth="1"/>
    <col min="2" max="2" width="14.21875" style="13" customWidth="1"/>
    <col min="3" max="3" width="6.88671875" style="13" bestFit="1" customWidth="1"/>
    <col min="4" max="4" width="10.1093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7.21875" style="18" customWidth="1"/>
    <col min="24" max="24" width="8.88671875" style="19" customWidth="1"/>
    <col min="25" max="25" width="21.88671875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149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150</v>
      </c>
      <c r="V1" s="8" t="s">
        <v>12</v>
      </c>
      <c r="W1" s="8" t="s">
        <v>11</v>
      </c>
      <c r="X1" s="1" t="s">
        <v>143</v>
      </c>
      <c r="Y1" s="90" t="s">
        <v>13</v>
      </c>
      <c r="Z1" s="1" t="s">
        <v>14</v>
      </c>
      <c r="AA1" s="1" t="s">
        <v>141</v>
      </c>
      <c r="AB1" s="1" t="s">
        <v>140</v>
      </c>
      <c r="AC1" s="1" t="s">
        <v>140</v>
      </c>
      <c r="AD1" s="1" t="s">
        <v>140</v>
      </c>
      <c r="AE1" s="1" t="s">
        <v>140</v>
      </c>
      <c r="AF1" s="1" t="s">
        <v>140</v>
      </c>
      <c r="AG1" s="1" t="s">
        <v>140</v>
      </c>
      <c r="AH1" s="1" t="s">
        <v>140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91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</row>
    <row r="3" spans="1:36">
      <c r="A3" s="13" t="s">
        <v>155</v>
      </c>
      <c r="B3" s="13" t="s">
        <v>68</v>
      </c>
      <c r="C3" s="13">
        <v>1</v>
      </c>
      <c r="E3" s="14">
        <v>44600</v>
      </c>
      <c r="K3" s="17">
        <v>7.3630390033845092</v>
      </c>
      <c r="P3" s="18">
        <v>5.0900000000000001E-2</v>
      </c>
      <c r="Q3" s="18">
        <v>2.602975448213618</v>
      </c>
      <c r="R3" s="18" t="s">
        <v>50</v>
      </c>
      <c r="S3" s="18">
        <v>1.8558869340730679</v>
      </c>
      <c r="T3" s="18">
        <v>4.3347670950039658</v>
      </c>
      <c r="U3" s="18"/>
      <c r="V3" s="18" t="s">
        <v>69</v>
      </c>
      <c r="W3" s="18">
        <v>1.6491</v>
      </c>
      <c r="Y3" s="92">
        <v>0.55626446099462301</v>
      </c>
      <c r="Z3" s="20">
        <v>-6.4519851831486204</v>
      </c>
      <c r="AA3" s="10">
        <v>-31.192483339134721</v>
      </c>
      <c r="AB3" s="21">
        <v>3.4017724499416069</v>
      </c>
      <c r="AC3" s="18">
        <v>1.072627278314138</v>
      </c>
      <c r="AD3" s="21">
        <v>0.20838323788346469</v>
      </c>
      <c r="AE3" s="18">
        <v>3.9310706525726031</v>
      </c>
      <c r="AF3" s="18">
        <v>2.5978423758345671E-2</v>
      </c>
      <c r="AG3" s="21"/>
      <c r="AH3" s="21">
        <v>5.473572409955727</v>
      </c>
      <c r="AI3" s="19"/>
      <c r="AJ3" s="19"/>
    </row>
    <row r="4" spans="1:36">
      <c r="A4" s="13" t="s">
        <v>155</v>
      </c>
      <c r="B4" s="13" t="s">
        <v>68</v>
      </c>
      <c r="C4" s="13">
        <v>2</v>
      </c>
      <c r="E4" s="14">
        <v>44607</v>
      </c>
      <c r="H4" s="16">
        <v>14.5</v>
      </c>
      <c r="I4" s="16">
        <v>7</v>
      </c>
      <c r="J4" s="16">
        <v>44.98</v>
      </c>
      <c r="K4" s="17">
        <v>7.2699106357219403</v>
      </c>
      <c r="P4" s="18">
        <v>4.1000000000000002E-2</v>
      </c>
      <c r="Q4" s="18">
        <v>2.473619018903229</v>
      </c>
      <c r="R4" s="18" t="s">
        <v>50</v>
      </c>
      <c r="S4" s="18">
        <v>2.135581514114175</v>
      </c>
      <c r="T4" s="18">
        <v>4.4523336406283249</v>
      </c>
      <c r="U4" s="18"/>
      <c r="V4" s="18"/>
      <c r="W4" s="18">
        <v>0.18029999999999999</v>
      </c>
      <c r="Y4" s="92">
        <v>0.58173128257534379</v>
      </c>
      <c r="Z4" s="20">
        <v>-6.5001804192261208</v>
      </c>
      <c r="AA4" s="10">
        <v>-31.603555773292459</v>
      </c>
      <c r="AB4" s="17">
        <v>3.3804925188960011</v>
      </c>
      <c r="AC4" s="18">
        <v>1.1023254519503709</v>
      </c>
      <c r="AD4" s="21">
        <v>0.20743155828271409</v>
      </c>
      <c r="AE4" s="21">
        <v>4.1122122402173744</v>
      </c>
      <c r="AF4" s="21">
        <v>2.6790815723418768E-2</v>
      </c>
      <c r="AG4" s="21"/>
      <c r="AH4" s="21">
        <v>5.4417281893362146</v>
      </c>
    </row>
    <row r="5" spans="1:36">
      <c r="A5" s="13" t="s">
        <v>155</v>
      </c>
      <c r="B5" s="13" t="s">
        <v>68</v>
      </c>
      <c r="C5" s="13">
        <v>3</v>
      </c>
      <c r="E5" s="14">
        <v>44614</v>
      </c>
      <c r="H5" s="16">
        <v>14.4</v>
      </c>
      <c r="I5" s="16">
        <v>7.33</v>
      </c>
      <c r="J5" s="16">
        <v>36.299999999999997</v>
      </c>
      <c r="K5" s="17">
        <v>4.9296700750368361</v>
      </c>
      <c r="P5" s="18">
        <v>4.9099999999999998E-2</v>
      </c>
      <c r="Q5" s="18">
        <v>2.219781619919738</v>
      </c>
      <c r="R5" s="18" t="s">
        <v>50</v>
      </c>
      <c r="S5" s="18">
        <v>2.1555445415565191</v>
      </c>
      <c r="T5" s="18">
        <v>3.1967283155154269</v>
      </c>
      <c r="U5" s="18"/>
      <c r="V5" s="18"/>
      <c r="W5" s="18">
        <v>0.5393</v>
      </c>
      <c r="Y5" s="92">
        <v>0.58746563482667091</v>
      </c>
      <c r="Z5" s="20">
        <v>-6.3096944861579036</v>
      </c>
      <c r="AA5" s="10">
        <v>-28.16000851731232</v>
      </c>
      <c r="AB5" s="17">
        <v>2.7844014539144779</v>
      </c>
      <c r="AC5" s="18">
        <v>0.77313459965665021</v>
      </c>
      <c r="AD5" s="21">
        <v>0.22292184994110631</v>
      </c>
      <c r="AE5" s="21">
        <v>2.853514851111314</v>
      </c>
      <c r="AF5" s="21">
        <v>1.640934010758251E-2</v>
      </c>
      <c r="AG5" s="21"/>
      <c r="AH5" s="21">
        <v>4.5047536646539887</v>
      </c>
    </row>
    <row r="6" spans="1:36">
      <c r="A6" s="13" t="s">
        <v>67</v>
      </c>
      <c r="B6" s="13" t="s">
        <v>68</v>
      </c>
      <c r="C6" s="13">
        <v>4</v>
      </c>
      <c r="E6" s="14">
        <v>44621</v>
      </c>
      <c r="H6" s="16">
        <v>19.600000000000001</v>
      </c>
      <c r="I6" s="16">
        <v>7.01</v>
      </c>
      <c r="J6" s="16">
        <v>44.69</v>
      </c>
      <c r="K6" s="17">
        <v>6.9206656253122034</v>
      </c>
      <c r="P6" s="18">
        <v>5.3400000000000003E-2</v>
      </c>
      <c r="Q6" s="18">
        <v>2.49351557424129</v>
      </c>
      <c r="R6" s="18" t="s">
        <v>50</v>
      </c>
      <c r="S6" s="18">
        <v>1.9389017585027051</v>
      </c>
      <c r="T6" s="18">
        <v>3.875882123396249</v>
      </c>
      <c r="U6" s="18"/>
      <c r="V6" s="18"/>
      <c r="W6" s="18">
        <v>0.18459999999999999</v>
      </c>
      <c r="Y6" s="92">
        <v>0.53769819074711056</v>
      </c>
      <c r="Z6" s="20">
        <v>-6.5860794114186731</v>
      </c>
      <c r="AA6" s="10">
        <v>-32.403842028045588</v>
      </c>
      <c r="AB6" s="17">
        <v>3.43611848336815</v>
      </c>
      <c r="AC6" s="18">
        <v>1.0014259223346429</v>
      </c>
      <c r="AD6" s="21">
        <v>0.23886415098475541</v>
      </c>
      <c r="AE6" s="21">
        <v>3.733526908820378</v>
      </c>
      <c r="AF6" s="21">
        <v>2.3809248249055229E-2</v>
      </c>
      <c r="AG6" s="21"/>
      <c r="AH6" s="21">
        <v>5.5662708194713444</v>
      </c>
    </row>
    <row r="7" spans="1:36" s="25" customFormat="1" ht="16.2">
      <c r="A7" s="22" t="s">
        <v>67</v>
      </c>
      <c r="B7" s="22" t="s">
        <v>68</v>
      </c>
      <c r="C7" s="22">
        <v>5</v>
      </c>
      <c r="D7" s="23"/>
      <c r="E7" s="23">
        <v>44628</v>
      </c>
      <c r="F7" s="24"/>
      <c r="H7" s="25">
        <v>18.5</v>
      </c>
      <c r="I7" s="25">
        <v>7.2</v>
      </c>
      <c r="J7" s="25">
        <v>48.42</v>
      </c>
      <c r="K7" s="26">
        <v>7.5614282551486838</v>
      </c>
      <c r="M7" s="22"/>
      <c r="N7" s="22"/>
      <c r="O7" s="22"/>
      <c r="P7" s="27">
        <v>5.9900000000000002E-2</v>
      </c>
      <c r="Q7" s="27">
        <v>2.6145458968945241</v>
      </c>
      <c r="R7" s="27" t="s">
        <v>50</v>
      </c>
      <c r="S7" s="27">
        <v>1.95016708554574</v>
      </c>
      <c r="T7" s="27">
        <v>4.4874705391724996</v>
      </c>
      <c r="U7" s="27"/>
      <c r="V7" s="27"/>
      <c r="W7" s="27">
        <v>0.2485</v>
      </c>
      <c r="X7" s="28"/>
      <c r="Y7" s="93">
        <v>0.54655630086580576</v>
      </c>
      <c r="Z7" s="26">
        <v>-6.4916560917566306</v>
      </c>
      <c r="AA7" s="29">
        <v>-32.235824326782698</v>
      </c>
      <c r="AB7" s="26">
        <v>3.6629269600519789</v>
      </c>
      <c r="AC7" s="30">
        <v>1.136160828695848</v>
      </c>
      <c r="AD7" s="30">
        <v>0.25195567041096478</v>
      </c>
      <c r="AE7" s="30">
        <v>4.1921679827392859</v>
      </c>
      <c r="AF7" s="30">
        <v>2.77807094291899E-2</v>
      </c>
      <c r="AG7" s="30"/>
      <c r="AH7" s="30">
        <v>5.5562922291156989</v>
      </c>
      <c r="AI7" s="31"/>
      <c r="AJ7" s="26"/>
    </row>
    <row r="8" spans="1:36">
      <c r="A8" s="13" t="s">
        <v>156</v>
      </c>
      <c r="B8" s="13" t="s">
        <v>68</v>
      </c>
      <c r="C8" s="13">
        <v>6</v>
      </c>
      <c r="E8" s="14">
        <v>44635</v>
      </c>
      <c r="H8" s="16">
        <v>17.5</v>
      </c>
      <c r="I8" s="16">
        <v>7.35</v>
      </c>
      <c r="J8" s="16">
        <v>50.88</v>
      </c>
      <c r="K8" s="17">
        <v>8.3660559892860409</v>
      </c>
      <c r="P8" s="18">
        <v>4.3799999999999999E-2</v>
      </c>
      <c r="Q8" s="18">
        <v>2.5055167164805821</v>
      </c>
      <c r="R8" s="18" t="s">
        <v>50</v>
      </c>
      <c r="S8" s="18">
        <v>1.853377929444298</v>
      </c>
      <c r="T8" s="18">
        <v>4.9194142667102483</v>
      </c>
      <c r="U8" s="18"/>
      <c r="V8" s="18"/>
      <c r="W8" s="18">
        <v>0.15579999999999999</v>
      </c>
      <c r="Y8" s="92">
        <v>0.50919364671106415</v>
      </c>
      <c r="Z8" s="20">
        <v>-6.5890301401581119</v>
      </c>
      <c r="AA8" s="10">
        <v>-32.75847356449755</v>
      </c>
      <c r="AB8" s="17">
        <v>3.6076229333986949</v>
      </c>
      <c r="AC8" s="18">
        <v>1.1913252445100231</v>
      </c>
      <c r="AD8" s="21">
        <v>0.2390794807495086</v>
      </c>
      <c r="AE8" s="21">
        <v>4.4479879706838137</v>
      </c>
      <c r="AF8" s="21">
        <v>3.0349522205629802E-2</v>
      </c>
      <c r="AG8" s="21"/>
      <c r="AH8" s="21">
        <v>5.6653293942082614</v>
      </c>
    </row>
    <row r="9" spans="1:36" ht="16.2">
      <c r="A9" s="13" t="s">
        <v>156</v>
      </c>
      <c r="B9" s="32" t="s">
        <v>157</v>
      </c>
      <c r="C9" s="13">
        <v>7</v>
      </c>
      <c r="E9" s="14">
        <v>44642</v>
      </c>
      <c r="H9" s="16">
        <v>16</v>
      </c>
      <c r="I9" s="16">
        <v>7.03</v>
      </c>
      <c r="J9" s="16">
        <v>52.9</v>
      </c>
      <c r="K9" s="17">
        <v>9.2719363894951261</v>
      </c>
      <c r="P9" s="18">
        <v>6.4299999999999996E-2</v>
      </c>
      <c r="Q9" s="18">
        <v>2.5719750870375671</v>
      </c>
      <c r="R9" s="18" t="s">
        <v>50</v>
      </c>
      <c r="S9" s="18">
        <v>2.0437574606767739</v>
      </c>
      <c r="T9" s="18">
        <v>5.3380283471104706</v>
      </c>
      <c r="U9" s="18"/>
      <c r="V9" s="18"/>
      <c r="W9" s="18">
        <v>0.25530000000000003</v>
      </c>
      <c r="X9" s="19">
        <v>3.6583999999999999</v>
      </c>
      <c r="Y9" s="92">
        <v>0.56668692594062353</v>
      </c>
      <c r="Z9" s="20">
        <v>-6.47755816555709</v>
      </c>
      <c r="AA9" s="10">
        <v>-32.957158574340461</v>
      </c>
      <c r="AB9" s="17">
        <v>3.7517433624980061</v>
      </c>
      <c r="AC9" s="18">
        <v>1.2767703564330251</v>
      </c>
      <c r="AD9" s="21">
        <v>0.2532016816247511</v>
      </c>
      <c r="AE9" s="21">
        <v>4.8358264012743204</v>
      </c>
      <c r="AF9" s="21">
        <v>3.3179979187318791E-2</v>
      </c>
      <c r="AG9" s="21"/>
      <c r="AH9" s="21">
        <v>5.6546565407333391</v>
      </c>
    </row>
    <row r="10" spans="1:36">
      <c r="A10" s="13" t="s">
        <v>67</v>
      </c>
      <c r="B10" s="13" t="s">
        <v>68</v>
      </c>
      <c r="C10" s="13">
        <v>8</v>
      </c>
      <c r="E10" s="14">
        <v>44649</v>
      </c>
      <c r="H10" s="16">
        <v>15.7</v>
      </c>
      <c r="I10" s="16">
        <v>7.25</v>
      </c>
      <c r="J10" s="16">
        <v>43.98</v>
      </c>
      <c r="K10" s="17">
        <v>6.5789647711479962</v>
      </c>
      <c r="P10" s="18" t="s">
        <v>50</v>
      </c>
      <c r="Q10" s="18">
        <v>2.276033351540157</v>
      </c>
      <c r="R10" s="18" t="s">
        <v>50</v>
      </c>
      <c r="S10" s="18">
        <v>2.509339892471727</v>
      </c>
      <c r="T10" s="18">
        <v>4.319355023867506</v>
      </c>
      <c r="U10" s="18"/>
      <c r="V10" s="18"/>
      <c r="W10" s="18">
        <v>0.27960000000000002</v>
      </c>
      <c r="X10" s="19">
        <v>2.7683</v>
      </c>
      <c r="Y10" s="92">
        <v>0.83755528929730128</v>
      </c>
      <c r="Z10" s="20">
        <v>-6.3811676934020882</v>
      </c>
      <c r="AA10" s="10">
        <v>-29.699246409658539</v>
      </c>
      <c r="AB10" s="17">
        <v>3.217418165227834</v>
      </c>
      <c r="AC10" s="18">
        <v>1.057867336293389</v>
      </c>
      <c r="AD10" s="21">
        <v>0.2495981623154401</v>
      </c>
      <c r="AE10" s="21">
        <v>4.2700255091254107</v>
      </c>
      <c r="AF10" s="21">
        <v>2.562967383468091E-2</v>
      </c>
      <c r="AG10" s="21"/>
      <c r="AH10" s="21">
        <v>4.9496651949210877</v>
      </c>
    </row>
    <row r="11" spans="1:36">
      <c r="A11" s="13" t="s">
        <v>67</v>
      </c>
      <c r="B11" s="13" t="s">
        <v>68</v>
      </c>
      <c r="C11" s="13">
        <v>9</v>
      </c>
      <c r="E11" s="14">
        <v>44658</v>
      </c>
      <c r="H11" s="16">
        <v>14.6</v>
      </c>
      <c r="I11" s="16">
        <v>7.38</v>
      </c>
      <c r="J11" s="16">
        <v>47.34</v>
      </c>
      <c r="K11" s="17">
        <v>7.2229868925122664</v>
      </c>
      <c r="P11" s="18" t="s">
        <v>50</v>
      </c>
      <c r="Q11" s="18">
        <v>2.597037241209311</v>
      </c>
      <c r="R11" s="18" t="s">
        <v>50</v>
      </c>
      <c r="S11" s="18">
        <v>2.1943503055050262</v>
      </c>
      <c r="T11" s="18">
        <v>4.5274659377752</v>
      </c>
      <c r="U11" s="18"/>
      <c r="V11" s="18"/>
      <c r="W11" s="18">
        <v>0.17929999999999999</v>
      </c>
      <c r="X11" s="19">
        <v>2.9722</v>
      </c>
      <c r="Y11" s="92">
        <v>0.64139266067040379</v>
      </c>
      <c r="Z11" s="20">
        <v>-6.4621488043622426</v>
      </c>
      <c r="AA11" s="10">
        <v>-31.029685605289711</v>
      </c>
      <c r="AB11" s="17">
        <v>3.3959309742097892</v>
      </c>
      <c r="AC11" s="18">
        <v>1.0803760978274899</v>
      </c>
      <c r="AD11" s="21">
        <v>0.24295752322579761</v>
      </c>
      <c r="AE11" s="21">
        <v>4.0289397030063521</v>
      </c>
      <c r="AF11" s="21">
        <v>2.652684656603873E-2</v>
      </c>
      <c r="AG11" s="21"/>
      <c r="AH11" s="21">
        <v>5.4194735871866699</v>
      </c>
    </row>
    <row r="12" spans="1:36">
      <c r="A12" s="13" t="s">
        <v>67</v>
      </c>
      <c r="B12" s="13" t="s">
        <v>68</v>
      </c>
      <c r="C12" s="13">
        <v>10</v>
      </c>
      <c r="E12" s="14">
        <v>44663</v>
      </c>
      <c r="H12" s="16">
        <v>14.2</v>
      </c>
      <c r="I12" s="16">
        <v>7.2</v>
      </c>
      <c r="J12" s="16">
        <v>47.18</v>
      </c>
      <c r="K12" s="17">
        <v>7.5536547305714761</v>
      </c>
      <c r="P12" s="18" t="s">
        <v>50</v>
      </c>
      <c r="Q12" s="18">
        <v>2.494247102197984</v>
      </c>
      <c r="R12" s="18" t="s">
        <v>50</v>
      </c>
      <c r="S12" s="18">
        <v>2.1102981759562729</v>
      </c>
      <c r="T12" s="18">
        <v>4.4258874365256089</v>
      </c>
      <c r="U12" s="18"/>
      <c r="V12" s="18"/>
      <c r="W12" s="18">
        <v>0.19819999999999999</v>
      </c>
      <c r="X12" s="19">
        <v>3.1322000000000001</v>
      </c>
      <c r="Y12" s="92">
        <v>0.5035210144848814</v>
      </c>
      <c r="Z12" s="20">
        <v>-6.521819096648672</v>
      </c>
      <c r="AA12" s="10">
        <v>-31.859007928804768</v>
      </c>
      <c r="AB12" s="17">
        <v>3.453674846954621</v>
      </c>
      <c r="AC12" s="21">
        <v>1.1344240325655151</v>
      </c>
      <c r="AD12" s="33">
        <v>0.23804457266189211</v>
      </c>
      <c r="AE12" s="33">
        <v>4.1959330824870369</v>
      </c>
      <c r="AF12" s="33">
        <v>2.8083914244330301E-2</v>
      </c>
      <c r="AH12" s="33">
        <v>5.6090244166282108</v>
      </c>
    </row>
    <row r="13" spans="1:36">
      <c r="A13" s="13" t="s">
        <v>67</v>
      </c>
      <c r="B13" s="13" t="s">
        <v>68</v>
      </c>
      <c r="C13" s="13">
        <v>11</v>
      </c>
      <c r="E13" s="14">
        <v>44670</v>
      </c>
      <c r="H13" s="16">
        <v>14.7</v>
      </c>
      <c r="I13" s="16">
        <v>7.44</v>
      </c>
      <c r="J13" s="16">
        <v>51.41</v>
      </c>
      <c r="K13" s="17">
        <v>8.0045851546734283</v>
      </c>
      <c r="P13" s="18">
        <v>2.818799961047869E-2</v>
      </c>
      <c r="Q13" s="18">
        <v>2.613809945485563</v>
      </c>
      <c r="R13" s="18" t="s">
        <v>50</v>
      </c>
      <c r="S13" s="18">
        <v>2.0386867758300871</v>
      </c>
      <c r="T13" s="18">
        <v>4.9650589660356168</v>
      </c>
      <c r="U13" s="18"/>
      <c r="V13" s="18"/>
      <c r="W13" s="18">
        <v>0.26650000000000001</v>
      </c>
      <c r="X13" s="19">
        <v>3.3660999999999999</v>
      </c>
      <c r="Y13" s="92">
        <v>0.50895500008354455</v>
      </c>
      <c r="Z13" s="20">
        <v>-6.7334746375200556</v>
      </c>
      <c r="AA13" s="10">
        <v>-35.343983231598529</v>
      </c>
      <c r="AB13" s="17">
        <v>3.7227504929019428</v>
      </c>
      <c r="AC13" s="18">
        <v>1.233333579295701</v>
      </c>
      <c r="AD13" s="21">
        <v>0.21537269609051729</v>
      </c>
      <c r="AE13" s="21">
        <v>4.7428793920365226</v>
      </c>
      <c r="AF13" s="21">
        <v>3.4148266294723548E-2</v>
      </c>
      <c r="AG13" s="21"/>
      <c r="AH13" s="21">
        <v>5.9769645189414451</v>
      </c>
    </row>
    <row r="14" spans="1:36">
      <c r="A14" s="13" t="s">
        <v>67</v>
      </c>
      <c r="B14" s="13" t="s">
        <v>68</v>
      </c>
      <c r="C14" s="13">
        <v>12</v>
      </c>
      <c r="E14" s="14">
        <v>44677</v>
      </c>
      <c r="H14" s="16">
        <v>11.8</v>
      </c>
      <c r="I14" s="16">
        <v>7.46</v>
      </c>
      <c r="J14" s="16">
        <v>54.4</v>
      </c>
      <c r="K14" s="17">
        <v>8.6335124102952445</v>
      </c>
      <c r="P14" s="18">
        <v>4.8925866033562283E-2</v>
      </c>
      <c r="Q14" s="18">
        <v>2.6197450745182569</v>
      </c>
      <c r="R14" s="18" t="s">
        <v>50</v>
      </c>
      <c r="S14" s="18">
        <v>1.959856196555906</v>
      </c>
      <c r="T14" s="18">
        <v>5.3650268615933419</v>
      </c>
      <c r="U14" s="18"/>
      <c r="V14" s="18"/>
      <c r="W14" s="18">
        <v>0.34239999999999998</v>
      </c>
      <c r="X14" s="19">
        <v>3.6547999999999998</v>
      </c>
      <c r="Y14" s="92">
        <v>0.57507028623852108</v>
      </c>
      <c r="Z14" s="20">
        <v>-6.7561627912412847</v>
      </c>
      <c r="AA14" s="10">
        <v>-35.193929039595467</v>
      </c>
      <c r="AB14" s="17">
        <v>3.9834253282870549</v>
      </c>
      <c r="AC14" s="18">
        <v>1.323777924292874</v>
      </c>
      <c r="AD14" s="21">
        <v>0.22643918750067879</v>
      </c>
      <c r="AE14" s="21">
        <v>5.2311730284073557</v>
      </c>
      <c r="AF14" s="21">
        <v>3.697596078000235E-2</v>
      </c>
      <c r="AG14" s="21"/>
      <c r="AH14" s="21">
        <v>6.0861011318763643</v>
      </c>
    </row>
    <row r="15" spans="1:36">
      <c r="A15" s="13" t="s">
        <v>67</v>
      </c>
      <c r="B15" s="13" t="s">
        <v>68</v>
      </c>
      <c r="C15" s="13">
        <v>13</v>
      </c>
      <c r="E15" s="14">
        <v>44684</v>
      </c>
      <c r="H15" s="16">
        <v>14.6</v>
      </c>
      <c r="I15" s="16">
        <v>7.42</v>
      </c>
      <c r="J15" s="16">
        <v>49.04</v>
      </c>
      <c r="K15" s="17">
        <v>7.8211205980984264</v>
      </c>
      <c r="P15" s="18">
        <v>0.1160934943234123</v>
      </c>
      <c r="Q15" s="18">
        <v>2.3181379965215712</v>
      </c>
      <c r="R15" s="18" t="s">
        <v>50</v>
      </c>
      <c r="S15" s="18">
        <v>2.3699909748399191</v>
      </c>
      <c r="T15" s="18">
        <v>4.8456520009826578</v>
      </c>
      <c r="U15" s="18"/>
      <c r="V15" s="18"/>
      <c r="W15" s="18">
        <v>1.3084966707265899</v>
      </c>
      <c r="Y15" s="92">
        <v>0.63068543097029905</v>
      </c>
      <c r="Z15" s="20">
        <v>-6.5085949962243328</v>
      </c>
      <c r="AA15" s="10">
        <v>-32.246506963561863</v>
      </c>
      <c r="AB15" s="17">
        <v>3.5578355761867968</v>
      </c>
      <c r="AC15" s="18">
        <v>1.186986950508911</v>
      </c>
      <c r="AD15" s="21">
        <v>0.22985643849670229</v>
      </c>
      <c r="AE15" s="21">
        <v>4.8965968150738588</v>
      </c>
      <c r="AF15" s="21">
        <v>3.3457364802630077E-2</v>
      </c>
      <c r="AG15" s="21"/>
      <c r="AH15" s="21">
        <v>5.2063794971948916</v>
      </c>
    </row>
    <row r="16" spans="1:36">
      <c r="A16" s="13" t="s">
        <v>67</v>
      </c>
      <c r="B16" s="13" t="s">
        <v>68</v>
      </c>
      <c r="C16" s="13">
        <v>14</v>
      </c>
      <c r="E16" s="14">
        <v>44691</v>
      </c>
      <c r="H16" s="16">
        <v>18.3</v>
      </c>
      <c r="I16" s="16">
        <v>7.43</v>
      </c>
      <c r="J16" s="16">
        <v>55.35</v>
      </c>
      <c r="K16" s="17">
        <v>7.8731383724254922</v>
      </c>
      <c r="P16" s="18">
        <v>5.7599999999999998E-2</v>
      </c>
      <c r="Q16" s="18">
        <v>2.4655943310940298</v>
      </c>
      <c r="R16" s="18" t="s">
        <v>50</v>
      </c>
      <c r="S16" s="18">
        <v>2.082545886576427</v>
      </c>
      <c r="T16" s="18">
        <v>5.3935615997876907</v>
      </c>
      <c r="U16" s="18"/>
      <c r="V16" s="18"/>
      <c r="W16" s="18">
        <v>0.40253413136069299</v>
      </c>
      <c r="Y16" s="92">
        <v>0.88111139773607572</v>
      </c>
      <c r="Z16" s="20">
        <v>-6.7605002323938734</v>
      </c>
      <c r="AA16" s="10">
        <v>-34.636774180988077</v>
      </c>
      <c r="AB16" s="17">
        <v>3.8958917865293912</v>
      </c>
      <c r="AC16" s="18">
        <v>1.30710173832432</v>
      </c>
      <c r="AD16" s="21">
        <v>0.1991206198503449</v>
      </c>
      <c r="AE16" s="21">
        <v>5.0635784063490101</v>
      </c>
      <c r="AF16" s="21">
        <v>3.1971935255817242E-2</v>
      </c>
      <c r="AG16" s="21"/>
      <c r="AH16" s="21">
        <v>5.7880883137360852</v>
      </c>
    </row>
    <row r="17" spans="1:34">
      <c r="A17" s="13" t="s">
        <v>67</v>
      </c>
      <c r="B17" s="13" t="s">
        <v>68</v>
      </c>
      <c r="C17" s="13">
        <v>15</v>
      </c>
      <c r="E17" s="14">
        <v>44698</v>
      </c>
      <c r="H17" s="16">
        <v>15.6</v>
      </c>
      <c r="I17" s="16">
        <v>7.3</v>
      </c>
      <c r="J17" s="16">
        <v>44.12</v>
      </c>
      <c r="K17" s="17">
        <v>6.5591795402182278</v>
      </c>
      <c r="P17" s="18">
        <v>4.9700000000000001E-2</v>
      </c>
      <c r="Q17" s="18">
        <v>2.2922592549607348</v>
      </c>
      <c r="R17" s="18" t="s">
        <v>50</v>
      </c>
      <c r="S17" s="18">
        <v>2.5309855643177439</v>
      </c>
      <c r="T17" s="18">
        <v>4.1510963621473236</v>
      </c>
      <c r="U17" s="18"/>
      <c r="V17" s="18"/>
      <c r="W17" s="18">
        <v>0.26407028465844867</v>
      </c>
      <c r="Y17" s="92">
        <v>0.65224820934480809</v>
      </c>
      <c r="Z17" s="20">
        <v>-6.6714158641061019</v>
      </c>
      <c r="AA17" s="10">
        <v>-32.695013312286228</v>
      </c>
      <c r="AB17" s="17">
        <v>3.4655187867120532</v>
      </c>
      <c r="AC17" s="18">
        <v>0.98227898916000855</v>
      </c>
      <c r="AD17" s="21">
        <v>0.2258647421328292</v>
      </c>
      <c r="AE17" s="21">
        <v>3.8667383801453288</v>
      </c>
      <c r="AF17" s="21">
        <v>2.4042841631526691E-2</v>
      </c>
      <c r="AG17" s="21"/>
      <c r="AH17" s="21">
        <v>5.177630919135134</v>
      </c>
    </row>
    <row r="18" spans="1:34">
      <c r="A18" s="13" t="s">
        <v>67</v>
      </c>
      <c r="B18" s="13" t="s">
        <v>68</v>
      </c>
      <c r="C18" s="13">
        <v>16</v>
      </c>
      <c r="E18" s="14">
        <v>44705</v>
      </c>
      <c r="H18" s="16">
        <v>14.2</v>
      </c>
      <c r="I18" s="16">
        <v>7.31</v>
      </c>
      <c r="J18" s="16">
        <v>47.3</v>
      </c>
      <c r="K18" s="17">
        <v>7.9089940147663684</v>
      </c>
      <c r="P18" s="18">
        <v>5.16E-2</v>
      </c>
      <c r="Q18" s="18">
        <v>2.462074362868607</v>
      </c>
      <c r="R18" s="18" t="s">
        <v>50</v>
      </c>
      <c r="S18" s="18">
        <v>2.0161943983850348</v>
      </c>
      <c r="T18" s="18">
        <v>4.0330377105880162</v>
      </c>
      <c r="U18" s="18"/>
      <c r="V18" s="18"/>
      <c r="W18" s="18">
        <v>0.23979870916046389</v>
      </c>
      <c r="Y18" s="92">
        <v>0.54857274753600349</v>
      </c>
      <c r="Z18" s="20">
        <v>-6.6974405110216306</v>
      </c>
      <c r="AA18" s="10">
        <v>-33.3584979625779</v>
      </c>
      <c r="AB18" s="17">
        <v>3.547452017650857</v>
      </c>
      <c r="AC18" s="18">
        <v>1.114209288284816</v>
      </c>
      <c r="AD18" s="21">
        <v>0.20737068936004541</v>
      </c>
      <c r="AE18" s="21">
        <v>4.2519903340928797</v>
      </c>
      <c r="AF18" s="21">
        <v>2.6995986482986921E-2</v>
      </c>
      <c r="AG18" s="21"/>
      <c r="AH18" s="21">
        <v>5.6535755791608109</v>
      </c>
    </row>
    <row r="19" spans="1:34">
      <c r="A19" s="13" t="s">
        <v>67</v>
      </c>
      <c r="B19" s="13" t="s">
        <v>68</v>
      </c>
      <c r="C19" s="13">
        <v>17</v>
      </c>
      <c r="E19" s="14">
        <v>44712</v>
      </c>
      <c r="H19" s="16">
        <v>15.3</v>
      </c>
      <c r="I19" s="16">
        <v>7.46</v>
      </c>
      <c r="J19" s="16">
        <v>45.65</v>
      </c>
      <c r="K19" s="17">
        <v>7.5062099435438823</v>
      </c>
      <c r="P19" s="18">
        <v>4.0899999999999999E-2</v>
      </c>
      <c r="Q19" s="18">
        <v>2.4382228861731541</v>
      </c>
      <c r="R19" s="18" t="s">
        <v>50</v>
      </c>
      <c r="S19" s="18">
        <v>2.0706109496290939</v>
      </c>
      <c r="T19" s="18">
        <v>4.4112521017732096</v>
      </c>
      <c r="U19" s="18"/>
      <c r="V19" s="18"/>
      <c r="W19" s="18">
        <v>0.37386876327763169</v>
      </c>
      <c r="Y19" s="92">
        <v>0.52867852928386783</v>
      </c>
      <c r="Z19" s="20">
        <v>-6.7411485718669413</v>
      </c>
      <c r="AA19" s="10">
        <v>-33.607263300755157</v>
      </c>
      <c r="AB19" s="17">
        <v>3.5481721143561429</v>
      </c>
      <c r="AC19" s="18">
        <v>1.0391134331055489</v>
      </c>
      <c r="AD19" s="21">
        <v>0.19422693135847441</v>
      </c>
      <c r="AE19" s="21">
        <v>3.9820614795517599</v>
      </c>
      <c r="AF19" s="21">
        <v>2.488131601572147E-2</v>
      </c>
      <c r="AG19" s="21"/>
      <c r="AH19" s="21">
        <v>5.6474457049358397</v>
      </c>
    </row>
    <row r="20" spans="1:34">
      <c r="A20" s="13" t="s">
        <v>67</v>
      </c>
      <c r="B20" s="13" t="s">
        <v>68</v>
      </c>
      <c r="C20" s="13">
        <v>18</v>
      </c>
      <c r="E20" s="14">
        <v>44719</v>
      </c>
      <c r="H20" s="16">
        <v>17.3</v>
      </c>
      <c r="I20" s="16">
        <v>7.66</v>
      </c>
      <c r="J20" s="16">
        <v>47.37</v>
      </c>
      <c r="K20" s="17">
        <v>8.0289325552618891</v>
      </c>
      <c r="P20" s="18">
        <v>4.2799999999999998E-2</v>
      </c>
      <c r="Q20" s="18">
        <v>2.423278633858557</v>
      </c>
      <c r="R20" s="18" t="s">
        <v>50</v>
      </c>
      <c r="S20" s="18">
        <v>1.973791252460467</v>
      </c>
      <c r="T20" s="18">
        <v>4.4020450497529939</v>
      </c>
      <c r="U20" s="18"/>
      <c r="V20" s="18"/>
      <c r="W20" s="18">
        <v>0.20666225522294679</v>
      </c>
      <c r="Y20" s="92">
        <v>0.53016703875490889</v>
      </c>
      <c r="Z20" s="20">
        <v>-6.7864112620951742</v>
      </c>
      <c r="AA20" s="10">
        <v>-33.692588442030377</v>
      </c>
      <c r="AB20" s="17">
        <v>3.562935710686709</v>
      </c>
      <c r="AC20" s="18">
        <v>1.119663673470795</v>
      </c>
      <c r="AD20" s="21">
        <v>0.20269780738079621</v>
      </c>
      <c r="AE20" s="21">
        <v>4.2796407600302713</v>
      </c>
      <c r="AF20" s="21">
        <v>2.6865676947864341E-2</v>
      </c>
      <c r="AG20" s="21"/>
      <c r="AH20" s="21">
        <v>5.6948025860006686</v>
      </c>
    </row>
    <row r="21" spans="1:34">
      <c r="A21" s="13" t="s">
        <v>67</v>
      </c>
      <c r="B21" s="13" t="s">
        <v>68</v>
      </c>
      <c r="C21" s="13">
        <v>19</v>
      </c>
      <c r="E21" s="14">
        <v>44726</v>
      </c>
      <c r="H21" s="16">
        <v>12.1</v>
      </c>
      <c r="I21" s="16">
        <v>7.66</v>
      </c>
      <c r="J21" s="16">
        <v>46.12</v>
      </c>
      <c r="K21" s="17">
        <v>7.787820083477528</v>
      </c>
      <c r="P21" s="18">
        <v>1.142130082633418E-2</v>
      </c>
      <c r="Q21" s="18">
        <v>2.5421637353653912</v>
      </c>
      <c r="R21" s="18" t="s">
        <v>50</v>
      </c>
      <c r="S21" s="18">
        <v>2.0506655758882668</v>
      </c>
      <c r="T21" s="18">
        <v>4.396849456735314</v>
      </c>
      <c r="U21" s="18"/>
      <c r="V21" s="18"/>
      <c r="W21" s="18">
        <v>0.17462648471019479</v>
      </c>
      <c r="Y21" s="92">
        <v>0.59558751091346951</v>
      </c>
      <c r="Z21" s="20">
        <v>-6.7175397461049151</v>
      </c>
      <c r="AA21" s="10">
        <v>-32.156818302011366</v>
      </c>
      <c r="AB21" s="17">
        <v>3.6462947864324891</v>
      </c>
      <c r="AC21" s="18">
        <v>1.1315364858807411</v>
      </c>
      <c r="AD21" s="21">
        <v>0.1715734284447302</v>
      </c>
      <c r="AE21" s="21">
        <v>4.1744700037061451</v>
      </c>
      <c r="AF21" s="21">
        <v>3.306766303529822E-2</v>
      </c>
      <c r="AG21" s="21"/>
      <c r="AH21" s="21">
        <v>5.7310858553399617</v>
      </c>
    </row>
    <row r="22" spans="1:34">
      <c r="A22" s="13" t="s">
        <v>67</v>
      </c>
      <c r="B22" s="13" t="s">
        <v>68</v>
      </c>
      <c r="C22" s="13">
        <v>20</v>
      </c>
      <c r="E22" s="14">
        <v>44733</v>
      </c>
      <c r="H22" s="16">
        <v>16.3</v>
      </c>
      <c r="I22" s="16">
        <v>7.75</v>
      </c>
      <c r="J22" s="16">
        <v>50.22</v>
      </c>
      <c r="K22" s="17">
        <v>8.4912983743714943</v>
      </c>
      <c r="P22" s="18">
        <v>1.9506006779661179E-2</v>
      </c>
      <c r="Q22" s="18">
        <v>2.5738869968063418</v>
      </c>
      <c r="R22" s="18" t="s">
        <v>50</v>
      </c>
      <c r="S22" s="18">
        <v>2.0829598817394328</v>
      </c>
      <c r="T22" s="18">
        <v>4.809383210508523</v>
      </c>
      <c r="U22" s="18"/>
      <c r="V22" s="18"/>
      <c r="W22" s="18">
        <v>0.3705</v>
      </c>
      <c r="Y22" s="92">
        <v>0.58692492269427943</v>
      </c>
      <c r="Z22" s="20">
        <v>-6.7610493415319484</v>
      </c>
      <c r="AA22" s="10">
        <v>-33.685310290441748</v>
      </c>
      <c r="AB22" s="17">
        <v>3.7389823463507939</v>
      </c>
      <c r="AC22" s="18">
        <v>1.208801998503541</v>
      </c>
      <c r="AD22" s="21">
        <v>0.23473205289007451</v>
      </c>
      <c r="AE22" s="21">
        <v>4.5461065466001891</v>
      </c>
      <c r="AF22" s="21">
        <v>3.5495696482829318E-2</v>
      </c>
      <c r="AG22" s="21"/>
      <c r="AH22" s="21">
        <v>5.8084684688338886</v>
      </c>
    </row>
    <row r="23" spans="1:34">
      <c r="A23" s="13" t="s">
        <v>156</v>
      </c>
      <c r="B23" s="13" t="s">
        <v>68</v>
      </c>
      <c r="C23" s="13">
        <v>21</v>
      </c>
      <c r="E23" s="14">
        <v>44740</v>
      </c>
      <c r="H23" s="16">
        <v>15.3</v>
      </c>
      <c r="I23" s="16">
        <v>7.7</v>
      </c>
      <c r="J23" s="16">
        <v>49.54</v>
      </c>
      <c r="K23" s="17">
        <v>8.6705382340345594</v>
      </c>
      <c r="P23" s="18">
        <v>2.509045734569005E-2</v>
      </c>
      <c r="Q23" s="18">
        <v>2.5718094684139472</v>
      </c>
      <c r="R23" s="18" t="s">
        <v>50</v>
      </c>
      <c r="S23" s="18">
        <v>2.0029948768158019</v>
      </c>
      <c r="T23" s="18">
        <v>4.8855115501497703</v>
      </c>
      <c r="U23" s="18"/>
      <c r="V23" s="18"/>
      <c r="W23" s="18">
        <v>0.28999999999999998</v>
      </c>
      <c r="Y23" s="92">
        <v>0.58376273911042453</v>
      </c>
      <c r="Z23" s="20">
        <v>-6.7696217007576642</v>
      </c>
      <c r="AA23" s="10">
        <v>-33.485373687553619</v>
      </c>
      <c r="AB23" s="17">
        <v>3.781245920338506</v>
      </c>
      <c r="AC23" s="18">
        <v>1.2639929839719311</v>
      </c>
      <c r="AD23" s="21">
        <v>0.23182359069758121</v>
      </c>
      <c r="AE23" s="21">
        <v>4.8597124163108374</v>
      </c>
      <c r="AF23" s="21">
        <v>3.6771871386705547E-2</v>
      </c>
      <c r="AG23" s="21"/>
      <c r="AH23" s="21">
        <v>6.26649403252316</v>
      </c>
    </row>
    <row r="24" spans="1:34">
      <c r="A24" s="13" t="s">
        <v>156</v>
      </c>
      <c r="B24" s="13" t="s">
        <v>68</v>
      </c>
      <c r="C24" s="13">
        <v>22</v>
      </c>
      <c r="E24" s="14">
        <v>44747</v>
      </c>
      <c r="H24" s="16">
        <v>13.6</v>
      </c>
      <c r="I24" s="16">
        <v>7.66</v>
      </c>
      <c r="J24" s="16">
        <v>59.56</v>
      </c>
      <c r="K24" s="17">
        <v>9.1600515792878081</v>
      </c>
      <c r="P24" s="18">
        <v>1.452056098203384E-2</v>
      </c>
      <c r="Q24" s="18">
        <v>2.5521408707791169</v>
      </c>
      <c r="R24" s="18" t="s">
        <v>50</v>
      </c>
      <c r="S24" s="18">
        <v>2.2709466310624782</v>
      </c>
      <c r="T24" s="18">
        <v>5.2463854074158283</v>
      </c>
      <c r="U24" s="18"/>
      <c r="V24" s="18"/>
      <c r="W24" s="18">
        <v>0.38600000000000001</v>
      </c>
      <c r="X24" s="19">
        <v>3.2656000000000001</v>
      </c>
      <c r="Y24" s="92">
        <v>0.64721940471787787</v>
      </c>
      <c r="Z24" s="20">
        <v>-6.8975054008091279</v>
      </c>
      <c r="AA24" s="10">
        <v>-34.430669406526214</v>
      </c>
      <c r="AB24" s="17">
        <v>3.7143751588494189</v>
      </c>
      <c r="AC24" s="18">
        <v>1.3011658612941721</v>
      </c>
      <c r="AD24" s="21">
        <v>0.22013193012304269</v>
      </c>
      <c r="AE24" s="21">
        <v>5.0840025168494591</v>
      </c>
      <c r="AF24" s="21">
        <v>3.7451508046809953E-2</v>
      </c>
      <c r="AG24" s="21"/>
      <c r="AH24" s="21">
        <v>5.8258464205817422</v>
      </c>
    </row>
    <row r="25" spans="1:34">
      <c r="A25" s="13" t="s">
        <v>156</v>
      </c>
      <c r="B25" s="13" t="s">
        <v>68</v>
      </c>
      <c r="C25" s="13">
        <v>23</v>
      </c>
      <c r="E25" s="14">
        <v>44754</v>
      </c>
      <c r="H25" s="16">
        <v>15.4</v>
      </c>
      <c r="I25" s="16">
        <v>7.63</v>
      </c>
      <c r="J25" s="16">
        <v>57.32</v>
      </c>
      <c r="K25" s="17">
        <v>8.9001108642656792</v>
      </c>
      <c r="P25" s="18">
        <v>1.686276396323217E-2</v>
      </c>
      <c r="Q25" s="18">
        <v>2.5992197673605699</v>
      </c>
      <c r="R25" s="18" t="s">
        <v>50</v>
      </c>
      <c r="S25" s="18">
        <v>2.110309945442316</v>
      </c>
      <c r="T25" s="18">
        <v>5.2895968562301796</v>
      </c>
      <c r="U25" s="18"/>
      <c r="V25" s="18"/>
      <c r="W25" s="18">
        <v>0.31288714092750453</v>
      </c>
      <c r="X25" s="19">
        <v>3.5398917145847308</v>
      </c>
      <c r="Y25" s="92">
        <v>0.64421089218224115</v>
      </c>
      <c r="Z25" s="20">
        <v>-6.8422676769649087</v>
      </c>
      <c r="AA25" s="10">
        <v>-33.998686595599388</v>
      </c>
      <c r="AB25" s="17">
        <v>3.7316505857222171</v>
      </c>
      <c r="AC25" s="18">
        <v>1.2691622618237961</v>
      </c>
      <c r="AD25" s="21">
        <v>0.23810730961521739</v>
      </c>
      <c r="AE25" s="21">
        <v>4.8350269261147396</v>
      </c>
      <c r="AF25" s="21">
        <v>3.6787588705400311E-2</v>
      </c>
      <c r="AG25" s="21"/>
      <c r="AH25" s="21">
        <v>5.9085436446667794</v>
      </c>
    </row>
    <row r="26" spans="1:34">
      <c r="A26" s="13" t="s">
        <v>156</v>
      </c>
      <c r="B26" s="13" t="s">
        <v>68</v>
      </c>
      <c r="C26" s="13">
        <v>24</v>
      </c>
      <c r="E26" s="14">
        <v>44761</v>
      </c>
      <c r="H26" s="16">
        <v>25.7</v>
      </c>
      <c r="I26" s="16">
        <v>7.43</v>
      </c>
      <c r="J26" s="16">
        <v>55.46</v>
      </c>
      <c r="K26" s="17">
        <v>9.2900854464055058</v>
      </c>
      <c r="P26" s="18">
        <v>4.1700000000000001E-2</v>
      </c>
      <c r="Q26" s="18">
        <v>2.2463629880277161</v>
      </c>
      <c r="R26" s="18" t="s">
        <v>50</v>
      </c>
      <c r="S26" s="18">
        <v>1.8389487709545249</v>
      </c>
      <c r="T26" s="18">
        <v>5.1354427791525792</v>
      </c>
      <c r="U26" s="18"/>
      <c r="V26" s="18"/>
      <c r="W26" s="18">
        <v>1.207976832772983</v>
      </c>
      <c r="X26" s="19">
        <v>3.8842777649966722</v>
      </c>
      <c r="Y26" s="92">
        <v>0.58812412857664975</v>
      </c>
      <c r="Z26" s="20">
        <v>-6.8459501918878578</v>
      </c>
      <c r="AA26" s="10">
        <v>-34.175679552854128</v>
      </c>
      <c r="AB26" s="17">
        <v>3.7607398497268631</v>
      </c>
      <c r="AC26" s="18">
        <v>1.339832877485863</v>
      </c>
      <c r="AD26" s="21">
        <v>0.2144587335491287</v>
      </c>
      <c r="AE26" s="21">
        <v>5.2514231378465954</v>
      </c>
      <c r="AF26" s="21">
        <v>3.8275562056574973E-2</v>
      </c>
      <c r="AG26" s="21"/>
      <c r="AH26" s="21">
        <v>5.933895222812418</v>
      </c>
    </row>
    <row r="27" spans="1:34">
      <c r="A27" s="13" t="s">
        <v>156</v>
      </c>
      <c r="B27" s="13" t="s">
        <v>68</v>
      </c>
      <c r="C27" s="13">
        <v>25</v>
      </c>
      <c r="E27" s="14">
        <v>44768</v>
      </c>
      <c r="H27" s="16">
        <v>14.6</v>
      </c>
      <c r="I27" s="16">
        <v>7.58</v>
      </c>
      <c r="J27" s="16">
        <v>64.64</v>
      </c>
      <c r="K27" s="17">
        <v>9.4657304690318753</v>
      </c>
      <c r="P27" s="18">
        <v>2.7099999999999999E-2</v>
      </c>
      <c r="Q27" s="18">
        <v>2.2882202945788448</v>
      </c>
      <c r="R27" s="18" t="s">
        <v>50</v>
      </c>
      <c r="S27" s="18">
        <v>1.8686195594086119</v>
      </c>
      <c r="T27" s="18">
        <v>5.4822883416001114</v>
      </c>
      <c r="U27" s="18"/>
      <c r="V27" s="18"/>
      <c r="W27" s="18">
        <v>0.47429288714900458</v>
      </c>
      <c r="X27" s="19">
        <v>3.9525127506031779</v>
      </c>
      <c r="Y27" s="92">
        <v>0.60667653787858533</v>
      </c>
      <c r="Z27" s="20">
        <v>-6.7350032504117312</v>
      </c>
      <c r="AA27" s="10">
        <v>-33.24621491596298</v>
      </c>
      <c r="AB27" s="17">
        <v>3.9358853074031752</v>
      </c>
      <c r="AC27" s="18">
        <v>1.336502891692676</v>
      </c>
      <c r="AD27" s="21">
        <v>0.1991535406252401</v>
      </c>
      <c r="AE27" s="21">
        <v>5.4386386415252561</v>
      </c>
      <c r="AF27" s="21">
        <v>3.92776407086367E-2</v>
      </c>
      <c r="AG27" s="21"/>
      <c r="AH27" s="21">
        <v>5.9644658671699426</v>
      </c>
    </row>
    <row r="28" spans="1:34">
      <c r="A28" s="13" t="s">
        <v>156</v>
      </c>
      <c r="B28" s="13" t="s">
        <v>68</v>
      </c>
      <c r="C28" s="13">
        <v>26</v>
      </c>
      <c r="E28" s="14">
        <v>44775</v>
      </c>
      <c r="H28" s="16">
        <v>21</v>
      </c>
      <c r="I28" s="16">
        <v>7.56</v>
      </c>
      <c r="J28" s="16">
        <v>54.91</v>
      </c>
      <c r="K28" s="17">
        <v>7.8378695605879019</v>
      </c>
      <c r="P28" s="18">
        <v>1.52E-2</v>
      </c>
      <c r="Q28" s="18">
        <v>1.8390226546767949</v>
      </c>
      <c r="R28" s="18" t="s">
        <v>50</v>
      </c>
      <c r="S28" s="18">
        <v>2.7260545918428631</v>
      </c>
      <c r="T28" s="18">
        <v>4.330274354665983</v>
      </c>
      <c r="U28" s="18"/>
      <c r="V28" s="18"/>
      <c r="W28" s="18">
        <v>0.82889500468724742</v>
      </c>
      <c r="X28" s="19">
        <v>3.1355178247890452</v>
      </c>
      <c r="Y28" s="92">
        <v>0.89127916020719389</v>
      </c>
      <c r="Z28" s="20">
        <v>-6.9045560644828052</v>
      </c>
      <c r="AA28" s="10">
        <v>-36.176746139904949</v>
      </c>
      <c r="AB28" s="17">
        <v>3.3610566561004709</v>
      </c>
      <c r="AC28" s="18">
        <v>1.155968306109215</v>
      </c>
      <c r="AD28" s="21">
        <v>0.28029496002040338</v>
      </c>
      <c r="AE28" s="21">
        <v>4.5135028255032417</v>
      </c>
      <c r="AF28" s="21">
        <v>3.581625842790008E-2</v>
      </c>
      <c r="AG28" s="21"/>
      <c r="AH28" s="21">
        <v>4.8751299436730369</v>
      </c>
    </row>
    <row r="29" spans="1:34">
      <c r="A29" s="13" t="s">
        <v>67</v>
      </c>
      <c r="B29" s="13" t="s">
        <v>68</v>
      </c>
      <c r="C29" s="13">
        <v>27</v>
      </c>
      <c r="E29" s="14">
        <v>44782</v>
      </c>
      <c r="H29" s="16">
        <v>17.2</v>
      </c>
      <c r="I29" s="16">
        <v>7.54</v>
      </c>
      <c r="J29" s="16">
        <v>63.38</v>
      </c>
      <c r="K29" s="17">
        <v>9.3422641112470082</v>
      </c>
      <c r="P29" s="18">
        <v>5.8165864764636067E-2</v>
      </c>
      <c r="Q29" s="18">
        <v>2.3667888258577592</v>
      </c>
      <c r="R29" s="18" t="s">
        <v>50</v>
      </c>
      <c r="S29" s="18">
        <v>2.022023471549987</v>
      </c>
      <c r="T29" s="18">
        <v>5.6489738375137444</v>
      </c>
      <c r="U29" s="18"/>
      <c r="V29" s="18"/>
      <c r="W29" s="18">
        <v>0.35045508940112657</v>
      </c>
      <c r="X29" s="19">
        <v>3.7065105398547651</v>
      </c>
      <c r="Y29" s="92">
        <v>0.44765443118024362</v>
      </c>
      <c r="Z29" s="20">
        <v>-6.8019582909388152</v>
      </c>
      <c r="AA29" s="10">
        <v>-34.134375011385323</v>
      </c>
      <c r="AB29" s="17">
        <v>3.879735984333438</v>
      </c>
      <c r="AC29" s="18">
        <v>1.344087728500871</v>
      </c>
      <c r="AD29" s="21">
        <v>0.24166058943723051</v>
      </c>
      <c r="AE29" s="21">
        <v>5.3888002637781129</v>
      </c>
      <c r="AF29" s="21">
        <v>3.937520858855921E-2</v>
      </c>
      <c r="AG29" s="21"/>
      <c r="AH29" s="21">
        <v>5.9824298137243437</v>
      </c>
    </row>
    <row r="30" spans="1:34">
      <c r="A30" s="13" t="s">
        <v>67</v>
      </c>
      <c r="B30" s="13" t="s">
        <v>68</v>
      </c>
      <c r="C30" s="13">
        <v>28</v>
      </c>
      <c r="E30" s="14">
        <v>44789</v>
      </c>
      <c r="H30" s="16">
        <v>14.8</v>
      </c>
      <c r="I30" s="16">
        <v>7.52</v>
      </c>
      <c r="J30" s="16">
        <v>67.599999999999994</v>
      </c>
      <c r="K30" s="17">
        <v>9.7969356256145623</v>
      </c>
      <c r="P30" s="18">
        <v>9.3824047470393544E-3</v>
      </c>
      <c r="Q30" s="18">
        <v>2.3532979351135541</v>
      </c>
      <c r="R30" s="18" t="s">
        <v>50</v>
      </c>
      <c r="S30" s="18">
        <v>1.9322921196628979</v>
      </c>
      <c r="T30" s="18">
        <v>5.917206639655622</v>
      </c>
      <c r="U30" s="18"/>
      <c r="V30" s="18"/>
      <c r="W30" s="18">
        <v>0.2039747157258501</v>
      </c>
      <c r="X30" s="19">
        <v>3.8696798314575398</v>
      </c>
      <c r="Y30" s="92">
        <v>0.4275883587731909</v>
      </c>
      <c r="Z30" s="20">
        <v>-6.8146164578046324</v>
      </c>
      <c r="AA30" s="10">
        <v>-33.831924069799619</v>
      </c>
      <c r="AB30" s="17">
        <v>3.9342950424730412</v>
      </c>
      <c r="AC30" s="18">
        <v>1.399748661115209</v>
      </c>
      <c r="AD30" s="21">
        <v>0.20094186355838711</v>
      </c>
      <c r="AE30" s="21">
        <v>5.5123775658566396</v>
      </c>
      <c r="AF30" s="21">
        <v>4.0531753441175288E-2</v>
      </c>
      <c r="AG30" s="21"/>
      <c r="AH30" s="21">
        <v>5.9544102941535684</v>
      </c>
    </row>
    <row r="31" spans="1:34">
      <c r="A31" s="13" t="s">
        <v>67</v>
      </c>
      <c r="B31" s="13" t="s">
        <v>68</v>
      </c>
      <c r="C31" s="13">
        <v>29</v>
      </c>
      <c r="E31" s="14">
        <v>44796</v>
      </c>
      <c r="H31" s="16">
        <v>19.8</v>
      </c>
      <c r="I31" s="16">
        <v>7.48</v>
      </c>
      <c r="J31" s="16">
        <v>66.989999999999995</v>
      </c>
      <c r="K31" s="17">
        <v>9.1799486475889189</v>
      </c>
      <c r="P31" s="18">
        <v>2.6886849928256521E-5</v>
      </c>
      <c r="Q31" s="18">
        <v>2.3558089134680769</v>
      </c>
      <c r="R31" s="18" t="s">
        <v>50</v>
      </c>
      <c r="S31" s="18">
        <v>1.883417500183667</v>
      </c>
      <c r="T31" s="18">
        <v>6.1554966014676724</v>
      </c>
      <c r="U31" s="18"/>
      <c r="V31" s="18"/>
      <c r="W31" s="18">
        <v>0.13713203814894809</v>
      </c>
      <c r="X31" s="19">
        <v>3.8525313897637128</v>
      </c>
      <c r="Y31" s="92">
        <v>0.21280677678397369</v>
      </c>
      <c r="Z31" s="20">
        <v>-6.815282677113359</v>
      </c>
      <c r="AA31" s="10">
        <v>-33.521531309178847</v>
      </c>
      <c r="AB31" s="17">
        <v>3.9440518946721701</v>
      </c>
      <c r="AC31" s="18">
        <v>1.407100607642195</v>
      </c>
      <c r="AD31" s="21">
        <v>0.19891545935918409</v>
      </c>
      <c r="AE31" s="18">
        <v>5.6814523445861278</v>
      </c>
      <c r="AF31" s="21">
        <v>4.0799898322683978E-2</v>
      </c>
      <c r="AG31" s="21"/>
      <c r="AH31" s="21">
        <v>5.9873844576250814</v>
      </c>
    </row>
    <row r="32" spans="1:34">
      <c r="A32" s="13" t="s">
        <v>67</v>
      </c>
      <c r="B32" s="13" t="s">
        <v>68</v>
      </c>
      <c r="C32" s="13">
        <v>30</v>
      </c>
      <c r="E32" s="14">
        <v>44803</v>
      </c>
      <c r="H32" s="16">
        <v>21.5</v>
      </c>
      <c r="I32" s="16">
        <v>7.5</v>
      </c>
      <c r="J32" s="16">
        <v>69.5</v>
      </c>
      <c r="K32" s="17">
        <v>9.1739283036422297</v>
      </c>
      <c r="P32" s="18">
        <v>3.7105172156842031E-4</v>
      </c>
      <c r="Q32" s="18">
        <v>2.3132934415326898</v>
      </c>
      <c r="R32" s="18" t="s">
        <v>50</v>
      </c>
      <c r="S32" s="18">
        <v>2.2880654248612671</v>
      </c>
      <c r="T32" s="18">
        <v>6.1617815277476131</v>
      </c>
      <c r="U32" s="18"/>
      <c r="V32" s="18"/>
      <c r="W32" s="18">
        <v>0.20107861453258999</v>
      </c>
      <c r="X32" s="19">
        <v>3.897327062846109</v>
      </c>
      <c r="Y32" s="92">
        <v>0.6376564095813112</v>
      </c>
      <c r="Z32" s="20">
        <v>-6.7787474286885061</v>
      </c>
      <c r="AA32" s="10">
        <v>-33.779309302721323</v>
      </c>
      <c r="AB32" s="17">
        <v>3.74242819954606</v>
      </c>
      <c r="AC32" s="18">
        <v>1.4588615186041931</v>
      </c>
      <c r="AD32" s="21">
        <v>0.20268821663990619</v>
      </c>
      <c r="AE32" s="21">
        <v>5.7406123003806826</v>
      </c>
      <c r="AF32" s="21">
        <v>4.0650984931802643E-2</v>
      </c>
      <c r="AG32" s="21"/>
      <c r="AH32" s="21">
        <v>5.7628287479818026</v>
      </c>
    </row>
    <row r="33" spans="1:34">
      <c r="A33" s="13" t="s">
        <v>67</v>
      </c>
      <c r="B33" s="13" t="s">
        <v>68</v>
      </c>
      <c r="C33" s="13">
        <v>31</v>
      </c>
      <c r="E33" s="14">
        <v>44810</v>
      </c>
      <c r="K33" s="17">
        <v>5.9805276713339</v>
      </c>
      <c r="P33" s="18">
        <v>1.4800000000000001E-2</v>
      </c>
      <c r="Q33" s="18">
        <v>2.3865498673602308</v>
      </c>
      <c r="R33" s="18" t="s">
        <v>50</v>
      </c>
      <c r="S33" s="18">
        <v>2.1069167714749311</v>
      </c>
      <c r="T33" s="18">
        <v>3.682256423072356</v>
      </c>
      <c r="U33" s="18">
        <v>0.14387406107144851</v>
      </c>
      <c r="V33" s="18"/>
      <c r="W33" s="18">
        <v>0.19093035963956001</v>
      </c>
      <c r="X33" s="19">
        <v>2.431319990154734</v>
      </c>
      <c r="Y33" s="92">
        <v>0.58705619619444049</v>
      </c>
      <c r="Z33" s="20">
        <v>-6.7834992507641338</v>
      </c>
      <c r="AA33" s="10">
        <v>-33.258418487202398</v>
      </c>
      <c r="AB33" s="17">
        <v>3.1750557475131389</v>
      </c>
      <c r="AC33" s="18">
        <v>0.94424068428433772</v>
      </c>
      <c r="AD33" s="21">
        <v>0.22632986045401859</v>
      </c>
      <c r="AE33" s="21">
        <v>3.4707041496845839</v>
      </c>
      <c r="AF33" s="21">
        <v>3.1710696465581452E-2</v>
      </c>
      <c r="AG33" s="21"/>
      <c r="AH33" s="21">
        <v>5.2930103680163914</v>
      </c>
    </row>
    <row r="34" spans="1:34">
      <c r="A34" s="13" t="s">
        <v>67</v>
      </c>
      <c r="B34" s="13" t="s">
        <v>68</v>
      </c>
      <c r="C34" s="13">
        <v>32</v>
      </c>
      <c r="E34" s="14">
        <v>44817</v>
      </c>
      <c r="H34" s="16">
        <v>13.2</v>
      </c>
      <c r="I34" s="16">
        <v>7.28</v>
      </c>
      <c r="J34" s="16">
        <v>36.29</v>
      </c>
      <c r="K34" s="17">
        <v>4.1639496784581258</v>
      </c>
      <c r="P34" s="18">
        <v>2.4799999999999999E-2</v>
      </c>
      <c r="Q34" s="18">
        <v>2.1530971564796322</v>
      </c>
      <c r="R34" s="18" t="s">
        <v>50</v>
      </c>
      <c r="S34" s="18">
        <v>2.1195789220227801</v>
      </c>
      <c r="T34" s="18">
        <v>2.73275080234357</v>
      </c>
      <c r="U34" s="18">
        <v>0.11547025511564871</v>
      </c>
      <c r="V34" s="18"/>
      <c r="W34" s="18">
        <v>0.1826158016879563</v>
      </c>
      <c r="X34" s="19">
        <v>0.18708480454458251</v>
      </c>
      <c r="Y34" s="92">
        <v>0.26565476863883208</v>
      </c>
      <c r="Z34" s="20">
        <v>-7.0163385324698924</v>
      </c>
      <c r="AA34" s="10">
        <v>-36.585693131526909</v>
      </c>
      <c r="AB34" s="17">
        <v>2.6286562477079931</v>
      </c>
      <c r="AC34" s="18">
        <v>0.62143128701828776</v>
      </c>
      <c r="AD34" s="21">
        <v>0.18685382642960249</v>
      </c>
      <c r="AE34" s="21">
        <v>2.294464288965504</v>
      </c>
      <c r="AF34" s="21">
        <v>2.6580047619947471E-2</v>
      </c>
      <c r="AG34" s="21"/>
      <c r="AH34" s="21">
        <v>4.4652961213975031</v>
      </c>
    </row>
    <row r="35" spans="1:34">
      <c r="A35" s="13" t="s">
        <v>67</v>
      </c>
      <c r="B35" s="13" t="s">
        <v>68</v>
      </c>
      <c r="C35" s="13">
        <v>33</v>
      </c>
      <c r="E35" s="14">
        <v>44824</v>
      </c>
      <c r="H35" s="16">
        <v>18.8</v>
      </c>
      <c r="I35" s="16">
        <v>7.08</v>
      </c>
      <c r="J35" s="16">
        <v>51.09</v>
      </c>
      <c r="K35" s="17">
        <v>6.6520409601432648</v>
      </c>
      <c r="P35" s="18">
        <v>1.4800000000000001E-2</v>
      </c>
      <c r="Q35" s="18">
        <v>2.416150509685171</v>
      </c>
      <c r="R35" s="18" t="s">
        <v>50</v>
      </c>
      <c r="S35" s="18">
        <v>1.8424071160961419</v>
      </c>
      <c r="T35" s="18">
        <v>4.1580018524353664</v>
      </c>
      <c r="U35" s="18">
        <v>0.14153950167782109</v>
      </c>
      <c r="V35" s="18"/>
      <c r="W35" s="18">
        <v>0.13986091520378849</v>
      </c>
      <c r="X35" s="19">
        <v>0.13371428113032119</v>
      </c>
      <c r="Y35" s="92">
        <v>0.45685360520728802</v>
      </c>
      <c r="Z35" s="20">
        <v>-6.7685649528121621</v>
      </c>
      <c r="AA35" s="10">
        <v>-33.196182181971558</v>
      </c>
      <c r="AB35" s="17">
        <v>3.416877481064303</v>
      </c>
      <c r="AC35" s="18">
        <v>1.0330359921009229</v>
      </c>
      <c r="AD35" s="21">
        <v>0.17217018795177069</v>
      </c>
      <c r="AE35" s="21">
        <v>3.8534939732467359</v>
      </c>
      <c r="AF35" s="21">
        <v>3.2948533115404327E-2</v>
      </c>
      <c r="AG35" s="21"/>
      <c r="AH35" s="21">
        <v>5.6691286661272677</v>
      </c>
    </row>
    <row r="36" spans="1:34">
      <c r="A36" s="13" t="s">
        <v>67</v>
      </c>
      <c r="B36" s="13" t="s">
        <v>68</v>
      </c>
      <c r="C36" s="13">
        <v>34</v>
      </c>
      <c r="E36" s="14">
        <v>44831</v>
      </c>
      <c r="H36" s="16">
        <v>20.6</v>
      </c>
      <c r="I36" s="16">
        <v>7.53</v>
      </c>
      <c r="J36" s="16">
        <v>49.4</v>
      </c>
      <c r="K36" s="17">
        <v>7.0072861659634489</v>
      </c>
      <c r="P36" s="18">
        <v>1.44E-2</v>
      </c>
      <c r="Q36" s="18">
        <v>2.3286318639719248</v>
      </c>
      <c r="R36" s="18" t="s">
        <v>50</v>
      </c>
      <c r="S36" s="18">
        <v>2.0292412633791268</v>
      </c>
      <c r="T36" s="18">
        <v>4.5163111387201376</v>
      </c>
      <c r="U36" s="18">
        <v>0.1298667047096842</v>
      </c>
      <c r="V36" s="18"/>
      <c r="W36" s="18">
        <v>0.2099604464919799</v>
      </c>
      <c r="X36" s="19">
        <v>0.18375063826129209</v>
      </c>
      <c r="Y36" s="92">
        <v>0.55923122831323291</v>
      </c>
      <c r="Z36" s="20">
        <v>-6.8537583343109159</v>
      </c>
      <c r="AA36" s="10">
        <v>-34.484879589196979</v>
      </c>
      <c r="AB36" s="17">
        <v>3.371885569530181</v>
      </c>
      <c r="AC36" s="18">
        <v>1.1000373286227341</v>
      </c>
      <c r="AD36" s="21">
        <v>0.1966612413188053</v>
      </c>
      <c r="AE36" s="21">
        <v>4.2298879388026869</v>
      </c>
      <c r="AF36" s="21">
        <v>3.4612947881425687E-2</v>
      </c>
      <c r="AG36" s="21"/>
      <c r="AH36" s="21">
        <v>5.5526063510631456</v>
      </c>
    </row>
    <row r="37" spans="1:34">
      <c r="A37" s="13" t="s">
        <v>67</v>
      </c>
      <c r="B37" s="13" t="s">
        <v>68</v>
      </c>
      <c r="C37" s="13">
        <v>35</v>
      </c>
      <c r="E37" s="14">
        <v>44838</v>
      </c>
      <c r="H37" s="16">
        <v>19.600000000000001</v>
      </c>
      <c r="I37" s="16">
        <v>7.4</v>
      </c>
      <c r="J37" s="16">
        <v>51.74</v>
      </c>
      <c r="K37" s="17">
        <v>8.7003842353390812</v>
      </c>
      <c r="P37" s="18">
        <v>1.6299999999999999E-2</v>
      </c>
      <c r="Q37" s="18">
        <v>2.4213800220223378</v>
      </c>
      <c r="R37" s="18" t="s">
        <v>50</v>
      </c>
      <c r="S37" s="18">
        <v>1.785333128310731</v>
      </c>
      <c r="T37" s="18">
        <v>4.9526338522217292</v>
      </c>
      <c r="U37" s="18">
        <v>0.13687038289056641</v>
      </c>
      <c r="V37" s="18"/>
      <c r="W37" s="18">
        <v>0.18730158692656401</v>
      </c>
      <c r="X37" s="19">
        <v>0.1720073491249218</v>
      </c>
      <c r="Y37" s="92">
        <v>0.4263604365450413</v>
      </c>
      <c r="Z37" s="20">
        <v>-6.764801634131385</v>
      </c>
      <c r="AA37" s="10">
        <v>-34.036764619929293</v>
      </c>
      <c r="AB37" s="17">
        <v>3.420958150533099</v>
      </c>
      <c r="AC37" s="18">
        <v>1.1625744891023719</v>
      </c>
      <c r="AD37" s="21">
        <v>0.30285676269927247</v>
      </c>
      <c r="AE37" s="21">
        <v>5.4139107061791059</v>
      </c>
      <c r="AF37" s="21">
        <v>3.4360677503844597E-2</v>
      </c>
      <c r="AG37" s="21"/>
      <c r="AH37" s="21">
        <v>6.2151648851735022</v>
      </c>
    </row>
    <row r="38" spans="1:34">
      <c r="A38" s="13" t="s">
        <v>67</v>
      </c>
      <c r="B38" s="13" t="s">
        <v>68</v>
      </c>
      <c r="C38" s="13">
        <v>36</v>
      </c>
      <c r="E38" s="14">
        <v>44845</v>
      </c>
      <c r="H38" s="16">
        <v>18</v>
      </c>
      <c r="I38" s="16">
        <v>7.56</v>
      </c>
      <c r="J38" s="16">
        <v>56.52</v>
      </c>
      <c r="K38" s="17">
        <v>6.5943432045663224</v>
      </c>
      <c r="P38" s="18">
        <v>2.75E-2</v>
      </c>
      <c r="Q38" s="18">
        <v>2.4703863298130542</v>
      </c>
      <c r="R38" s="18" t="s">
        <v>50</v>
      </c>
      <c r="S38" s="18">
        <v>1.981950889532992</v>
      </c>
      <c r="T38" s="18">
        <v>3.624019887158596</v>
      </c>
      <c r="U38" s="18">
        <v>0.1236412129933445</v>
      </c>
      <c r="V38" s="18"/>
      <c r="W38" s="18">
        <v>0.31380000000000002</v>
      </c>
      <c r="X38" s="19">
        <v>2.5670999999999999</v>
      </c>
      <c r="Y38" s="92">
        <v>0.43502998591269798</v>
      </c>
      <c r="Z38" s="20">
        <v>-6.7692560607935706</v>
      </c>
      <c r="AA38" s="10">
        <v>-34.355963637606891</v>
      </c>
      <c r="AB38" s="17">
        <v>3.2057777892242778</v>
      </c>
      <c r="AC38" s="18">
        <v>0.84238900382144977</v>
      </c>
      <c r="AD38" s="21">
        <v>0.26610391125295041</v>
      </c>
      <c r="AE38" s="21">
        <v>3.9222319698588701</v>
      </c>
      <c r="AF38" s="21">
        <v>2.7266110661294821E-2</v>
      </c>
      <c r="AG38" s="21"/>
      <c r="AH38" s="21">
        <v>5.8644366021734307</v>
      </c>
    </row>
    <row r="39" spans="1:34">
      <c r="A39" s="13" t="s">
        <v>67</v>
      </c>
      <c r="B39" s="13" t="s">
        <v>68</v>
      </c>
      <c r="C39" s="13">
        <v>37</v>
      </c>
      <c r="E39" s="14">
        <v>44853</v>
      </c>
      <c r="H39" s="16">
        <v>18.600000000000001</v>
      </c>
      <c r="I39" s="16">
        <v>7.17</v>
      </c>
      <c r="J39" s="16">
        <v>37.409999999999997</v>
      </c>
      <c r="K39" s="17">
        <v>6.2631109390768369</v>
      </c>
      <c r="P39" s="18">
        <v>1.49E-2</v>
      </c>
      <c r="Q39" s="18">
        <v>2.2436278235260461</v>
      </c>
      <c r="R39" s="18">
        <v>1.5599999999999999E-2</v>
      </c>
      <c r="S39" s="18">
        <v>1.793646124777531</v>
      </c>
      <c r="T39" s="18">
        <v>2.8545317710276721</v>
      </c>
      <c r="U39" s="18">
        <v>0.1207808191099745</v>
      </c>
      <c r="V39" s="18"/>
      <c r="W39" s="18">
        <v>0.13109999999999999</v>
      </c>
      <c r="Y39" s="92">
        <v>0.45299144244649819</v>
      </c>
      <c r="Z39" s="20">
        <v>-6.8778755417099147</v>
      </c>
      <c r="AA39" s="10">
        <v>-36.294688440488571</v>
      </c>
      <c r="AB39" s="17">
        <v>2.9175569873576581</v>
      </c>
      <c r="AC39" s="18">
        <v>0.69150739902961766</v>
      </c>
      <c r="AD39" s="21">
        <v>0.26573544691795697</v>
      </c>
      <c r="AE39" s="21">
        <v>3.3272947254805239</v>
      </c>
      <c r="AF39" s="21">
        <v>2.4598115946328519E-2</v>
      </c>
      <c r="AG39" s="21"/>
      <c r="AH39" s="21">
        <v>5.6444262088586559</v>
      </c>
    </row>
    <row r="40" spans="1:34">
      <c r="A40" s="13" t="s">
        <v>155</v>
      </c>
      <c r="B40" s="13" t="s">
        <v>68</v>
      </c>
      <c r="C40" s="13">
        <v>38</v>
      </c>
      <c r="E40" s="14">
        <v>44859</v>
      </c>
      <c r="H40" s="16">
        <v>17.100000000000001</v>
      </c>
      <c r="I40" s="16">
        <v>7.7</v>
      </c>
      <c r="J40" s="16">
        <v>51.15</v>
      </c>
      <c r="K40" s="17">
        <v>6.2750742348555519</v>
      </c>
      <c r="P40" s="18">
        <v>1.9199999999999998E-2</v>
      </c>
      <c r="Q40" s="18">
        <v>2.3257028067844661</v>
      </c>
      <c r="R40" s="18" t="s">
        <v>50</v>
      </c>
      <c r="S40" s="18">
        <v>1.7537731192897079</v>
      </c>
      <c r="T40" s="18">
        <v>3.1317355454281892</v>
      </c>
      <c r="U40" s="18">
        <v>0.12647585631707969</v>
      </c>
      <c r="V40" s="18"/>
      <c r="W40" s="18">
        <v>0.2077</v>
      </c>
      <c r="Y40" s="92">
        <v>0.42635847346717992</v>
      </c>
      <c r="Z40" s="20">
        <v>-6.7901576012853591</v>
      </c>
      <c r="AA40" s="10">
        <v>-34.773377737646861</v>
      </c>
      <c r="AB40" s="17">
        <v>3.2511811847145342</v>
      </c>
      <c r="AC40" s="18">
        <v>0.78662010660602544</v>
      </c>
      <c r="AD40" s="21">
        <v>0.25728989997888929</v>
      </c>
      <c r="AE40" s="21">
        <v>3.8318263748579402</v>
      </c>
      <c r="AF40" s="21">
        <v>2.6640541663518091E-2</v>
      </c>
      <c r="AG40" s="21"/>
      <c r="AH40" s="21">
        <v>5.8815688358059566</v>
      </c>
    </row>
    <row r="41" spans="1:34">
      <c r="A41" s="13" t="s">
        <v>155</v>
      </c>
      <c r="B41" s="13" t="s">
        <v>68</v>
      </c>
      <c r="C41" s="13">
        <v>39</v>
      </c>
      <c r="E41" s="14">
        <v>44867</v>
      </c>
      <c r="H41" s="16">
        <v>23.5</v>
      </c>
      <c r="I41" s="16">
        <v>7.52</v>
      </c>
      <c r="J41" s="16">
        <v>34.08</v>
      </c>
      <c r="K41" s="17">
        <v>5.0599269056113059</v>
      </c>
      <c r="P41" s="18">
        <v>4.2599999999999999E-2</v>
      </c>
      <c r="Q41" s="18">
        <v>2.1289801988648658</v>
      </c>
      <c r="R41" s="18" t="s">
        <v>50</v>
      </c>
      <c r="S41" s="18">
        <v>1.7328911788148851</v>
      </c>
      <c r="T41" s="18">
        <v>2.609202501306179</v>
      </c>
      <c r="U41" s="18">
        <v>9.2814396631358723E-2</v>
      </c>
      <c r="V41" s="18"/>
      <c r="W41" s="18">
        <v>0.62119999999999997</v>
      </c>
      <c r="Y41" s="92">
        <v>0.42967998026489579</v>
      </c>
      <c r="Z41" s="20">
        <v>-6.6732532317897491</v>
      </c>
      <c r="AA41" s="10">
        <v>-33.974457051305691</v>
      </c>
      <c r="AB41" s="17">
        <v>2.9839529476801649</v>
      </c>
      <c r="AC41" s="18">
        <v>0.76179447939598288</v>
      </c>
      <c r="AD41" s="21">
        <v>0.18458348061371821</v>
      </c>
      <c r="AE41" s="21">
        <v>2.8111138467021139</v>
      </c>
      <c r="AF41" s="21">
        <v>2.7652684933076849E-2</v>
      </c>
      <c r="AG41" s="21"/>
      <c r="AH41" s="21">
        <v>4.855653925635778</v>
      </c>
    </row>
    <row r="42" spans="1:34">
      <c r="A42" s="13" t="s">
        <v>155</v>
      </c>
      <c r="B42" s="13" t="s">
        <v>68</v>
      </c>
      <c r="C42" s="13">
        <v>40</v>
      </c>
      <c r="E42" s="14">
        <v>44873</v>
      </c>
      <c r="H42" s="16">
        <v>15.5</v>
      </c>
      <c r="I42" s="16">
        <v>7.65</v>
      </c>
      <c r="J42" s="16">
        <v>52.9</v>
      </c>
      <c r="K42" s="17">
        <v>6.4510817254260013</v>
      </c>
      <c r="P42" s="18">
        <v>0.11459999999999999</v>
      </c>
      <c r="Q42" s="18">
        <v>2.1929870304766972</v>
      </c>
      <c r="R42" s="18" t="s">
        <v>50</v>
      </c>
      <c r="S42" s="18">
        <v>1.7373078988302999</v>
      </c>
      <c r="T42" s="18">
        <v>2.977061892488392</v>
      </c>
      <c r="U42" s="18">
        <v>0.1070527294541818</v>
      </c>
      <c r="V42" s="18"/>
      <c r="W42" s="18">
        <v>2.2642000000000002</v>
      </c>
      <c r="Y42" s="92">
        <v>0.44005996988072738</v>
      </c>
      <c r="Z42" s="20">
        <v>-6.6662465205215886</v>
      </c>
      <c r="AA42" s="10">
        <v>-33.387875893237812</v>
      </c>
      <c r="AB42" s="17">
        <v>3.3458761626823339</v>
      </c>
      <c r="AC42" s="18">
        <v>0.89565550833829888</v>
      </c>
      <c r="AD42" s="21">
        <v>0.20477396502633971</v>
      </c>
      <c r="AE42" s="21">
        <v>3.8418969614046912</v>
      </c>
      <c r="AF42" s="21">
        <v>2.9994911858449491E-2</v>
      </c>
      <c r="AG42" s="21"/>
      <c r="AH42" s="21">
        <v>5.1747691039875807</v>
      </c>
    </row>
    <row r="43" spans="1:34">
      <c r="A43" s="13" t="s">
        <v>155</v>
      </c>
      <c r="B43" s="13" t="s">
        <v>68</v>
      </c>
      <c r="C43" s="13">
        <v>41</v>
      </c>
      <c r="E43" s="14">
        <v>44880</v>
      </c>
      <c r="H43" s="16">
        <v>18.5</v>
      </c>
      <c r="I43" s="16">
        <v>7.77</v>
      </c>
      <c r="J43" s="16">
        <v>156</v>
      </c>
      <c r="K43" s="17">
        <v>7.1988935629507322</v>
      </c>
      <c r="P43" s="18">
        <v>1.78E-2</v>
      </c>
      <c r="Q43" s="18">
        <v>2.3222438200566269</v>
      </c>
      <c r="R43" s="18" t="s">
        <v>50</v>
      </c>
      <c r="S43" s="18">
        <v>1.7053513995224749</v>
      </c>
      <c r="T43" s="18">
        <v>3.5798507597179481</v>
      </c>
      <c r="U43" s="18">
        <v>0.10128043236384809</v>
      </c>
      <c r="V43" s="18"/>
      <c r="W43" s="18">
        <v>0.24751441952240191</v>
      </c>
      <c r="Y43" s="92">
        <v>0.42451729321228809</v>
      </c>
      <c r="Z43" s="20">
        <v>-6.7456559148940736</v>
      </c>
      <c r="AA43" s="10">
        <v>-34.036515159193563</v>
      </c>
      <c r="AB43" s="17">
        <v>3.5262618380828541</v>
      </c>
      <c r="AC43" s="18">
        <v>1.0328733110911921</v>
      </c>
      <c r="AD43" s="21">
        <v>0.19256899220031479</v>
      </c>
      <c r="AE43" s="21">
        <v>3.6726190414709978</v>
      </c>
      <c r="AF43" s="21">
        <v>3.1928245980832867E-2</v>
      </c>
      <c r="AG43" s="21"/>
      <c r="AH43" s="21">
        <v>5.6896886280752108</v>
      </c>
    </row>
    <row r="44" spans="1:34">
      <c r="A44" s="13" t="s">
        <v>155</v>
      </c>
      <c r="B44" s="13" t="s">
        <v>68</v>
      </c>
      <c r="C44" s="13">
        <v>42</v>
      </c>
      <c r="E44" s="14">
        <v>44887</v>
      </c>
      <c r="H44" s="16">
        <v>19.7</v>
      </c>
      <c r="I44" s="16">
        <v>7.44</v>
      </c>
      <c r="J44" s="16">
        <v>101</v>
      </c>
      <c r="K44" s="17">
        <v>7.0446322777778638</v>
      </c>
      <c r="P44" s="18">
        <v>1.6799999999999999E-2</v>
      </c>
      <c r="Q44" s="18">
        <v>2.168310921419212</v>
      </c>
      <c r="R44" s="18" t="s">
        <v>50</v>
      </c>
      <c r="S44" s="18">
        <v>1.8394093527404021</v>
      </c>
      <c r="T44" s="18">
        <v>3.6568809094938759</v>
      </c>
      <c r="U44" s="18">
        <v>0.1011731432077919</v>
      </c>
      <c r="V44" s="18"/>
      <c r="W44" s="18">
        <v>0.2099</v>
      </c>
      <c r="Y44" s="92">
        <v>0.49321292476914252</v>
      </c>
      <c r="Z44" s="20">
        <v>-6.5514699168907704</v>
      </c>
      <c r="AA44" s="10">
        <v>-32.90626536446964</v>
      </c>
      <c r="AB44" s="17">
        <v>3.4257784309321209</v>
      </c>
      <c r="AC44" s="18">
        <v>1.041975208737284</v>
      </c>
      <c r="AD44" s="21">
        <v>0.19850270982040641</v>
      </c>
      <c r="AE44" s="21">
        <v>3.639513022899088</v>
      </c>
      <c r="AF44" s="21">
        <v>3.212340878731685E-2</v>
      </c>
      <c r="AG44" s="21"/>
      <c r="AH44" s="21">
        <v>5.4127867604819322</v>
      </c>
    </row>
    <row r="45" spans="1:34">
      <c r="A45" s="13" t="s">
        <v>155</v>
      </c>
      <c r="B45" s="13" t="s">
        <v>68</v>
      </c>
      <c r="C45" s="13">
        <v>43</v>
      </c>
      <c r="E45" s="14">
        <v>44894</v>
      </c>
      <c r="H45" s="16">
        <v>12.6</v>
      </c>
      <c r="I45" s="16">
        <v>7.48</v>
      </c>
      <c r="J45" s="16">
        <v>44.08</v>
      </c>
      <c r="K45" s="17">
        <v>7.4415403032676224</v>
      </c>
      <c r="P45" s="18">
        <v>1.89E-2</v>
      </c>
      <c r="Q45" s="18">
        <v>2.2318788167439401</v>
      </c>
      <c r="R45" s="18" t="s">
        <v>50</v>
      </c>
      <c r="S45" s="18">
        <v>1.726904296705692</v>
      </c>
      <c r="T45" s="18">
        <v>3.6521143629566919</v>
      </c>
      <c r="U45" s="18">
        <v>0.12220583563265409</v>
      </c>
      <c r="V45" s="18"/>
      <c r="W45" s="18">
        <v>0.21959999999999999</v>
      </c>
      <c r="Y45" s="92">
        <v>0.34924703484303299</v>
      </c>
      <c r="Z45" s="20">
        <v>-6.5988476233981306</v>
      </c>
      <c r="AA45" s="10">
        <v>-32.980991957716093</v>
      </c>
      <c r="AB45" s="17">
        <v>3.418696243869912</v>
      </c>
      <c r="AC45" s="18">
        <v>1.027879036363337</v>
      </c>
      <c r="AD45" s="21">
        <v>0.1689348046523296</v>
      </c>
      <c r="AE45" s="21">
        <v>3.7477912674684219</v>
      </c>
      <c r="AF45" s="21">
        <v>2.833336832903658E-2</v>
      </c>
      <c r="AG45" s="21"/>
      <c r="AH45" s="21">
        <v>5.5656776763299529</v>
      </c>
    </row>
    <row r="46" spans="1:34">
      <c r="A46" s="13" t="s">
        <v>155</v>
      </c>
      <c r="B46" s="13" t="s">
        <v>68</v>
      </c>
      <c r="C46" s="13">
        <v>44</v>
      </c>
      <c r="E46" s="14">
        <v>44901</v>
      </c>
      <c r="H46" s="16">
        <v>17.3</v>
      </c>
      <c r="I46" s="16">
        <v>7.66</v>
      </c>
      <c r="J46" s="16">
        <v>132.19999999999999</v>
      </c>
      <c r="K46" s="17">
        <v>6.8758621759500507</v>
      </c>
      <c r="P46" s="18">
        <v>3.2300000000000002E-2</v>
      </c>
      <c r="Q46" s="18">
        <v>2.5318164824453628</v>
      </c>
      <c r="R46" s="18" t="s">
        <v>50</v>
      </c>
      <c r="S46" s="18">
        <v>1.784181158758475</v>
      </c>
      <c r="T46" s="18">
        <v>3.811071282027779</v>
      </c>
      <c r="U46" s="18">
        <v>0.1428297992684229</v>
      </c>
      <c r="V46" s="18"/>
      <c r="W46" s="18">
        <v>0.36799999999999999</v>
      </c>
      <c r="Y46" s="92">
        <v>0.36780808988537972</v>
      </c>
      <c r="Z46" s="20">
        <v>-6.4909516757181764</v>
      </c>
      <c r="AA46" s="10">
        <v>-31.429102008144412</v>
      </c>
      <c r="AB46" s="17">
        <v>3.54857873004448</v>
      </c>
      <c r="AC46" s="18">
        <v>1.0332315959048111</v>
      </c>
      <c r="AD46" s="21">
        <v>0.14686033730585291</v>
      </c>
      <c r="AE46" s="21">
        <v>3.5735518356042641</v>
      </c>
      <c r="AF46" s="21">
        <v>2.7709436214411021E-2</v>
      </c>
      <c r="AG46" s="21"/>
      <c r="AH46" s="21">
        <v>5.335904939607464</v>
      </c>
    </row>
    <row r="47" spans="1:34">
      <c r="A47" s="13" t="s">
        <v>67</v>
      </c>
      <c r="B47" s="13" t="s">
        <v>68</v>
      </c>
      <c r="C47" s="13">
        <v>45</v>
      </c>
      <c r="E47" s="14">
        <v>44908</v>
      </c>
      <c r="H47" s="16">
        <v>14.1</v>
      </c>
      <c r="I47" s="16">
        <v>7.49</v>
      </c>
      <c r="J47" s="16">
        <v>44.32</v>
      </c>
      <c r="K47" s="17">
        <v>7.6026164027449283</v>
      </c>
      <c r="P47" s="18">
        <v>3.4500000000000003E-2</v>
      </c>
      <c r="Q47" s="18">
        <v>2.1441883509569308</v>
      </c>
      <c r="R47" s="18" t="s">
        <v>50</v>
      </c>
      <c r="S47" s="18">
        <v>1.7633744563464999</v>
      </c>
      <c r="T47" s="18">
        <v>3.574780645305081</v>
      </c>
      <c r="U47" s="18">
        <v>0.10359362649996411</v>
      </c>
      <c r="V47" s="18"/>
      <c r="W47" s="18">
        <v>0.54649999999999999</v>
      </c>
      <c r="Y47" s="92">
        <v>0.37159952867503371</v>
      </c>
      <c r="Z47" s="20">
        <v>-6.3716801169409756</v>
      </c>
      <c r="AA47" s="10">
        <v>-30.56051697972401</v>
      </c>
      <c r="AB47" s="17">
        <v>3.3685911509666351</v>
      </c>
      <c r="AC47" s="18">
        <v>0.93247649003178468</v>
      </c>
      <c r="AD47" s="21">
        <v>0.1361995695026709</v>
      </c>
      <c r="AE47" s="21">
        <v>3.5814655535587931</v>
      </c>
      <c r="AF47" s="21">
        <v>2.6280146070327311E-2</v>
      </c>
      <c r="AG47" s="21"/>
      <c r="AH47" s="21">
        <v>5.1642564918206544</v>
      </c>
    </row>
    <row r="48" spans="1:34">
      <c r="A48" s="13" t="s">
        <v>67</v>
      </c>
      <c r="B48" s="13" t="s">
        <v>68</v>
      </c>
      <c r="C48" s="13">
        <v>46</v>
      </c>
      <c r="E48" s="14">
        <v>44915</v>
      </c>
      <c r="H48" s="16">
        <v>12.4</v>
      </c>
      <c r="I48" s="16">
        <v>7.32</v>
      </c>
      <c r="J48" s="16">
        <v>41.68</v>
      </c>
      <c r="K48" s="17">
        <v>7.0934002243233598</v>
      </c>
      <c r="P48" s="18">
        <v>1.52E-2</v>
      </c>
      <c r="Q48" s="18">
        <v>2.2015198359936989</v>
      </c>
      <c r="R48" s="18" t="s">
        <v>50</v>
      </c>
      <c r="S48" s="18">
        <v>1.691206566543549</v>
      </c>
      <c r="T48" s="18">
        <v>3.5858383626364421</v>
      </c>
      <c r="U48" s="18">
        <v>0.14609560250053891</v>
      </c>
      <c r="V48" s="18"/>
      <c r="W48" s="18">
        <v>0.30740000000000001</v>
      </c>
      <c r="Y48" s="92">
        <v>0.34313694768306591</v>
      </c>
      <c r="Z48" s="20">
        <v>-6.4357971976709161</v>
      </c>
      <c r="AA48" s="10">
        <v>-31.594772177052931</v>
      </c>
      <c r="AB48" s="17">
        <v>3.2429959863026649</v>
      </c>
      <c r="AC48" s="18">
        <v>0.93481654067762021</v>
      </c>
      <c r="AD48" s="21">
        <v>0.14912765595466251</v>
      </c>
      <c r="AE48" s="21">
        <v>3.3871609806756808</v>
      </c>
      <c r="AF48" s="21">
        <v>2.5636697776361111E-2</v>
      </c>
      <c r="AG48" s="21"/>
      <c r="AH48" s="18">
        <v>5.4566014344358749</v>
      </c>
    </row>
    <row r="49" spans="1:34">
      <c r="A49" s="13" t="s">
        <v>67</v>
      </c>
      <c r="B49" s="13" t="s">
        <v>68</v>
      </c>
      <c r="C49" s="13">
        <v>47</v>
      </c>
      <c r="E49" s="14">
        <v>44922</v>
      </c>
      <c r="H49" s="16">
        <v>13.7</v>
      </c>
      <c r="I49" s="16">
        <v>7.1</v>
      </c>
      <c r="J49" s="16">
        <v>46.5</v>
      </c>
      <c r="K49" s="17">
        <v>8.1615457340259177</v>
      </c>
      <c r="P49" s="18">
        <v>1.37E-2</v>
      </c>
      <c r="Q49" s="18">
        <v>2.2177222382309618</v>
      </c>
      <c r="R49" s="21" t="s">
        <v>50</v>
      </c>
      <c r="S49" s="21">
        <v>1.6571214526431071</v>
      </c>
      <c r="T49" s="21">
        <v>4.1486994583895189</v>
      </c>
      <c r="U49" s="21">
        <v>0.1248446145002515</v>
      </c>
      <c r="W49" s="18">
        <v>0.16</v>
      </c>
      <c r="Y49" s="92">
        <v>0.34757024589069979</v>
      </c>
      <c r="Z49" s="20">
        <v>-6.4868150898646313</v>
      </c>
      <c r="AA49" s="10">
        <v>-32.144526655920806</v>
      </c>
      <c r="AB49" s="17">
        <v>3.301879953468795</v>
      </c>
      <c r="AC49" s="18">
        <v>1.0519407906267719</v>
      </c>
      <c r="AD49" s="21">
        <v>0.1406454127868374</v>
      </c>
      <c r="AE49" s="21">
        <v>3.794014262136006</v>
      </c>
      <c r="AF49" s="21">
        <v>2.8740006372257761E-2</v>
      </c>
      <c r="AG49" s="21"/>
      <c r="AH49" s="21">
        <v>5.5007430117094449</v>
      </c>
    </row>
    <row r="50" spans="1:34">
      <c r="A50" s="13" t="s">
        <v>67</v>
      </c>
      <c r="B50" s="13" t="s">
        <v>68</v>
      </c>
      <c r="C50" s="13">
        <v>48</v>
      </c>
      <c r="E50" s="14">
        <v>44929</v>
      </c>
      <c r="H50" s="16">
        <v>13.5</v>
      </c>
      <c r="I50" s="16">
        <v>7.31</v>
      </c>
      <c r="J50" s="16">
        <v>37.28</v>
      </c>
      <c r="K50" s="17">
        <v>6.7188441007876536</v>
      </c>
      <c r="P50" s="18">
        <v>1.9099999999999999E-2</v>
      </c>
      <c r="Q50" s="18">
        <v>1.946288827861312</v>
      </c>
      <c r="R50" s="21" t="s">
        <v>50</v>
      </c>
      <c r="S50" s="21">
        <v>1.6602825798527761</v>
      </c>
      <c r="T50" s="21">
        <v>3.3184737336240682</v>
      </c>
      <c r="U50" s="21">
        <v>0.11217575626931089</v>
      </c>
      <c r="W50" s="18">
        <v>0.2112562487888307</v>
      </c>
      <c r="Y50" s="92">
        <v>0.32751144346157152</v>
      </c>
      <c r="Z50" s="20">
        <v>-6.1827760296291094</v>
      </c>
      <c r="AA50" s="10">
        <v>-28.616766365325841</v>
      </c>
      <c r="AB50" s="17">
        <v>2.9496958373828681</v>
      </c>
      <c r="AC50" s="18">
        <v>0.83245452145943377</v>
      </c>
      <c r="AD50" s="21">
        <v>0.13336430177644151</v>
      </c>
      <c r="AE50" s="21">
        <v>3.012884312797623</v>
      </c>
      <c r="AF50" s="21">
        <v>2.3222763781036139E-2</v>
      </c>
      <c r="AG50" s="21"/>
      <c r="AH50" s="21">
        <v>4.9671328608057781</v>
      </c>
    </row>
    <row r="51" spans="1:34">
      <c r="A51" s="13" t="s">
        <v>67</v>
      </c>
      <c r="B51" s="13" t="s">
        <v>68</v>
      </c>
      <c r="C51" s="13">
        <v>49</v>
      </c>
      <c r="E51" s="14">
        <v>44936</v>
      </c>
      <c r="H51" s="16">
        <v>13.5</v>
      </c>
      <c r="I51" s="16">
        <v>7.4</v>
      </c>
      <c r="J51" s="16">
        <v>43.73</v>
      </c>
      <c r="K51" s="17">
        <v>7.0184553808732364</v>
      </c>
      <c r="P51" s="18">
        <v>1.67E-2</v>
      </c>
      <c r="Q51" s="18">
        <v>2.1319090584401068</v>
      </c>
      <c r="R51" s="21" t="s">
        <v>50</v>
      </c>
      <c r="S51" s="21">
        <v>1.7232480566177959</v>
      </c>
      <c r="T51" s="21">
        <v>3.6620733168010262</v>
      </c>
      <c r="U51" s="21">
        <v>0.12964649328688679</v>
      </c>
      <c r="W51" s="18">
        <v>0.37810223556617623</v>
      </c>
      <c r="Y51" s="92">
        <v>0.3350030421935381</v>
      </c>
      <c r="Z51" s="20">
        <v>-6.4188048773528434</v>
      </c>
      <c r="AA51" s="10">
        <v>-30.30316256627718</v>
      </c>
      <c r="AB51" s="17">
        <v>3.2421611959759158</v>
      </c>
      <c r="AC51" s="18">
        <v>0.99472061753236385</v>
      </c>
      <c r="AD51" s="21">
        <v>0.13629740903529791</v>
      </c>
      <c r="AE51" s="21">
        <v>3.5185582965787452</v>
      </c>
      <c r="AF51" s="21">
        <v>2.7698544066148509E-2</v>
      </c>
      <c r="AG51" s="21"/>
      <c r="AH51" s="21">
        <v>5.2991362423914294</v>
      </c>
    </row>
    <row r="52" spans="1:34">
      <c r="A52" s="13" t="s">
        <v>67</v>
      </c>
      <c r="B52" s="13" t="s">
        <v>68</v>
      </c>
      <c r="C52" s="13">
        <v>50</v>
      </c>
      <c r="E52" s="14">
        <v>44943</v>
      </c>
      <c r="H52" s="16">
        <v>16.5</v>
      </c>
      <c r="I52" s="16">
        <v>7.74</v>
      </c>
      <c r="J52" s="16">
        <v>45.07</v>
      </c>
      <c r="K52" s="17">
        <v>7.3679395980253002</v>
      </c>
      <c r="P52" s="18">
        <v>4.7363113649398589E-2</v>
      </c>
      <c r="Q52" s="18">
        <v>2.1924891333735461</v>
      </c>
      <c r="R52" s="21" t="s">
        <v>50</v>
      </c>
      <c r="S52" s="21">
        <v>1.684140290728624</v>
      </c>
      <c r="T52" s="21">
        <v>4.1976913230481827</v>
      </c>
      <c r="U52" s="21">
        <v>0.12188349443417761</v>
      </c>
      <c r="W52" s="18">
        <v>0.13569379446554339</v>
      </c>
      <c r="Y52" s="92">
        <v>0.32718961996133078</v>
      </c>
      <c r="Z52" s="20">
        <v>-6.545327556105808</v>
      </c>
      <c r="AA52" s="10">
        <v>-31.721513523707781</v>
      </c>
      <c r="AB52" s="17">
        <v>3.3987840881592981</v>
      </c>
      <c r="AC52" s="18">
        <v>1.116787665086878</v>
      </c>
      <c r="AD52" s="21">
        <v>0.162788372744361</v>
      </c>
      <c r="AE52" s="21">
        <v>3.9000624869803411</v>
      </c>
      <c r="AF52" s="21">
        <v>2.959331636939767E-2</v>
      </c>
      <c r="AG52" s="21"/>
      <c r="AH52" s="21">
        <v>5.5696148487233792</v>
      </c>
    </row>
    <row r="53" spans="1:34">
      <c r="A53" s="13" t="s">
        <v>67</v>
      </c>
      <c r="B53" s="13" t="s">
        <v>68</v>
      </c>
      <c r="C53" s="13">
        <v>51</v>
      </c>
      <c r="E53" s="14">
        <v>44957</v>
      </c>
      <c r="H53" s="16">
        <v>10.4</v>
      </c>
      <c r="I53" s="16">
        <v>7.61</v>
      </c>
      <c r="J53" s="16">
        <v>48.06</v>
      </c>
      <c r="K53" s="17">
        <v>8.1251205384584484</v>
      </c>
      <c r="P53" s="18">
        <v>2.06E-2</v>
      </c>
      <c r="Q53" s="18">
        <v>2.2221282051443669</v>
      </c>
      <c r="R53" s="21" t="s">
        <v>50</v>
      </c>
      <c r="S53" s="21">
        <v>1.6878301678550309</v>
      </c>
      <c r="T53" s="21">
        <v>4.6524771757793273</v>
      </c>
      <c r="U53" s="21">
        <v>0.1124952790845475</v>
      </c>
      <c r="W53" s="18">
        <v>0.15094779310833359</v>
      </c>
      <c r="Y53" s="92">
        <v>0.32603387953173829</v>
      </c>
      <c r="Z53" s="20">
        <v>-6.5619661549555133</v>
      </c>
      <c r="AA53" s="10">
        <v>-31.76990512292814</v>
      </c>
      <c r="AB53" s="17">
        <v>3.559048198965943</v>
      </c>
      <c r="AC53" s="18">
        <v>1.1664153490144551</v>
      </c>
      <c r="AD53" s="21">
        <v>0.15025768904299139</v>
      </c>
      <c r="AE53" s="21">
        <v>4.2080301015430281</v>
      </c>
      <c r="AF53" s="21">
        <v>3.1409865180393709E-2</v>
      </c>
      <c r="AG53" s="21"/>
      <c r="AH53" s="21">
        <v>5.5580374185411303</v>
      </c>
    </row>
    <row r="54" spans="1:34">
      <c r="A54" s="13" t="s">
        <v>67</v>
      </c>
      <c r="B54" s="13" t="s">
        <v>68</v>
      </c>
      <c r="C54" s="13">
        <v>52</v>
      </c>
      <c r="E54" s="14">
        <v>44964</v>
      </c>
      <c r="H54" s="16">
        <v>13.6</v>
      </c>
      <c r="I54" s="16">
        <v>7.42</v>
      </c>
      <c r="J54" s="16">
        <v>48.66</v>
      </c>
      <c r="K54" s="17">
        <v>6.9884140161366606</v>
      </c>
      <c r="P54" s="18">
        <v>4.5674820185268257E-2</v>
      </c>
      <c r="Q54" s="18">
        <v>2.1516941302903581</v>
      </c>
      <c r="R54" s="21">
        <v>4.7787890783500056E-3</v>
      </c>
      <c r="S54" s="21">
        <v>1.781705002897034</v>
      </c>
      <c r="T54" s="21">
        <v>4.754599773349689</v>
      </c>
      <c r="U54" s="21">
        <v>0.112950069043219</v>
      </c>
      <c r="W54" s="18">
        <v>0.15238534903298689</v>
      </c>
      <c r="Y54" s="92">
        <v>0.69479802480168906</v>
      </c>
      <c r="Z54" s="20">
        <v>-6.4747830983205761</v>
      </c>
      <c r="AA54" s="10">
        <v>-30.789537189899029</v>
      </c>
      <c r="AB54" s="17">
        <v>3.460110904184039</v>
      </c>
      <c r="AC54" s="18">
        <v>1.1407059611955681</v>
      </c>
      <c r="AD54" s="21">
        <v>0.1447094631038211</v>
      </c>
      <c r="AE54" s="21">
        <v>4.3091729892544661</v>
      </c>
      <c r="AF54" s="21">
        <v>3.4357970260223032E-2</v>
      </c>
      <c r="AG54" s="21"/>
      <c r="AH54" s="21">
        <v>5.5141406840316094</v>
      </c>
    </row>
    <row r="55" spans="1:34">
      <c r="A55" s="13" t="s">
        <v>67</v>
      </c>
      <c r="B55" s="13" t="s">
        <v>68</v>
      </c>
      <c r="C55" s="13">
        <v>53</v>
      </c>
      <c r="E55" s="14">
        <v>44971</v>
      </c>
      <c r="H55" s="16">
        <v>8.8000000000000007</v>
      </c>
      <c r="I55" s="16">
        <v>7.7</v>
      </c>
      <c r="J55" s="16">
        <v>48.27</v>
      </c>
      <c r="K55" s="17">
        <v>7.2603039088845316</v>
      </c>
      <c r="P55" s="18">
        <v>0.39108144095888558</v>
      </c>
      <c r="Q55" s="18">
        <v>2.1299704589746251</v>
      </c>
      <c r="R55" s="21" t="s">
        <v>50</v>
      </c>
      <c r="S55" s="21">
        <v>1.7129394728545491</v>
      </c>
      <c r="T55" s="21">
        <v>4.7095982563233241</v>
      </c>
      <c r="U55" s="21">
        <v>0.1066095694376487</v>
      </c>
      <c r="W55" s="18">
        <v>0.16573268764738069</v>
      </c>
      <c r="Y55" s="92">
        <v>0.65816661111960439</v>
      </c>
      <c r="Z55" s="20">
        <v>-6.4357243021595183</v>
      </c>
      <c r="AA55" s="10">
        <v>-31.06539223926201</v>
      </c>
      <c r="AB55" s="17">
        <v>3.5543467773391049</v>
      </c>
      <c r="AC55" s="18">
        <v>1.180211187986042</v>
      </c>
      <c r="AD55" s="21">
        <v>0.14231486531913279</v>
      </c>
      <c r="AE55" s="21">
        <v>4.4322979036857202</v>
      </c>
      <c r="AF55" s="21">
        <v>3.5451762081784383E-2</v>
      </c>
      <c r="AG55" s="21"/>
      <c r="AH55" s="18">
        <v>5.5810599851112226</v>
      </c>
    </row>
    <row r="56" spans="1:34">
      <c r="A56" s="13" t="s">
        <v>67</v>
      </c>
      <c r="B56" s="13" t="s">
        <v>68</v>
      </c>
      <c r="C56" s="13">
        <v>54</v>
      </c>
      <c r="E56" s="14">
        <v>44978</v>
      </c>
      <c r="H56" s="16">
        <v>8.1</v>
      </c>
      <c r="I56" s="16">
        <v>7.89</v>
      </c>
      <c r="J56" s="16">
        <v>49.66</v>
      </c>
      <c r="K56" s="17">
        <v>8.1207863802564475</v>
      </c>
      <c r="P56" s="18">
        <v>0.39414796451477008</v>
      </c>
      <c r="Q56" s="18">
        <v>2.005146200762201</v>
      </c>
      <c r="R56" s="21" t="s">
        <v>50</v>
      </c>
      <c r="S56" s="21">
        <v>1.5253956067063259</v>
      </c>
      <c r="T56" s="21">
        <v>4.4147946322530931</v>
      </c>
      <c r="U56" s="21">
        <v>9.9418180684675575E-2</v>
      </c>
      <c r="W56" s="18">
        <v>0.13645832975236841</v>
      </c>
      <c r="Y56" s="92">
        <v>0.77988824742035168</v>
      </c>
      <c r="Z56" s="20">
        <v>-6.3726024976492361</v>
      </c>
      <c r="AA56" s="10">
        <v>-30.861245778601599</v>
      </c>
      <c r="AB56" s="17">
        <v>3.5510165415310491</v>
      </c>
      <c r="AC56" s="18">
        <v>1.217405816182628</v>
      </c>
      <c r="AD56" s="21">
        <v>0.15098765395285049</v>
      </c>
      <c r="AE56" s="21">
        <v>4.5268969077156473</v>
      </c>
      <c r="AF56" s="21">
        <v>3.5806320378506243E-2</v>
      </c>
      <c r="AG56" s="21"/>
      <c r="AH56" s="18">
        <v>5.47580941565323</v>
      </c>
    </row>
    <row r="57" spans="1:34">
      <c r="A57" s="13" t="s">
        <v>67</v>
      </c>
      <c r="B57" s="13" t="s">
        <v>68</v>
      </c>
      <c r="C57" s="13">
        <v>55</v>
      </c>
      <c r="E57" s="14">
        <v>44986</v>
      </c>
      <c r="H57" s="16">
        <v>9.1999999999999993</v>
      </c>
      <c r="I57" s="16">
        <v>7.73</v>
      </c>
      <c r="J57" s="16">
        <v>45.72</v>
      </c>
      <c r="K57" s="17">
        <v>7.045899975875086</v>
      </c>
      <c r="P57" s="18">
        <v>4.5024016294694838E-2</v>
      </c>
      <c r="Q57" s="18">
        <v>2.2498942141419769</v>
      </c>
      <c r="R57" s="21" t="s">
        <v>50</v>
      </c>
      <c r="S57" s="21">
        <v>1.727833022470775</v>
      </c>
      <c r="T57" s="21">
        <v>5.0192546387713932</v>
      </c>
      <c r="U57" s="21">
        <v>0.125146987828329</v>
      </c>
      <c r="W57" s="18">
        <v>0.15070320923871089</v>
      </c>
      <c r="Y57" s="92">
        <v>0.65350225112249927</v>
      </c>
      <c r="Z57" s="20">
        <v>-6.3994554200099643</v>
      </c>
      <c r="AA57" s="10">
        <v>-30.567549357886779</v>
      </c>
      <c r="AB57" s="17">
        <v>3.5447263480967042</v>
      </c>
      <c r="AC57" s="18">
        <v>1.1404065270742769</v>
      </c>
      <c r="AD57" s="21">
        <v>0.14097451386512319</v>
      </c>
      <c r="AE57" s="21">
        <v>4.3260374065103848</v>
      </c>
      <c r="AF57" s="21">
        <v>3.4789669482933411E-2</v>
      </c>
      <c r="AG57" s="21"/>
      <c r="AH57" s="21">
        <v>5.5941811801394712</v>
      </c>
    </row>
    <row r="58" spans="1:34">
      <c r="A58" s="13" t="s">
        <v>67</v>
      </c>
      <c r="B58" s="13" t="s">
        <v>68</v>
      </c>
      <c r="C58" s="13">
        <v>56</v>
      </c>
      <c r="E58" s="14">
        <v>44991</v>
      </c>
      <c r="H58" s="16">
        <v>9.1</v>
      </c>
      <c r="I58" s="16">
        <v>7.83</v>
      </c>
      <c r="J58" s="16">
        <v>48.12</v>
      </c>
      <c r="K58" s="17">
        <v>7.3118639096915308</v>
      </c>
      <c r="P58" s="18">
        <v>4.8900558627910581E-2</v>
      </c>
      <c r="Q58" s="18">
        <v>2.109221099983444</v>
      </c>
      <c r="R58" s="21" t="s">
        <v>50</v>
      </c>
      <c r="S58" s="21">
        <v>1.495191329567886</v>
      </c>
      <c r="T58" s="21">
        <v>4.6925220348775687</v>
      </c>
      <c r="U58" s="21">
        <v>0.1251219389550963</v>
      </c>
      <c r="W58" s="18">
        <v>0.17438403905738201</v>
      </c>
      <c r="Y58" s="92">
        <v>0.58345865841123612</v>
      </c>
      <c r="Z58" s="20">
        <v>-6.4228209498563116</v>
      </c>
      <c r="AA58" s="10">
        <v>-30.985792274769199</v>
      </c>
      <c r="AB58" s="17">
        <v>3.5418116072982788</v>
      </c>
      <c r="AC58" s="18">
        <v>1.1859969373609791</v>
      </c>
      <c r="AD58" s="21">
        <v>0.13467952388040449</v>
      </c>
      <c r="AE58" s="21">
        <v>4.4913595806069342</v>
      </c>
      <c r="AF58" s="21">
        <v>3.5581628928692113E-2</v>
      </c>
      <c r="AG58" s="21"/>
      <c r="AH58" s="21">
        <v>5.6186540933651159</v>
      </c>
    </row>
    <row r="59" spans="1:34">
      <c r="A59" s="13" t="s">
        <v>67</v>
      </c>
      <c r="B59" s="13" t="s">
        <v>68</v>
      </c>
      <c r="C59" s="13">
        <v>57</v>
      </c>
      <c r="E59" s="14">
        <v>44999</v>
      </c>
      <c r="H59" s="16">
        <v>10.1</v>
      </c>
      <c r="I59" s="16">
        <v>7.74</v>
      </c>
      <c r="J59" s="16">
        <v>50.83</v>
      </c>
      <c r="K59" s="17">
        <v>7.6723957471888129</v>
      </c>
      <c r="P59" s="18">
        <v>4.804984026726368E-2</v>
      </c>
      <c r="Q59" s="18">
        <v>2.2585877658551232</v>
      </c>
      <c r="R59" s="21" t="s">
        <v>50</v>
      </c>
      <c r="S59" s="21">
        <v>1.6397675609193409</v>
      </c>
      <c r="T59" s="21">
        <v>5.2553370742411492</v>
      </c>
      <c r="U59" s="21">
        <v>0.1229854930356514</v>
      </c>
      <c r="W59" s="18">
        <v>0.1675684565684086</v>
      </c>
      <c r="Y59" s="92">
        <v>0.38156844755380098</v>
      </c>
      <c r="Z59" s="20">
        <v>-6.5545214547862241</v>
      </c>
      <c r="AA59" s="10">
        <v>-31.647329290396431</v>
      </c>
      <c r="AB59" s="17">
        <v>3.8398911925057999</v>
      </c>
      <c r="AC59" s="18">
        <v>1.3563485566380979</v>
      </c>
      <c r="AD59" s="21">
        <v>0.15793587535261119</v>
      </c>
      <c r="AE59" s="21">
        <v>4.8909779781417901</v>
      </c>
      <c r="AF59" s="21">
        <v>3.657933328713403E-2</v>
      </c>
      <c r="AG59" s="21"/>
      <c r="AH59" s="21">
        <v>5.8846316047050617</v>
      </c>
    </row>
    <row r="60" spans="1:34">
      <c r="A60" s="13" t="s">
        <v>67</v>
      </c>
      <c r="B60" s="13" t="s">
        <v>68</v>
      </c>
      <c r="C60" s="13">
        <v>58</v>
      </c>
      <c r="E60" s="14">
        <v>45007</v>
      </c>
      <c r="H60" s="16">
        <v>13.4</v>
      </c>
      <c r="I60" s="16">
        <v>7.62</v>
      </c>
      <c r="J60" s="16">
        <v>64.5</v>
      </c>
      <c r="K60" s="17">
        <v>7.9477346138730169</v>
      </c>
      <c r="P60" s="18">
        <v>5.5153958084309819E-2</v>
      </c>
      <c r="Q60" s="18">
        <v>2.2676207367314358</v>
      </c>
      <c r="R60" s="21" t="s">
        <v>50</v>
      </c>
      <c r="S60" s="21">
        <v>1.6228590783442911</v>
      </c>
      <c r="T60" s="21">
        <v>5.6297955093098873</v>
      </c>
      <c r="U60" s="21">
        <v>0.1103703958422672</v>
      </c>
      <c r="W60" s="18">
        <v>0.1748351241588614</v>
      </c>
      <c r="Y60" s="92">
        <v>0.37137180686677762</v>
      </c>
      <c r="Z60" s="20">
        <v>-6.6342838787692866</v>
      </c>
      <c r="AA60" s="10">
        <v>-32.284777869113867</v>
      </c>
      <c r="AB60" s="17">
        <v>4.0012554039942616</v>
      </c>
      <c r="AC60" s="18">
        <v>1.426932718341033</v>
      </c>
      <c r="AD60" s="21">
        <v>0.17417025175393111</v>
      </c>
      <c r="AE60" s="21">
        <v>5.2558875056415264</v>
      </c>
      <c r="AF60" s="21">
        <v>3.7416913200523413E-2</v>
      </c>
      <c r="AG60" s="21"/>
      <c r="AH60" s="21">
        <v>5.937393326477431</v>
      </c>
    </row>
    <row r="61" spans="1:34">
      <c r="A61" s="13" t="s">
        <v>67</v>
      </c>
      <c r="B61" s="13" t="s">
        <v>68</v>
      </c>
      <c r="C61" s="13">
        <v>59</v>
      </c>
      <c r="E61" s="14">
        <v>45014</v>
      </c>
      <c r="H61" s="16">
        <v>8.3000000000000007</v>
      </c>
      <c r="I61" s="16">
        <v>7.91</v>
      </c>
      <c r="J61" s="16">
        <v>53.82</v>
      </c>
      <c r="K61" s="17">
        <v>7.57729120509061</v>
      </c>
      <c r="P61" s="18">
        <v>4.9453039415833899E-2</v>
      </c>
      <c r="Q61" s="18">
        <v>2.233210136069613</v>
      </c>
      <c r="R61" s="21" t="s">
        <v>50</v>
      </c>
      <c r="S61" s="21">
        <v>1.971465403109083</v>
      </c>
      <c r="T61" s="21">
        <v>5.4735494277313386</v>
      </c>
      <c r="U61" s="21">
        <v>0.10014044754422451</v>
      </c>
      <c r="W61" s="18">
        <v>0.27702812244851199</v>
      </c>
      <c r="Y61" s="92">
        <v>0.43424691353321659</v>
      </c>
      <c r="Z61" s="20">
        <v>-6.4145018284054753</v>
      </c>
      <c r="AA61" s="10">
        <v>-30.213069988282211</v>
      </c>
      <c r="AB61" s="17">
        <v>3.7625122642179218</v>
      </c>
      <c r="AC61" s="18">
        <v>1.3736775171530879</v>
      </c>
      <c r="AD61" s="21">
        <v>0.1747395448522788</v>
      </c>
      <c r="AE61" s="21">
        <v>5.1300807876075956</v>
      </c>
      <c r="AF61" s="21">
        <v>3.7062686402065198E-2</v>
      </c>
      <c r="AG61" s="21"/>
      <c r="AH61" s="21">
        <v>5.6315882336717706</v>
      </c>
    </row>
    <row r="62" spans="1:34">
      <c r="A62" s="13" t="s">
        <v>67</v>
      </c>
      <c r="B62" s="13" t="s">
        <v>68</v>
      </c>
      <c r="C62" s="13">
        <v>60</v>
      </c>
      <c r="E62" s="14">
        <v>45022</v>
      </c>
      <c r="H62" s="16">
        <v>8.6999999999999993</v>
      </c>
      <c r="I62" s="16">
        <v>7.97</v>
      </c>
      <c r="J62" s="16">
        <v>56.49</v>
      </c>
      <c r="K62" s="17">
        <v>8.1951603656120131</v>
      </c>
      <c r="P62" s="18">
        <v>4.5624731351581578E-2</v>
      </c>
      <c r="Q62" s="18">
        <v>2.258905939139658</v>
      </c>
      <c r="R62" s="21">
        <v>5.6525376243373518E-3</v>
      </c>
      <c r="S62" s="21">
        <v>1.7352124943669851</v>
      </c>
      <c r="T62" s="21">
        <v>5.9513643049619551</v>
      </c>
      <c r="U62" s="21">
        <v>0.1075287435372554</v>
      </c>
      <c r="W62" s="18">
        <v>0.1972369143226898</v>
      </c>
      <c r="Y62" s="92">
        <v>0.33932406117405223</v>
      </c>
      <c r="Z62" s="20">
        <v>-6.564274065578914</v>
      </c>
      <c r="AA62" s="10">
        <v>-31.4992524478081</v>
      </c>
      <c r="AB62" s="17">
        <v>3.9251721068642662</v>
      </c>
      <c r="AC62" s="18">
        <v>1.4642089488613079</v>
      </c>
      <c r="AD62" s="21">
        <v>0.17642105070578101</v>
      </c>
      <c r="AE62" s="21">
        <v>5.3363225455958734</v>
      </c>
      <c r="AF62" s="21">
        <v>3.7711982799781503E-2</v>
      </c>
      <c r="AG62" s="21"/>
      <c r="AH62" s="21">
        <v>5.6577255441078558</v>
      </c>
    </row>
    <row r="63" spans="1:34">
      <c r="A63" s="13" t="s">
        <v>67</v>
      </c>
      <c r="B63" s="13" t="s">
        <v>68</v>
      </c>
      <c r="C63" s="13">
        <v>61</v>
      </c>
      <c r="E63" s="14">
        <v>45027</v>
      </c>
      <c r="H63" s="16">
        <v>16</v>
      </c>
      <c r="I63" s="16">
        <v>7.69</v>
      </c>
      <c r="J63" s="16">
        <v>56.13</v>
      </c>
      <c r="P63" s="18">
        <v>4.0921816269858587E-2</v>
      </c>
      <c r="Q63" s="18">
        <v>2.2032487590529679</v>
      </c>
      <c r="R63" s="21" t="s">
        <v>50</v>
      </c>
      <c r="S63" s="21">
        <v>1.623841118152819</v>
      </c>
      <c r="T63" s="21">
        <v>6.0829991676828392</v>
      </c>
      <c r="U63" s="21">
        <v>0.1180004525569467</v>
      </c>
      <c r="W63" s="34">
        <v>0.20022006980489199</v>
      </c>
      <c r="Y63" s="92">
        <v>0.3572896878455798</v>
      </c>
      <c r="Z63" s="20">
        <v>-6.6186100399953238</v>
      </c>
      <c r="AA63" s="10">
        <v>-32.285461826816373</v>
      </c>
      <c r="AB63" s="17">
        <v>3.7402159675062951</v>
      </c>
      <c r="AC63" s="18">
        <v>1.4007097334513099</v>
      </c>
      <c r="AD63" s="21">
        <v>0.17207210002220341</v>
      </c>
      <c r="AE63" s="21">
        <v>5.1086687255695669</v>
      </c>
      <c r="AF63" s="21">
        <v>3.7078675639922627E-2</v>
      </c>
      <c r="AG63" s="21"/>
      <c r="AH63" s="21">
        <v>5.6209390651711066</v>
      </c>
    </row>
    <row r="64" spans="1:34">
      <c r="A64" s="13" t="s">
        <v>67</v>
      </c>
      <c r="B64" s="13" t="s">
        <v>68</v>
      </c>
      <c r="C64" s="13">
        <v>62</v>
      </c>
      <c r="E64" s="14">
        <v>45034</v>
      </c>
      <c r="H64" s="16">
        <v>20.6</v>
      </c>
      <c r="I64" s="16">
        <v>7.75</v>
      </c>
      <c r="J64" s="16">
        <v>58.99</v>
      </c>
      <c r="K64" s="17">
        <v>9.0185929737743855</v>
      </c>
      <c r="P64" s="18">
        <v>5.0418998608575002E-2</v>
      </c>
      <c r="Q64" s="18">
        <v>2.3261206737294291</v>
      </c>
      <c r="R64" s="21" t="s">
        <v>50</v>
      </c>
      <c r="S64" s="21">
        <v>1.7089648774954069</v>
      </c>
      <c r="T64" s="21">
        <v>6.4177307550729514</v>
      </c>
      <c r="U64" s="21">
        <v>0.10497256762260709</v>
      </c>
      <c r="W64" s="18">
        <v>0.15495862466744059</v>
      </c>
      <c r="Y64" s="92">
        <v>0.38422085071724921</v>
      </c>
      <c r="Z64" s="20">
        <v>-6.6786633221393163</v>
      </c>
      <c r="AA64" s="10">
        <v>-32.18376640526715</v>
      </c>
      <c r="AB64" s="17">
        <v>4.0921310783449867</v>
      </c>
      <c r="AC64" s="18">
        <v>1.3832256245741179</v>
      </c>
      <c r="AD64" s="21">
        <v>0.19693392478145141</v>
      </c>
      <c r="AE64" s="21">
        <v>5.2385228917323996</v>
      </c>
      <c r="AF64" s="21">
        <v>3.9027367424444938E-2</v>
      </c>
      <c r="AG64" s="21"/>
      <c r="AH64" s="21">
        <v>5.5240527300456153</v>
      </c>
    </row>
    <row r="65" spans="1:35">
      <c r="A65" s="13" t="s">
        <v>67</v>
      </c>
      <c r="B65" s="13" t="s">
        <v>68</v>
      </c>
      <c r="C65" s="13">
        <v>63</v>
      </c>
      <c r="E65" s="14">
        <v>45041</v>
      </c>
      <c r="H65" s="16">
        <v>13.2</v>
      </c>
      <c r="I65" s="16">
        <v>7.56</v>
      </c>
      <c r="J65" s="16">
        <v>61.51</v>
      </c>
      <c r="K65" s="17">
        <v>8.577379115845817</v>
      </c>
      <c r="P65" s="18">
        <v>4.2229051713967777E-2</v>
      </c>
      <c r="Q65" s="18">
        <v>2.06847711117556</v>
      </c>
      <c r="R65" s="21" t="s">
        <v>50</v>
      </c>
      <c r="S65" s="21">
        <v>1.727460432481414</v>
      </c>
      <c r="T65" s="21">
        <v>5.6875663653701913</v>
      </c>
      <c r="U65" s="21">
        <v>0.13437987127269069</v>
      </c>
      <c r="W65" s="18">
        <v>0.19695560999173761</v>
      </c>
      <c r="Y65" s="92">
        <v>0.28742855220101798</v>
      </c>
      <c r="Z65" s="20">
        <v>-6.6139726343652328</v>
      </c>
      <c r="AA65" s="10">
        <v>-31.718011400259229</v>
      </c>
      <c r="AB65" s="17">
        <v>4.0839245887201052</v>
      </c>
      <c r="AC65" s="18">
        <v>1.4156020673145571</v>
      </c>
      <c r="AD65" s="21">
        <v>0.19060312607420729</v>
      </c>
      <c r="AE65" s="21">
        <v>5.2323518621433216</v>
      </c>
      <c r="AF65" s="21">
        <v>3.9340179003310813E-2</v>
      </c>
      <c r="AG65" s="21"/>
      <c r="AH65" s="21">
        <v>5.3866480335840228</v>
      </c>
    </row>
    <row r="66" spans="1:35">
      <c r="A66" s="13" t="s">
        <v>67</v>
      </c>
      <c r="B66" s="13" t="s">
        <v>68</v>
      </c>
      <c r="C66" s="13">
        <v>64</v>
      </c>
      <c r="E66" s="14">
        <v>45048</v>
      </c>
      <c r="H66" s="16">
        <v>13.8</v>
      </c>
      <c r="I66" s="16">
        <v>7.82</v>
      </c>
      <c r="J66" s="16">
        <v>61.52</v>
      </c>
      <c r="W66" s="18">
        <v>0.78871754889454937</v>
      </c>
      <c r="Y66" s="92">
        <v>0.22009613769048519</v>
      </c>
      <c r="Z66" s="20">
        <v>-6.6241133367730622</v>
      </c>
      <c r="AA66" s="10">
        <v>-31.732458749011311</v>
      </c>
      <c r="AB66" s="17">
        <v>3.971134908541829</v>
      </c>
      <c r="AC66" s="18">
        <v>1.426540736866619</v>
      </c>
      <c r="AD66" s="21">
        <v>0.1995335796071977</v>
      </c>
      <c r="AE66" s="21">
        <v>5.5254817691835543</v>
      </c>
      <c r="AF66" s="21">
        <v>3.9866350012936293E-2</v>
      </c>
      <c r="AG66" s="21"/>
      <c r="AH66" s="21">
        <v>5.4682894097506587</v>
      </c>
    </row>
    <row r="67" spans="1:35">
      <c r="A67" s="13" t="s">
        <v>67</v>
      </c>
      <c r="B67" s="13" t="s">
        <v>68</v>
      </c>
      <c r="C67" s="13">
        <v>65</v>
      </c>
      <c r="E67" s="14">
        <v>45055</v>
      </c>
      <c r="H67" s="16">
        <v>18.3</v>
      </c>
      <c r="I67" s="16">
        <v>7.3</v>
      </c>
      <c r="J67" s="16">
        <v>57.7</v>
      </c>
      <c r="P67" s="18">
        <v>4.4975210017696353E-2</v>
      </c>
      <c r="Q67" s="18">
        <v>2.2194145582271552</v>
      </c>
      <c r="R67" s="21" t="s">
        <v>50</v>
      </c>
      <c r="S67" s="21">
        <v>2.214798123801148</v>
      </c>
      <c r="T67" s="21">
        <v>6.3188019921151897</v>
      </c>
      <c r="U67" s="21">
        <v>0.1308191280736159</v>
      </c>
      <c r="W67" s="34">
        <v>0.27963234454267022</v>
      </c>
      <c r="Y67" s="92">
        <v>0.4352081298928136</v>
      </c>
      <c r="Z67" s="20">
        <v>-6.5482329084110296</v>
      </c>
      <c r="AA67" s="10">
        <v>-31.147341124551581</v>
      </c>
      <c r="AB67" s="17">
        <v>3.955347035434758</v>
      </c>
      <c r="AC67" s="18">
        <v>1.429280532058566</v>
      </c>
      <c r="AD67" s="21">
        <v>0.20636374834953339</v>
      </c>
      <c r="AE67" s="21">
        <v>5.4022932263443106</v>
      </c>
      <c r="AF67" s="21">
        <v>3.9883651229467888E-2</v>
      </c>
      <c r="AG67" s="21"/>
      <c r="AH67" s="21">
        <v>5.4017631008967593</v>
      </c>
    </row>
    <row r="68" spans="1:35">
      <c r="A68" s="13" t="s">
        <v>67</v>
      </c>
      <c r="B68" s="13" t="s">
        <v>68</v>
      </c>
      <c r="C68" s="13">
        <v>66</v>
      </c>
      <c r="E68" s="14">
        <v>45062</v>
      </c>
      <c r="H68" s="16">
        <v>18.100000000000001</v>
      </c>
      <c r="I68" s="16">
        <v>7.7</v>
      </c>
      <c r="J68" s="16">
        <v>63.4</v>
      </c>
      <c r="P68" s="18">
        <v>4.5563842410290482E-2</v>
      </c>
      <c r="Q68" s="18">
        <v>2.2572286361040068</v>
      </c>
      <c r="R68" s="21" t="s">
        <v>50</v>
      </c>
      <c r="S68" s="21">
        <v>1.868814493102384</v>
      </c>
      <c r="T68" s="21">
        <v>6.6872627120719876</v>
      </c>
      <c r="U68" s="21">
        <v>0.15432003318750939</v>
      </c>
      <c r="W68" s="18">
        <v>0.1956516499228324</v>
      </c>
      <c r="Y68" s="92">
        <v>0.22531427686312561</v>
      </c>
      <c r="Z68" s="20">
        <v>-6.604531290744152</v>
      </c>
      <c r="AA68" s="10">
        <v>-31.797815802889829</v>
      </c>
      <c r="AB68" s="17">
        <v>4.0772028101275044</v>
      </c>
      <c r="AC68" s="18">
        <v>1.470778661901861</v>
      </c>
      <c r="AD68" s="21">
        <v>0.2136316844588601</v>
      </c>
      <c r="AE68" s="21">
        <v>5.5798196218364469</v>
      </c>
      <c r="AF68" s="21">
        <v>4.056481155780834E-2</v>
      </c>
      <c r="AG68" s="21"/>
      <c r="AH68" s="21">
        <v>5.5586348997046624</v>
      </c>
    </row>
    <row r="69" spans="1:35">
      <c r="A69" s="13" t="s">
        <v>67</v>
      </c>
      <c r="B69" s="13" t="s">
        <v>68</v>
      </c>
      <c r="C69" s="13">
        <v>67</v>
      </c>
      <c r="E69" s="14">
        <v>45069</v>
      </c>
      <c r="H69" s="16">
        <v>12.5</v>
      </c>
      <c r="I69" s="16">
        <v>7.79</v>
      </c>
      <c r="J69" s="16">
        <v>57.08</v>
      </c>
      <c r="P69" s="18">
        <v>4.6545029652016387E-2</v>
      </c>
      <c r="Q69" s="18">
        <v>2.170278862041132</v>
      </c>
      <c r="R69" s="21">
        <v>2.867522481259952E-3</v>
      </c>
      <c r="S69" s="21">
        <v>2.8825340638302759</v>
      </c>
      <c r="T69" s="21">
        <v>6.0295671457199038</v>
      </c>
      <c r="U69" s="21">
        <v>0.13437987127269069</v>
      </c>
      <c r="W69" s="18">
        <v>0.46769441132087231</v>
      </c>
      <c r="Y69" s="92">
        <v>0.41765663267315961</v>
      </c>
      <c r="Z69" s="20">
        <v>-5.8204356680338707</v>
      </c>
      <c r="AA69" s="10">
        <v>-28.638090062404689</v>
      </c>
      <c r="AB69" s="17">
        <v>4.0863314671693711</v>
      </c>
      <c r="AC69" s="18">
        <v>1.4755191598090049</v>
      </c>
      <c r="AD69" s="21">
        <v>0.24100868834043659</v>
      </c>
      <c r="AE69" s="21">
        <v>5.7544880759710626</v>
      </c>
      <c r="AF69" s="21">
        <v>4.0551112367981888E-2</v>
      </c>
      <c r="AG69" s="21"/>
      <c r="AH69" s="21">
        <v>5.424876003010068</v>
      </c>
    </row>
    <row r="70" spans="1:35">
      <c r="A70" s="13" t="s">
        <v>67</v>
      </c>
      <c r="B70" s="13" t="s">
        <v>68</v>
      </c>
      <c r="C70" s="13">
        <v>68</v>
      </c>
      <c r="E70" s="14">
        <v>45076</v>
      </c>
      <c r="H70" s="16">
        <v>16.2</v>
      </c>
      <c r="I70" s="16">
        <v>7.52</v>
      </c>
      <c r="J70" s="16">
        <v>66.8</v>
      </c>
      <c r="P70" s="18">
        <v>4.3863512438069963E-2</v>
      </c>
      <c r="Q70" s="18">
        <v>2.3602648136058089</v>
      </c>
      <c r="R70" s="21" t="s">
        <v>50</v>
      </c>
      <c r="S70" s="21">
        <v>2.1448620826808069</v>
      </c>
      <c r="T70" s="21">
        <v>6.5018632076849796</v>
      </c>
      <c r="U70" s="21">
        <v>0.1471985467893599</v>
      </c>
      <c r="W70" s="18">
        <v>0.35088195061952709</v>
      </c>
      <c r="Y70" s="92">
        <v>0.28200691195952221</v>
      </c>
      <c r="Z70" s="20">
        <v>-6.0584697016859872</v>
      </c>
      <c r="AA70" s="10">
        <v>-29.566893312036271</v>
      </c>
      <c r="AB70" s="17">
        <v>4.1602911491701091</v>
      </c>
      <c r="AC70" s="18">
        <v>1.5065722696273349</v>
      </c>
      <c r="AD70" s="21">
        <v>0.2310954021970302</v>
      </c>
      <c r="AE70" s="21">
        <v>5.9426165335879837</v>
      </c>
      <c r="AF70" s="21">
        <v>4.2014535578394088E-2</v>
      </c>
      <c r="AG70" s="21"/>
      <c r="AH70" s="21">
        <v>5.8253742972275413</v>
      </c>
    </row>
    <row r="71" spans="1:35">
      <c r="A71" s="13" t="s">
        <v>67</v>
      </c>
      <c r="B71" s="13" t="s">
        <v>68</v>
      </c>
      <c r="C71" s="13">
        <v>69</v>
      </c>
      <c r="E71" s="14">
        <v>45083</v>
      </c>
      <c r="H71" s="16">
        <v>14</v>
      </c>
      <c r="I71" s="16">
        <v>7.55</v>
      </c>
      <c r="J71" s="16">
        <v>42.98</v>
      </c>
      <c r="P71" s="18">
        <v>4.3667352721265047E-2</v>
      </c>
      <c r="Q71" s="18">
        <v>2.0879300298333252</v>
      </c>
      <c r="R71" s="21" t="s">
        <v>50</v>
      </c>
      <c r="S71" s="21">
        <v>1.778768546229466</v>
      </c>
      <c r="T71" s="21">
        <v>3.7364080191384752</v>
      </c>
      <c r="U71" s="21">
        <v>0.1593050736662141</v>
      </c>
      <c r="W71" s="18">
        <v>0.22671805227753261</v>
      </c>
      <c r="Y71" s="92">
        <v>0.24908651791065861</v>
      </c>
      <c r="Z71" s="20">
        <v>-5.8680424747642936</v>
      </c>
      <c r="AA71" s="10">
        <v>-26.88308392211243</v>
      </c>
      <c r="AB71" s="17">
        <v>3.4024835985078301</v>
      </c>
      <c r="AC71" s="18">
        <v>0.95146787510987552</v>
      </c>
      <c r="AD71" s="21">
        <v>0.20028920692211399</v>
      </c>
      <c r="AE71" s="21">
        <v>3.5319212008710501</v>
      </c>
      <c r="AF71" s="21">
        <v>3.042431459457098E-2</v>
      </c>
      <c r="AG71" s="21"/>
      <c r="AH71" s="21">
        <v>5.2270312445783134</v>
      </c>
    </row>
    <row r="72" spans="1:35">
      <c r="A72" s="13" t="s">
        <v>67</v>
      </c>
      <c r="B72" s="13" t="s">
        <v>68</v>
      </c>
      <c r="C72" s="13">
        <v>70</v>
      </c>
      <c r="E72" s="14">
        <v>45090</v>
      </c>
      <c r="H72" s="16">
        <v>18.899999999999999</v>
      </c>
      <c r="I72" s="16">
        <v>7.49</v>
      </c>
      <c r="J72" s="16">
        <v>46.67</v>
      </c>
      <c r="P72" s="18">
        <v>4.9227791310907397E-2</v>
      </c>
      <c r="Q72" s="18">
        <v>2.1259778268799541</v>
      </c>
      <c r="R72" s="21" t="s">
        <v>50</v>
      </c>
      <c r="S72" s="21">
        <v>1.828795170138243</v>
      </c>
      <c r="T72" s="21">
        <v>3.7931229806778388</v>
      </c>
      <c r="U72" s="21">
        <v>0.1528957359078795</v>
      </c>
      <c r="W72" s="18">
        <v>0.15803467946633651</v>
      </c>
      <c r="Y72" s="92">
        <v>0.17643572350737011</v>
      </c>
      <c r="Z72" s="20">
        <v>-5.9809783301466846</v>
      </c>
      <c r="AA72" s="10">
        <v>-27.996837818836362</v>
      </c>
      <c r="AB72" s="17">
        <v>3.525574036229687</v>
      </c>
      <c r="AC72" s="18">
        <v>0.96910290159673562</v>
      </c>
      <c r="AD72" s="21">
        <v>0.1660325810069892</v>
      </c>
      <c r="AE72" s="21">
        <v>3.5986486024833639</v>
      </c>
      <c r="AF72" s="21">
        <v>3.0966907958480672E-2</v>
      </c>
      <c r="AG72" s="21"/>
      <c r="AH72" s="21">
        <v>5.3382209839510919</v>
      </c>
    </row>
    <row r="73" spans="1:35">
      <c r="A73" s="13" t="s">
        <v>67</v>
      </c>
      <c r="B73" s="13" t="s">
        <v>68</v>
      </c>
      <c r="C73" s="13">
        <v>71</v>
      </c>
      <c r="E73" s="14">
        <v>45098</v>
      </c>
      <c r="H73" s="16">
        <v>15.9</v>
      </c>
      <c r="I73" s="16">
        <v>6.72</v>
      </c>
      <c r="J73" s="16">
        <v>51.06</v>
      </c>
      <c r="P73" s="18">
        <v>3.6283521983659757E-2</v>
      </c>
      <c r="Q73" s="18">
        <v>2.21853854708284</v>
      </c>
      <c r="R73" s="21" t="s">
        <v>50</v>
      </c>
      <c r="S73" s="21">
        <v>1.640379997659388</v>
      </c>
      <c r="T73" s="21">
        <v>4.6207460485223244</v>
      </c>
      <c r="U73" s="21">
        <v>0.1315312767134309</v>
      </c>
      <c r="W73" s="18">
        <v>0.19855533760703761</v>
      </c>
      <c r="Y73" s="92">
        <v>0.26606229970301187</v>
      </c>
      <c r="Z73" s="20">
        <v>-6.1929502433259431</v>
      </c>
      <c r="AA73" s="10">
        <v>-29.747456443777882</v>
      </c>
      <c r="AB73" s="17">
        <v>3.7790397213259408</v>
      </c>
      <c r="AC73" s="18">
        <v>1.1718038250732989</v>
      </c>
      <c r="AD73" s="21">
        <v>0.181996080464666</v>
      </c>
      <c r="AE73" s="21">
        <v>4.4733933193663322</v>
      </c>
      <c r="AF73" s="21">
        <v>3.4183108170006728E-2</v>
      </c>
      <c r="AG73" s="21"/>
      <c r="AH73" s="21">
        <v>5.7918794512850029</v>
      </c>
    </row>
    <row r="74" spans="1:35">
      <c r="A74" s="13" t="s">
        <v>67</v>
      </c>
      <c r="B74" s="13" t="s">
        <v>68</v>
      </c>
      <c r="C74" s="13">
        <v>72</v>
      </c>
      <c r="E74" s="14">
        <v>45104</v>
      </c>
      <c r="H74" s="16">
        <v>19</v>
      </c>
      <c r="I74" s="16">
        <v>6.74</v>
      </c>
      <c r="J74" s="16">
        <v>54.17</v>
      </c>
      <c r="P74" s="18">
        <v>3.5799999999999998E-2</v>
      </c>
      <c r="Q74" s="18">
        <v>2.0775329520797921</v>
      </c>
      <c r="R74" s="21" t="s">
        <v>50</v>
      </c>
      <c r="S74" s="21">
        <v>1.559476379338065</v>
      </c>
      <c r="T74" s="21">
        <v>4.6520451270666232</v>
      </c>
      <c r="U74" s="21">
        <v>0.1023727695363412</v>
      </c>
      <c r="V74" s="21">
        <v>8.5739956945305867E-3</v>
      </c>
      <c r="W74" s="18">
        <v>0.22046184920674469</v>
      </c>
      <c r="Y74" s="92">
        <v>0.41155780710746681</v>
      </c>
      <c r="Z74" s="20">
        <v>-6.1957302028430474</v>
      </c>
      <c r="AA74" s="10">
        <v>-30.09339515412394</v>
      </c>
      <c r="AB74" s="17">
        <v>3.810943392743134</v>
      </c>
      <c r="AC74" s="18">
        <v>1.231346931518603</v>
      </c>
      <c r="AD74" s="21">
        <v>0.1993324088636361</v>
      </c>
      <c r="AE74" s="21">
        <v>4.6848610238173363</v>
      </c>
      <c r="AF74" s="21">
        <v>3.5987518737773228E-2</v>
      </c>
      <c r="AG74" s="21"/>
      <c r="AH74" s="21">
        <v>5.75797914751295</v>
      </c>
    </row>
    <row r="75" spans="1:35">
      <c r="A75" s="13" t="s">
        <v>67</v>
      </c>
      <c r="B75" s="13" t="s">
        <v>68</v>
      </c>
      <c r="C75" s="13">
        <v>73</v>
      </c>
      <c r="E75" s="14">
        <v>45111</v>
      </c>
      <c r="H75" s="16">
        <v>14.9</v>
      </c>
      <c r="I75" s="16">
        <v>7.61</v>
      </c>
      <c r="J75" s="16">
        <v>52.58</v>
      </c>
      <c r="P75" s="18">
        <v>2.7400000000000001E-2</v>
      </c>
      <c r="Q75" s="18">
        <v>2.2441330070680969</v>
      </c>
      <c r="R75" s="21" t="s">
        <v>50</v>
      </c>
      <c r="S75" s="21">
        <v>2.1258989052432211</v>
      </c>
      <c r="T75" s="21">
        <v>4.990652661102752</v>
      </c>
      <c r="U75" s="21">
        <v>0.1259534984500052</v>
      </c>
      <c r="W75" s="18">
        <v>0.2448014293529884</v>
      </c>
      <c r="Y75" s="92">
        <v>0.34782981964082021</v>
      </c>
      <c r="Z75" s="20">
        <v>-6.303453634130868</v>
      </c>
      <c r="AA75" s="10">
        <v>-30.904410491647461</v>
      </c>
      <c r="AB75" s="17">
        <v>3.723576309053569</v>
      </c>
      <c r="AC75" s="18">
        <v>1.1880677587918891</v>
      </c>
      <c r="AD75" s="21">
        <v>0.18787218797903851</v>
      </c>
      <c r="AE75" s="21">
        <v>4.5567674390691231</v>
      </c>
      <c r="AF75" s="21">
        <v>3.5360002364258569E-2</v>
      </c>
      <c r="AG75" s="21"/>
      <c r="AH75" s="21">
        <v>5.6547653590704163</v>
      </c>
    </row>
    <row r="76" spans="1:35">
      <c r="A76" s="13" t="s">
        <v>67</v>
      </c>
      <c r="B76" s="13" t="s">
        <v>68</v>
      </c>
      <c r="C76" s="13">
        <v>74</v>
      </c>
      <c r="E76" s="14">
        <v>45118</v>
      </c>
      <c r="H76" s="16">
        <v>15.2</v>
      </c>
      <c r="I76" s="16">
        <v>7.82</v>
      </c>
      <c r="J76" s="16">
        <v>52.26</v>
      </c>
      <c r="P76" s="18">
        <v>1.7600000000000001E-2</v>
      </c>
      <c r="Q76" s="18">
        <v>1.917896448530497</v>
      </c>
      <c r="R76" s="21" t="s">
        <v>50</v>
      </c>
      <c r="S76" s="21">
        <v>1.4206329207896451</v>
      </c>
      <c r="T76" s="21">
        <v>4.4731339795706742</v>
      </c>
      <c r="U76" s="21">
        <v>0.16629605671405381</v>
      </c>
      <c r="W76" s="18">
        <v>0.2075139001935796</v>
      </c>
      <c r="Y76" s="92">
        <v>0.22063823013119149</v>
      </c>
      <c r="Z76" s="20">
        <v>-6.2666191705292258</v>
      </c>
      <c r="AA76" s="10">
        <v>-30.509196608900879</v>
      </c>
      <c r="AB76" s="17">
        <v>3.934142858714845</v>
      </c>
      <c r="AC76" s="18">
        <v>1.2683860390908861</v>
      </c>
      <c r="AD76" s="21">
        <v>0.18898349607437581</v>
      </c>
      <c r="AE76" s="21">
        <v>4.8506952801979368</v>
      </c>
      <c r="AF76" s="21">
        <v>3.6559418890636797E-2</v>
      </c>
      <c r="AG76" s="21"/>
      <c r="AH76" s="21">
        <v>5.907224239888202</v>
      </c>
    </row>
    <row r="77" spans="1:35">
      <c r="A77" s="13" t="s">
        <v>67</v>
      </c>
      <c r="B77" s="13" t="s">
        <v>68</v>
      </c>
      <c r="C77" s="13">
        <v>75</v>
      </c>
      <c r="E77" s="14">
        <v>45125</v>
      </c>
      <c r="H77" s="16">
        <v>18.3</v>
      </c>
      <c r="I77" s="16">
        <v>7.63</v>
      </c>
      <c r="J77" s="16">
        <v>56.03</v>
      </c>
      <c r="P77" s="18">
        <v>1.7399999999999999E-2</v>
      </c>
      <c r="Q77" s="18">
        <v>2.1418059371675882</v>
      </c>
      <c r="R77" s="21" t="s">
        <v>50</v>
      </c>
      <c r="S77" s="21">
        <v>1.955497051159107</v>
      </c>
      <c r="T77" s="21">
        <v>5.2505106787304214</v>
      </c>
      <c r="U77" s="21">
        <v>0.19541291451971679</v>
      </c>
      <c r="W77" s="18">
        <v>0.30647689594935812</v>
      </c>
      <c r="Y77" s="92">
        <v>0.33841675948443162</v>
      </c>
      <c r="Z77" s="20">
        <v>-6.3792075309719776</v>
      </c>
      <c r="AA77" s="10">
        <v>-31.634088044592051</v>
      </c>
      <c r="AB77" s="17">
        <v>3.9960916479305419</v>
      </c>
      <c r="AC77" s="18">
        <v>1.358528684073504</v>
      </c>
      <c r="AD77" s="21">
        <v>0.21276700670627019</v>
      </c>
      <c r="AE77" s="21">
        <v>5.2249235862243832</v>
      </c>
      <c r="AF77" s="21">
        <v>3.8305695941675481E-2</v>
      </c>
      <c r="AG77" s="21"/>
      <c r="AH77" s="21">
        <v>5.840697197193891</v>
      </c>
      <c r="AI77" s="35"/>
    </row>
    <row r="78" spans="1:35">
      <c r="A78" s="13" t="s">
        <v>67</v>
      </c>
      <c r="B78" s="13" t="s">
        <v>68</v>
      </c>
      <c r="C78" s="13">
        <v>76</v>
      </c>
      <c r="E78" s="14">
        <v>45132</v>
      </c>
      <c r="H78" s="16">
        <v>13.4</v>
      </c>
      <c r="I78" s="16">
        <v>7.77</v>
      </c>
      <c r="J78" s="16">
        <v>55.8</v>
      </c>
      <c r="P78" s="18">
        <v>1.77E-2</v>
      </c>
      <c r="Q78" s="18">
        <v>2.1403660117877559</v>
      </c>
      <c r="R78" s="21" t="s">
        <v>50</v>
      </c>
      <c r="S78" s="21">
        <v>1.6979762242022689</v>
      </c>
      <c r="T78" s="21">
        <v>5.3998955358786827</v>
      </c>
      <c r="U78" s="21">
        <v>0.1602119371725719</v>
      </c>
      <c r="W78" s="18">
        <v>0.31424155264400211</v>
      </c>
      <c r="Y78" s="92">
        <v>0.39626034554453421</v>
      </c>
      <c r="Z78" s="20">
        <v>-6.2134524447645916</v>
      </c>
      <c r="AA78" s="10">
        <v>-30.619896996211619</v>
      </c>
      <c r="AB78" s="17">
        <v>4.0019993290609106</v>
      </c>
      <c r="AC78" s="18">
        <v>1.3485571924310811</v>
      </c>
      <c r="AD78" s="21">
        <v>0.205117995090108</v>
      </c>
      <c r="AE78" s="21">
        <v>5.2726600189237711</v>
      </c>
      <c r="AF78" s="21">
        <v>3.8508930040803253E-2</v>
      </c>
      <c r="AG78" s="21"/>
      <c r="AH78" s="21">
        <v>5.9855125757091372</v>
      </c>
    </row>
    <row r="79" spans="1:35">
      <c r="A79" s="13" t="s">
        <v>67</v>
      </c>
      <c r="B79" s="13" t="s">
        <v>68</v>
      </c>
      <c r="C79" s="13">
        <v>77</v>
      </c>
      <c r="E79" s="14">
        <v>45139</v>
      </c>
      <c r="H79" s="16">
        <v>14.3</v>
      </c>
      <c r="I79" s="16">
        <v>7.56</v>
      </c>
      <c r="J79" s="16">
        <v>49.74</v>
      </c>
      <c r="K79" s="17">
        <v>0.34855822434036698</v>
      </c>
      <c r="P79" s="18">
        <v>1.6299999999999999E-2</v>
      </c>
      <c r="Q79" s="18">
        <v>2.1770781788311968</v>
      </c>
      <c r="R79" s="21" t="s">
        <v>50</v>
      </c>
      <c r="S79" s="21">
        <v>1.6111354615157421</v>
      </c>
      <c r="T79" s="21">
        <v>4.1724654562372034</v>
      </c>
      <c r="U79" s="21">
        <v>0.17238017625553559</v>
      </c>
      <c r="W79" s="18">
        <v>0.34855822434036698</v>
      </c>
      <c r="Y79" s="92">
        <v>0.42331543444738701</v>
      </c>
      <c r="Z79" s="20">
        <v>-6.1741855165854842</v>
      </c>
      <c r="AA79" s="10">
        <v>-29.930382083785261</v>
      </c>
      <c r="AB79" s="17">
        <v>3.763737408758324</v>
      </c>
      <c r="AC79" s="18">
        <v>1.12682440525671</v>
      </c>
      <c r="AD79" s="21">
        <v>0.20531476803199539</v>
      </c>
      <c r="AE79" s="21">
        <v>4.3748167709416164</v>
      </c>
      <c r="AF79" s="21">
        <v>3.3739001961643138E-2</v>
      </c>
      <c r="AG79" s="21"/>
      <c r="AH79" s="21">
        <v>5.6510635956327908</v>
      </c>
    </row>
    <row r="80" spans="1:35">
      <c r="A80" s="13" t="s">
        <v>67</v>
      </c>
      <c r="B80" s="13" t="s">
        <v>68</v>
      </c>
      <c r="C80" s="13">
        <v>78</v>
      </c>
      <c r="E80" s="14">
        <v>45146</v>
      </c>
      <c r="H80" s="16">
        <v>14.7</v>
      </c>
      <c r="I80" s="16">
        <v>7.67</v>
      </c>
      <c r="J80" s="16">
        <v>53.01</v>
      </c>
      <c r="K80" s="17">
        <v>0.22036942946460009</v>
      </c>
      <c r="P80" s="18">
        <v>2.1899999999999999E-2</v>
      </c>
      <c r="Q80" s="18">
        <v>2.1611029753554059</v>
      </c>
      <c r="R80" s="21" t="s">
        <v>50</v>
      </c>
      <c r="S80" s="21">
        <v>1.5479372837110881</v>
      </c>
      <c r="T80" s="21">
        <v>4.7518059195625906</v>
      </c>
      <c r="U80" s="21">
        <v>0.2466933506550637</v>
      </c>
      <c r="W80" s="18">
        <v>0.22036942946460009</v>
      </c>
      <c r="Y80" s="92">
        <v>0.18654152377526109</v>
      </c>
      <c r="Z80" s="20">
        <v>-6.1870045048832418</v>
      </c>
      <c r="AA80" s="10">
        <v>-29.502041757734499</v>
      </c>
      <c r="AB80" s="17">
        <v>3.7204562600553408</v>
      </c>
      <c r="AC80" s="18">
        <v>1.197765788979267</v>
      </c>
      <c r="AD80" s="21">
        <v>0.1945341387433098</v>
      </c>
      <c r="AE80" s="21">
        <v>4.4702838853513187</v>
      </c>
      <c r="AF80" s="21">
        <v>3.561947152631862E-2</v>
      </c>
      <c r="AG80" s="21"/>
      <c r="AH80" s="21">
        <v>5.6581494985945646</v>
      </c>
    </row>
    <row r="81" spans="1:36">
      <c r="A81" s="13" t="s">
        <v>67</v>
      </c>
      <c r="B81" s="13" t="s">
        <v>68</v>
      </c>
      <c r="C81" s="13">
        <v>79</v>
      </c>
      <c r="E81" s="14">
        <v>45153</v>
      </c>
      <c r="H81" s="16">
        <v>17.600000000000001</v>
      </c>
      <c r="I81" s="16">
        <v>7.9</v>
      </c>
      <c r="J81" s="16">
        <v>54.6</v>
      </c>
      <c r="K81" s="17">
        <v>0.22123780554663361</v>
      </c>
      <c r="P81" s="18">
        <v>1.8599999999999998E-2</v>
      </c>
      <c r="Q81" s="18">
        <v>2.139095361340507</v>
      </c>
      <c r="R81" s="21" t="s">
        <v>50</v>
      </c>
      <c r="S81" s="21">
        <v>1.6785449485226609</v>
      </c>
      <c r="T81" s="21">
        <v>4.6855442164377923</v>
      </c>
      <c r="U81" s="21">
        <v>0.14717453815511089</v>
      </c>
      <c r="W81" s="18">
        <v>0.22123780554663361</v>
      </c>
      <c r="Y81" s="92">
        <v>0.28791042636500702</v>
      </c>
      <c r="Z81" s="20">
        <v>-6.2231737473921642</v>
      </c>
      <c r="AA81" s="10">
        <v>-29.73682850251625</v>
      </c>
      <c r="AB81" s="17">
        <v>3.4989982187163489</v>
      </c>
      <c r="AC81" s="18">
        <v>1.1481825442401741</v>
      </c>
      <c r="AD81" s="21">
        <v>0.19184851233888661</v>
      </c>
      <c r="AE81" s="21">
        <v>4.3490906276576426</v>
      </c>
      <c r="AF81" s="21">
        <v>3.5127526743456129E-2</v>
      </c>
      <c r="AG81" s="21"/>
      <c r="AH81" s="21">
        <v>5.5988659773052074</v>
      </c>
    </row>
    <row r="82" spans="1:36">
      <c r="A82" s="13" t="s">
        <v>67</v>
      </c>
      <c r="B82" s="13" t="s">
        <v>68</v>
      </c>
      <c r="C82" s="13">
        <v>80</v>
      </c>
      <c r="E82" s="14">
        <v>45160</v>
      </c>
      <c r="H82" s="16">
        <v>15.7</v>
      </c>
      <c r="I82" s="16">
        <v>7.68</v>
      </c>
      <c r="J82" s="16">
        <v>52.95</v>
      </c>
      <c r="K82" s="17">
        <v>0.24195207242896691</v>
      </c>
      <c r="P82" s="18">
        <v>2.0500000000000001E-2</v>
      </c>
      <c r="Q82" s="18">
        <v>1.936996599295566</v>
      </c>
      <c r="R82" s="21" t="s">
        <v>50</v>
      </c>
      <c r="S82" s="21">
        <v>1.654586125159168</v>
      </c>
      <c r="T82" s="21">
        <v>4.371546441091021</v>
      </c>
      <c r="U82" s="21">
        <v>0.14500163831886739</v>
      </c>
      <c r="W82" s="18">
        <v>0.24195207242896691</v>
      </c>
      <c r="Y82" s="92">
        <v>0.45735375273556089</v>
      </c>
      <c r="Z82" s="20">
        <v>-6.2024032912979292</v>
      </c>
      <c r="AA82" s="10">
        <v>-29.881526703744701</v>
      </c>
      <c r="AB82" s="17">
        <v>3.7154300056934688</v>
      </c>
      <c r="AC82" s="18">
        <v>1.2348552444744989</v>
      </c>
      <c r="AD82" s="21">
        <v>0.21173874325747671</v>
      </c>
      <c r="AE82" s="21">
        <v>4.6182380175436553</v>
      </c>
      <c r="AF82" s="21">
        <v>3.6378265820350038E-2</v>
      </c>
      <c r="AG82" s="21"/>
      <c r="AH82" s="21">
        <v>5.649431113263085</v>
      </c>
    </row>
    <row r="83" spans="1:36">
      <c r="A83" s="13" t="s">
        <v>67</v>
      </c>
      <c r="B83" s="13" t="s">
        <v>68</v>
      </c>
      <c r="C83" s="13">
        <v>81</v>
      </c>
      <c r="E83" s="14">
        <v>45168</v>
      </c>
      <c r="H83" s="16">
        <v>17.8</v>
      </c>
      <c r="I83" s="16">
        <v>7.5</v>
      </c>
      <c r="J83" s="16">
        <v>63.75</v>
      </c>
      <c r="K83" s="17">
        <v>0.37070990867087628</v>
      </c>
      <c r="P83" s="18">
        <v>2.3400000000000001E-2</v>
      </c>
      <c r="Q83" s="18">
        <v>1.9185511613725019</v>
      </c>
      <c r="R83" s="21" t="s">
        <v>50</v>
      </c>
      <c r="S83" s="21">
        <v>1.5112159472074951</v>
      </c>
      <c r="T83" s="21">
        <v>4.5818643136326758</v>
      </c>
      <c r="U83" s="21">
        <v>0.1582038552733574</v>
      </c>
      <c r="V83" s="21">
        <v>1.605766951617817E-2</v>
      </c>
      <c r="W83" s="18">
        <v>0.37070990867087628</v>
      </c>
      <c r="Y83" s="75">
        <v>0.4682669148757902</v>
      </c>
      <c r="Z83" s="20">
        <v>-6.2310521962554937</v>
      </c>
      <c r="AA83" s="10">
        <v>-29.858221945373771</v>
      </c>
      <c r="AB83" s="17">
        <v>3.8011934884521041</v>
      </c>
      <c r="AC83" s="18">
        <v>1.292425825817149</v>
      </c>
      <c r="AD83" s="21">
        <v>0.2221520396583346</v>
      </c>
      <c r="AE83" s="21">
        <v>4.874468317392127</v>
      </c>
      <c r="AF83" s="21">
        <v>3.7263893754087257E-2</v>
      </c>
      <c r="AG83" s="21"/>
      <c r="AH83" s="21">
        <v>5.7647181545466166</v>
      </c>
    </row>
    <row r="84" spans="1:36">
      <c r="A84" s="13" t="s">
        <v>67</v>
      </c>
      <c r="B84" s="13" t="s">
        <v>68</v>
      </c>
      <c r="C84" s="13">
        <v>82</v>
      </c>
      <c r="E84" s="14">
        <v>45174</v>
      </c>
      <c r="H84" s="16">
        <v>18.7</v>
      </c>
      <c r="I84" s="16">
        <v>7.04</v>
      </c>
      <c r="J84" s="16">
        <v>35.6</v>
      </c>
      <c r="K84" s="17">
        <v>0.15269053134180419</v>
      </c>
      <c r="P84" s="18">
        <v>2.1899999999999999E-2</v>
      </c>
      <c r="Q84" s="18">
        <v>2.0932719919725118</v>
      </c>
      <c r="R84" s="21" t="s">
        <v>50</v>
      </c>
      <c r="S84" s="21">
        <v>1.7786937068803199</v>
      </c>
      <c r="T84" s="21">
        <v>2.702014780001019</v>
      </c>
      <c r="U84" s="21">
        <v>0.16195025704156671</v>
      </c>
      <c r="W84" s="18">
        <v>0.15269053134180419</v>
      </c>
      <c r="Y84" s="92">
        <v>0.43902655858904538</v>
      </c>
      <c r="Z84" s="20">
        <v>-6.0691858832452601</v>
      </c>
      <c r="AA84" s="10">
        <v>-29.218558502923951</v>
      </c>
      <c r="AB84" s="17">
        <v>2.857910338215778</v>
      </c>
      <c r="AC84" s="18">
        <v>0.70380108934789698</v>
      </c>
      <c r="AD84" s="21">
        <v>0.20734807793733939</v>
      </c>
      <c r="AE84" s="21">
        <v>2.4309297094140492</v>
      </c>
      <c r="AF84" s="21">
        <v>2.695434844262028E-2</v>
      </c>
      <c r="AG84" s="21"/>
      <c r="AH84" s="21">
        <v>4.8008907071721394</v>
      </c>
    </row>
    <row r="85" spans="1:36">
      <c r="A85" s="13" t="s">
        <v>67</v>
      </c>
      <c r="B85" s="13" t="s">
        <v>68</v>
      </c>
      <c r="C85" s="13">
        <v>83</v>
      </c>
      <c r="E85" s="14">
        <v>45181</v>
      </c>
      <c r="H85" s="16">
        <v>18.5</v>
      </c>
      <c r="I85" s="16">
        <v>7.24</v>
      </c>
      <c r="J85" s="16">
        <v>47.49</v>
      </c>
      <c r="P85" s="18">
        <v>1.8100000000000002E-2</v>
      </c>
      <c r="Q85" s="18">
        <v>2.2036611643349961</v>
      </c>
      <c r="R85" s="21" t="s">
        <v>50</v>
      </c>
      <c r="S85" s="21">
        <v>1.6441634893762951</v>
      </c>
      <c r="T85" s="21">
        <v>3.611733594482089</v>
      </c>
      <c r="U85" s="21">
        <v>0.17324933619003299</v>
      </c>
      <c r="W85" s="18">
        <v>0.24009103272910509</v>
      </c>
      <c r="Y85" s="75">
        <v>0.40925202244474118</v>
      </c>
      <c r="Z85" s="20">
        <v>-6.022750876900492</v>
      </c>
      <c r="AA85" s="10">
        <v>-27.68823084653577</v>
      </c>
      <c r="AB85" s="17">
        <v>3.6793640273088171</v>
      </c>
      <c r="AC85" s="18">
        <v>0.99217107966170093</v>
      </c>
      <c r="AD85" s="21">
        <v>0.19443463382559761</v>
      </c>
      <c r="AE85" s="21">
        <v>3.5543955321277321</v>
      </c>
      <c r="AF85" s="21">
        <v>2.9589638375756139E-2</v>
      </c>
      <c r="AG85" s="21"/>
      <c r="AH85" s="21">
        <v>5.5901433809358796</v>
      </c>
    </row>
    <row r="86" spans="1:36">
      <c r="A86" s="13" t="s">
        <v>67</v>
      </c>
      <c r="B86" s="13" t="s">
        <v>68</v>
      </c>
      <c r="C86" s="13">
        <v>84</v>
      </c>
      <c r="E86" s="14">
        <v>45188</v>
      </c>
      <c r="H86" s="16">
        <v>17.2</v>
      </c>
      <c r="I86" s="16">
        <v>6.52</v>
      </c>
      <c r="J86" s="16">
        <v>52.99</v>
      </c>
      <c r="P86" s="18">
        <v>2.3900000000000001E-2</v>
      </c>
      <c r="Q86" s="18">
        <v>1.9172937638797909</v>
      </c>
      <c r="R86" s="21" t="s">
        <v>50</v>
      </c>
      <c r="S86" s="21">
        <v>1.400503586680738</v>
      </c>
      <c r="T86" s="21">
        <v>3.8403493899393988</v>
      </c>
      <c r="U86" s="21">
        <v>0.1749876560590278</v>
      </c>
      <c r="W86" s="18">
        <v>1.415812565830501</v>
      </c>
      <c r="Y86" s="75">
        <v>0.40363909779729473</v>
      </c>
      <c r="Z86" s="20">
        <v>-6.0847898520908128</v>
      </c>
      <c r="AA86" s="10">
        <v>-28.635573794668161</v>
      </c>
      <c r="AB86" s="17">
        <v>3.816939287902406</v>
      </c>
      <c r="AC86" s="18">
        <v>1.163527013510814</v>
      </c>
      <c r="AD86" s="21">
        <v>0.20419742214895439</v>
      </c>
      <c r="AE86" s="21">
        <v>4.3356923616045089</v>
      </c>
      <c r="AF86" s="21">
        <v>3.3147591609333699E-2</v>
      </c>
      <c r="AG86" s="21"/>
      <c r="AH86" s="21">
        <v>5.6945855292467913</v>
      </c>
    </row>
    <row r="87" spans="1:36">
      <c r="A87" s="13" t="s">
        <v>67</v>
      </c>
      <c r="B87" s="13" t="s">
        <v>68</v>
      </c>
      <c r="C87" s="13">
        <v>85</v>
      </c>
      <c r="E87" s="14">
        <v>45196</v>
      </c>
      <c r="H87" s="16">
        <v>16.5</v>
      </c>
      <c r="I87" s="16">
        <v>7.75</v>
      </c>
      <c r="J87" s="16">
        <v>50.63</v>
      </c>
      <c r="P87" s="18">
        <v>2.12E-2</v>
      </c>
      <c r="Q87" s="18">
        <v>2.1741212457487902</v>
      </c>
      <c r="R87" s="21" t="s">
        <v>50</v>
      </c>
      <c r="S87" s="21">
        <v>1.619134930331807</v>
      </c>
      <c r="T87" s="21">
        <v>4.8555925910072872</v>
      </c>
      <c r="U87" s="21">
        <v>0.1828100954695045</v>
      </c>
      <c r="W87" s="18">
        <v>0.19428838287754499</v>
      </c>
      <c r="Y87" s="75">
        <v>0.38251466301022868</v>
      </c>
      <c r="Z87" s="20">
        <v>-6.1099931857618808</v>
      </c>
      <c r="AA87" s="10">
        <v>-28.37327892049267</v>
      </c>
      <c r="AB87" s="17">
        <v>3.883566297987012</v>
      </c>
      <c r="AC87" s="18">
        <v>1.256145861710668</v>
      </c>
      <c r="AD87" s="21">
        <v>0.2039904779750035</v>
      </c>
      <c r="AE87" s="21">
        <v>4.7091034724800016</v>
      </c>
      <c r="AF87" s="21">
        <v>3.5425288470054543E-2</v>
      </c>
      <c r="AG87" s="21"/>
      <c r="AH87" s="21">
        <v>5.7426119513169933</v>
      </c>
    </row>
    <row r="88" spans="1:36" s="39" customFormat="1" ht="16.2">
      <c r="A88" s="36" t="s">
        <v>67</v>
      </c>
      <c r="B88" s="36" t="s">
        <v>68</v>
      </c>
      <c r="C88" s="36">
        <v>86</v>
      </c>
      <c r="D88" s="37"/>
      <c r="E88" s="37">
        <v>45204</v>
      </c>
      <c r="F88" s="38"/>
      <c r="H88" s="39">
        <v>19.8</v>
      </c>
      <c r="I88" s="39">
        <v>7.51</v>
      </c>
      <c r="J88" s="39">
        <v>53.78</v>
      </c>
      <c r="K88" s="40"/>
      <c r="M88" s="36"/>
      <c r="N88" s="36"/>
      <c r="O88" s="36"/>
      <c r="P88" s="41">
        <v>2.46E-2</v>
      </c>
      <c r="Q88" s="41">
        <v>2.3588115965088892</v>
      </c>
      <c r="R88" s="42" t="s">
        <v>50</v>
      </c>
      <c r="S88" s="42">
        <v>1.801899367177789</v>
      </c>
      <c r="T88" s="42">
        <v>5.3542820798408473</v>
      </c>
      <c r="U88" s="42">
        <v>0.11905852857593931</v>
      </c>
      <c r="V88" s="42">
        <v>2.4224044212326941E-2</v>
      </c>
      <c r="W88" s="41">
        <v>0.23071032431189031</v>
      </c>
      <c r="X88" s="43"/>
      <c r="Y88" s="75">
        <v>0.45437748014786838</v>
      </c>
      <c r="Z88" s="40">
        <v>-6.1452778529013763</v>
      </c>
      <c r="AA88" s="44">
        <v>-28.938452976022681</v>
      </c>
      <c r="AB88" s="40">
        <v>3.8881258866007551</v>
      </c>
      <c r="AC88" s="41">
        <v>1.307887236692262</v>
      </c>
      <c r="AD88" s="42">
        <v>0.23046457962783631</v>
      </c>
      <c r="AE88" s="42">
        <v>4.9588097242934257</v>
      </c>
      <c r="AF88" s="42">
        <v>3.6652536651829618E-2</v>
      </c>
      <c r="AG88" s="42"/>
      <c r="AH88" s="42">
        <v>5.7207151353916741</v>
      </c>
      <c r="AI88" s="45"/>
      <c r="AJ88" s="40"/>
    </row>
    <row r="89" spans="1:36">
      <c r="A89" s="13" t="s">
        <v>156</v>
      </c>
      <c r="B89" s="13" t="s">
        <v>68</v>
      </c>
      <c r="C89" s="13">
        <v>87</v>
      </c>
      <c r="E89" s="14">
        <v>45210</v>
      </c>
      <c r="H89" s="16">
        <v>13.2</v>
      </c>
      <c r="I89" s="16">
        <v>7.58</v>
      </c>
      <c r="J89" s="16">
        <v>43.66</v>
      </c>
      <c r="P89" s="18">
        <v>2.29E-2</v>
      </c>
      <c r="Q89" s="18">
        <v>2.1377398685417162</v>
      </c>
      <c r="R89" s="21" t="s">
        <v>50</v>
      </c>
      <c r="S89" s="21">
        <v>2.0725718973906928</v>
      </c>
      <c r="T89" s="21">
        <v>3.5043609016134569</v>
      </c>
      <c r="U89" s="21">
        <v>0.20236619399569611</v>
      </c>
      <c r="W89" s="18">
        <v>0.27425485850638393</v>
      </c>
      <c r="Y89" s="92">
        <v>0.42650071005021634</v>
      </c>
      <c r="Z89" s="20">
        <v>-6.1669914942179869</v>
      </c>
      <c r="AA89" s="10">
        <v>-30.149218140196641</v>
      </c>
      <c r="AB89" s="17">
        <v>3.4804777682103971</v>
      </c>
      <c r="AC89" s="18">
        <v>0.98311309205421371</v>
      </c>
      <c r="AD89" s="21">
        <v>0.16718310669240749</v>
      </c>
      <c r="AE89" s="21">
        <v>3.582740107003378</v>
      </c>
      <c r="AF89" s="21">
        <v>2.9254004463024012E-2</v>
      </c>
      <c r="AG89" s="21"/>
      <c r="AH89" s="21">
        <v>5.2897980705451637</v>
      </c>
    </row>
    <row r="90" spans="1:36" ht="16.2">
      <c r="A90" s="13" t="s">
        <v>156</v>
      </c>
      <c r="B90" s="13" t="s">
        <v>68</v>
      </c>
      <c r="C90" s="13">
        <v>88</v>
      </c>
      <c r="E90" s="14">
        <v>45216</v>
      </c>
      <c r="H90" s="16">
        <v>14.6</v>
      </c>
      <c r="I90" s="16">
        <v>7.8</v>
      </c>
      <c r="J90" s="16">
        <v>47.48</v>
      </c>
      <c r="W90" s="18">
        <v>0.19007088959297991</v>
      </c>
      <c r="Y90" s="92">
        <v>0.34583322885016698</v>
      </c>
      <c r="Z90" s="20">
        <v>-6.1417881605469207</v>
      </c>
      <c r="AA90" s="10">
        <v>-29.612603411940761</v>
      </c>
      <c r="AB90" s="17">
        <v>3.6707825168908141</v>
      </c>
      <c r="AC90" s="18">
        <v>1.0971396855887421</v>
      </c>
      <c r="AD90" s="21">
        <v>0.1686344737109286</v>
      </c>
      <c r="AE90" s="21">
        <v>4.0310938656947464</v>
      </c>
      <c r="AF90" s="21">
        <v>3.1730402495185238E-2</v>
      </c>
      <c r="AG90" s="21"/>
      <c r="AH90" s="21">
        <v>5.7027247937722203</v>
      </c>
      <c r="AI90" s="46"/>
    </row>
    <row r="91" spans="1:36">
      <c r="A91" s="13" t="s">
        <v>156</v>
      </c>
      <c r="B91" s="13" t="s">
        <v>68</v>
      </c>
      <c r="C91" s="13">
        <v>89</v>
      </c>
      <c r="E91" s="14">
        <v>45224</v>
      </c>
      <c r="H91" s="16">
        <v>14.2</v>
      </c>
      <c r="I91" s="16">
        <v>7.88</v>
      </c>
      <c r="J91" s="16">
        <v>61.19</v>
      </c>
      <c r="P91" s="18">
        <v>2.0400000000000001E-2</v>
      </c>
      <c r="Q91" s="18">
        <v>2.1960714278673952</v>
      </c>
      <c r="R91" s="21" t="s">
        <v>50</v>
      </c>
      <c r="S91" s="21">
        <v>1.860926070921636</v>
      </c>
      <c r="T91" s="21">
        <v>4.4866149307596546</v>
      </c>
      <c r="U91" s="21">
        <v>0.27189898875548851</v>
      </c>
      <c r="W91" s="18">
        <v>0.19075904245742489</v>
      </c>
      <c r="Y91" s="92"/>
      <c r="Z91" s="20">
        <v>-6.1724199045471417</v>
      </c>
      <c r="AA91" s="10">
        <v>-29.7569031707995</v>
      </c>
      <c r="AB91" s="17">
        <v>3.7503688883082651</v>
      </c>
      <c r="AC91" s="18">
        <v>1.180727417986758</v>
      </c>
      <c r="AD91" s="21">
        <v>0.19009839730067959</v>
      </c>
      <c r="AE91" s="21">
        <v>4.4058668691078697</v>
      </c>
      <c r="AF91" s="21">
        <v>3.3677030497325483E-2</v>
      </c>
      <c r="AG91" s="21"/>
      <c r="AH91" s="21">
        <v>5.6659202678660217</v>
      </c>
    </row>
    <row r="92" spans="1:36">
      <c r="A92" s="13" t="s">
        <v>156</v>
      </c>
      <c r="B92" s="13" t="s">
        <v>68</v>
      </c>
      <c r="C92" s="13">
        <v>90</v>
      </c>
      <c r="E92" s="14">
        <v>45230</v>
      </c>
      <c r="H92" s="16">
        <v>14.9</v>
      </c>
      <c r="I92" s="16">
        <v>7.24</v>
      </c>
      <c r="J92" s="16">
        <v>45.03</v>
      </c>
      <c r="P92" s="18">
        <v>2.52E-2</v>
      </c>
      <c r="Q92" s="18">
        <v>2.0658518918397042</v>
      </c>
      <c r="R92" s="21" t="s">
        <v>50</v>
      </c>
      <c r="S92" s="21">
        <v>1.9648517180019811</v>
      </c>
      <c r="T92" s="21">
        <v>4.0823592597735781</v>
      </c>
      <c r="U92" s="21">
        <v>0.13377302468202729</v>
      </c>
      <c r="W92" s="18">
        <v>0.54824847283589895</v>
      </c>
      <c r="Y92" s="92"/>
      <c r="Z92" s="20">
        <v>-5.9176723626718868</v>
      </c>
      <c r="AA92" s="10">
        <v>-26.439136058914951</v>
      </c>
      <c r="AB92" s="17">
        <v>3.597369355165875</v>
      </c>
      <c r="AC92" s="18">
        <v>1.0934503463898979</v>
      </c>
      <c r="AD92" s="21">
        <v>0.19611692827825089</v>
      </c>
      <c r="AE92" s="21">
        <v>4.0295878823012128</v>
      </c>
      <c r="AF92" s="21">
        <v>3.1960892159616019E-2</v>
      </c>
      <c r="AG92" s="21"/>
      <c r="AH92" s="21">
        <v>5.1879299534680747</v>
      </c>
    </row>
    <row r="93" spans="1:36" ht="16.2">
      <c r="A93" s="13" t="s">
        <v>156</v>
      </c>
      <c r="B93" s="13" t="s">
        <v>68</v>
      </c>
      <c r="C93" s="13">
        <v>91</v>
      </c>
      <c r="E93" s="14">
        <v>45237</v>
      </c>
      <c r="H93" s="16">
        <v>15.4</v>
      </c>
      <c r="I93" s="16">
        <v>7.38</v>
      </c>
      <c r="J93" s="16">
        <v>47.28</v>
      </c>
      <c r="P93" s="18">
        <v>2.07E-2</v>
      </c>
      <c r="Q93" s="18">
        <v>2.0178513974005252</v>
      </c>
      <c r="R93" s="21" t="s">
        <v>50</v>
      </c>
      <c r="S93" s="21">
        <v>1.7091730636919229</v>
      </c>
      <c r="T93" s="21">
        <v>4.0573396327310478</v>
      </c>
      <c r="U93" s="21">
        <v>0.13293582241033061</v>
      </c>
      <c r="W93" s="18">
        <v>0.24524983854448981</v>
      </c>
      <c r="Y93" s="75">
        <v>0.46330793441401824</v>
      </c>
      <c r="Z93" s="20">
        <v>-6.0844021084958744</v>
      </c>
      <c r="AA93" s="10">
        <v>-29.137992486319501</v>
      </c>
      <c r="AB93" s="17">
        <v>2.9599313629432178</v>
      </c>
      <c r="AC93" s="18">
        <v>0.96594449766241774</v>
      </c>
      <c r="AD93" s="21">
        <v>0.1618067177602788</v>
      </c>
      <c r="AE93" s="21">
        <v>3.9253776600574062</v>
      </c>
      <c r="AF93" s="21">
        <v>3.1156381032583259E-2</v>
      </c>
      <c r="AG93" s="21"/>
      <c r="AH93" s="21">
        <v>3.992219139885675</v>
      </c>
      <c r="AI93" s="46"/>
    </row>
    <row r="94" spans="1:36" ht="16.2">
      <c r="A94" s="13" t="s">
        <v>156</v>
      </c>
      <c r="B94" s="13" t="s">
        <v>68</v>
      </c>
      <c r="C94" s="13">
        <v>92</v>
      </c>
      <c r="E94" s="14">
        <v>45244</v>
      </c>
      <c r="H94" s="16">
        <v>14</v>
      </c>
      <c r="I94" s="16">
        <v>7.09</v>
      </c>
      <c r="J94" s="16">
        <v>46.77</v>
      </c>
      <c r="P94" s="18">
        <v>2.18E-2</v>
      </c>
      <c r="Q94" s="18">
        <v>2.1750149859770591</v>
      </c>
      <c r="R94" s="21" t="s">
        <v>50</v>
      </c>
      <c r="S94" s="21">
        <v>2.4529012523724329</v>
      </c>
      <c r="T94" s="21">
        <v>4.3077102384070471</v>
      </c>
      <c r="U94" s="21">
        <v>0.1484240644367186</v>
      </c>
      <c r="W94" s="18">
        <v>0.39736236682317039</v>
      </c>
      <c r="Y94" s="92">
        <v>0.51012853455558371</v>
      </c>
      <c r="Z94" s="20">
        <v>-6.0859530828756334</v>
      </c>
      <c r="AA94" s="10">
        <v>-28.975279476981409</v>
      </c>
      <c r="AB94" s="17">
        <v>3.5625175436790708</v>
      </c>
      <c r="AC94" s="18">
        <v>1.12445990604478</v>
      </c>
      <c r="AD94" s="21">
        <v>0.18957553794349161</v>
      </c>
      <c r="AE94" s="21">
        <v>4.1116691770102074</v>
      </c>
      <c r="AF94" s="21">
        <v>3.1697397882856318E-2</v>
      </c>
      <c r="AG94" s="21"/>
      <c r="AH94" s="21">
        <v>5.3386491318259761</v>
      </c>
      <c r="AI94" s="46"/>
    </row>
    <row r="95" spans="1:36" ht="16.2">
      <c r="A95" s="13" t="s">
        <v>156</v>
      </c>
      <c r="B95" s="13" t="s">
        <v>68</v>
      </c>
      <c r="C95" s="13">
        <v>93</v>
      </c>
      <c r="E95" s="14">
        <v>45252</v>
      </c>
      <c r="H95" s="16">
        <v>15.8</v>
      </c>
      <c r="I95" s="16">
        <v>7.64</v>
      </c>
      <c r="J95" s="16">
        <v>48.81</v>
      </c>
      <c r="P95" s="18">
        <v>2.2200000000000001E-2</v>
      </c>
      <c r="Q95" s="18">
        <v>2.0296151173025021</v>
      </c>
      <c r="R95" s="21" t="s">
        <v>50</v>
      </c>
      <c r="S95" s="21">
        <v>1.644587336421113</v>
      </c>
      <c r="T95" s="21">
        <v>4.1027755334454934</v>
      </c>
      <c r="U95" s="21">
        <v>0.1228893951499709</v>
      </c>
      <c r="W95" s="18">
        <v>0.1807966736066057</v>
      </c>
      <c r="Y95" s="92">
        <v>0.33869938381578119</v>
      </c>
      <c r="Z95" s="20">
        <v>-6.1154215960910339</v>
      </c>
      <c r="AA95" s="10">
        <v>-29.57051598227363</v>
      </c>
      <c r="AB95" s="17">
        <v>3.6711318978840271</v>
      </c>
      <c r="AC95" s="18">
        <v>1.15179625460553</v>
      </c>
      <c r="AD95" s="21">
        <v>0.18756582310070161</v>
      </c>
      <c r="AE95" s="21">
        <v>4.2514625588009993</v>
      </c>
      <c r="AF95" s="21">
        <v>3.2887535155697291E-2</v>
      </c>
      <c r="AG95" s="21"/>
      <c r="AH95" s="21">
        <v>5.7185461849133974</v>
      </c>
      <c r="AI95" s="46"/>
    </row>
    <row r="96" spans="1:36" ht="16.2">
      <c r="A96" s="13" t="s">
        <v>156</v>
      </c>
      <c r="B96" s="13" t="s">
        <v>68</v>
      </c>
      <c r="C96" s="13">
        <v>94</v>
      </c>
      <c r="E96" s="14">
        <v>45258</v>
      </c>
      <c r="H96" s="16">
        <v>14.7</v>
      </c>
      <c r="I96" s="16">
        <v>7.42</v>
      </c>
      <c r="J96" s="16">
        <v>47.67</v>
      </c>
      <c r="P96" s="18">
        <v>1.8499999999999999E-2</v>
      </c>
      <c r="Q96" s="18">
        <v>2.2912416189908731</v>
      </c>
      <c r="R96" s="21" t="s">
        <v>50</v>
      </c>
      <c r="S96" s="21">
        <v>2.1818810421797341</v>
      </c>
      <c r="T96" s="21">
        <v>4.5274450875216248</v>
      </c>
      <c r="U96" s="21">
        <v>0.15093567125180851</v>
      </c>
      <c r="W96" s="18">
        <v>0.26904279934573488</v>
      </c>
      <c r="Y96" s="75">
        <v>0.48284641800861577</v>
      </c>
      <c r="Z96" s="20">
        <v>-6.0661781595337159</v>
      </c>
      <c r="AA96" s="10">
        <v>-28.625051937251381</v>
      </c>
      <c r="AB96" s="17">
        <v>3.5868427492070869</v>
      </c>
      <c r="AC96" s="18">
        <v>1.165864008908533</v>
      </c>
      <c r="AD96" s="21">
        <v>0.19022635605837471</v>
      </c>
      <c r="AE96" s="21">
        <v>4.3239268309258856</v>
      </c>
      <c r="AF96" s="21">
        <v>3.336317681136159E-2</v>
      </c>
      <c r="AG96" s="21"/>
      <c r="AH96" s="21">
        <v>5.5631899421179751</v>
      </c>
      <c r="AI96" s="46"/>
    </row>
    <row r="97" spans="1:36" ht="16.2">
      <c r="A97" s="13" t="s">
        <v>156</v>
      </c>
      <c r="B97" s="13" t="s">
        <v>68</v>
      </c>
      <c r="C97" s="13">
        <v>95</v>
      </c>
      <c r="E97" s="14">
        <v>45265</v>
      </c>
      <c r="H97" s="16">
        <v>14.6</v>
      </c>
      <c r="I97" s="16">
        <v>6.52</v>
      </c>
      <c r="J97" s="16">
        <v>44.04</v>
      </c>
      <c r="P97" s="18">
        <v>2.2100000000000002E-2</v>
      </c>
      <c r="Q97" s="18">
        <v>1.8707683232612911</v>
      </c>
      <c r="R97" s="21" t="s">
        <v>50</v>
      </c>
      <c r="S97" s="21">
        <v>1.87492401039691</v>
      </c>
      <c r="T97" s="21">
        <v>3.2656655063401629</v>
      </c>
      <c r="U97" s="21">
        <v>0.1128429678896111</v>
      </c>
      <c r="W97" s="18">
        <v>0.1873891021188813</v>
      </c>
      <c r="Y97" s="75">
        <v>0.50519184571102993</v>
      </c>
      <c r="Z97" s="20">
        <v>-6.045240005406983</v>
      </c>
      <c r="AA97" s="10">
        <v>-28.974527915737351</v>
      </c>
      <c r="AB97" s="17">
        <v>3.368326621217351</v>
      </c>
      <c r="AC97" s="18">
        <v>1.0381279479504271</v>
      </c>
      <c r="AD97" s="21">
        <v>0.209454519257639</v>
      </c>
      <c r="AE97" s="21">
        <v>3.7762827042168721</v>
      </c>
      <c r="AF97" s="21">
        <v>3.0022906372269679E-2</v>
      </c>
      <c r="AG97" s="21"/>
      <c r="AH97" s="21">
        <v>5.400134806319457</v>
      </c>
      <c r="AI97" s="46"/>
    </row>
    <row r="98" spans="1:36" ht="16.2">
      <c r="A98" s="13" t="s">
        <v>156</v>
      </c>
      <c r="B98" s="13" t="s">
        <v>68</v>
      </c>
      <c r="C98" s="13">
        <v>96</v>
      </c>
      <c r="E98" s="14">
        <v>45272</v>
      </c>
      <c r="H98" s="16">
        <v>13.9</v>
      </c>
      <c r="I98" s="16">
        <v>6.86</v>
      </c>
      <c r="J98" s="16">
        <v>48.35</v>
      </c>
      <c r="P98" s="18">
        <v>1.9099999999999999E-2</v>
      </c>
      <c r="Q98" s="18">
        <v>2.1489043435282502</v>
      </c>
      <c r="R98" s="21" t="s">
        <v>50</v>
      </c>
      <c r="S98" s="21">
        <v>1.749762088901414</v>
      </c>
      <c r="T98" s="21">
        <v>4.251191113157609</v>
      </c>
      <c r="U98" s="21">
        <v>0.14423805307823531</v>
      </c>
      <c r="W98" s="18">
        <v>0.24031714022066791</v>
      </c>
      <c r="Y98" s="75">
        <v>0.42441120536261562</v>
      </c>
      <c r="Z98" s="20">
        <v>-6.5791259034724137</v>
      </c>
      <c r="AA98" s="10">
        <v>-32.402078132712617</v>
      </c>
      <c r="AB98" s="17">
        <v>3.61019964055816</v>
      </c>
      <c r="AC98" s="18">
        <v>1.120123162214782</v>
      </c>
      <c r="AD98" s="21">
        <v>0.127541025785599</v>
      </c>
      <c r="AE98" s="18">
        <v>4.1645220055787284</v>
      </c>
      <c r="AF98" s="18">
        <v>2.4445677570507199E-2</v>
      </c>
      <c r="AG98" s="21"/>
      <c r="AH98" s="21">
        <v>6.1599924113942546</v>
      </c>
      <c r="AI98" s="46"/>
    </row>
    <row r="99" spans="1:36" ht="16.2">
      <c r="A99" s="13" t="s">
        <v>156</v>
      </c>
      <c r="B99" s="13" t="s">
        <v>68</v>
      </c>
      <c r="C99" s="13">
        <v>97</v>
      </c>
      <c r="E99" s="14">
        <v>45279</v>
      </c>
      <c r="H99" s="16">
        <v>18.5</v>
      </c>
      <c r="I99" s="16">
        <v>7.45</v>
      </c>
      <c r="J99" s="16">
        <v>50.01</v>
      </c>
      <c r="P99" s="18">
        <v>1.5699999999999999E-2</v>
      </c>
      <c r="Q99" s="18">
        <v>2.1922779855234591</v>
      </c>
      <c r="R99" s="21" t="s">
        <v>50</v>
      </c>
      <c r="S99" s="21">
        <v>1.9663458663059019</v>
      </c>
      <c r="T99" s="21">
        <v>4.5186901822871484</v>
      </c>
      <c r="U99" s="21">
        <v>0.19742100958711939</v>
      </c>
      <c r="V99" s="21">
        <v>1.498353283931851E-2</v>
      </c>
      <c r="W99" s="18">
        <v>0.18756250893188881</v>
      </c>
      <c r="Y99" s="75">
        <v>0.45687149759930629</v>
      </c>
      <c r="Z99" s="20">
        <v>-6.5422620895482062</v>
      </c>
      <c r="AA99" s="10">
        <v>-31.61220143974958</v>
      </c>
      <c r="AB99" s="17">
        <v>3.674319171014977</v>
      </c>
      <c r="AC99" s="18">
        <v>1.17739685177503</v>
      </c>
      <c r="AD99" s="21">
        <v>0.14826067854269451</v>
      </c>
      <c r="AE99" s="21">
        <v>4.4079018017937823</v>
      </c>
      <c r="AF99" s="18">
        <v>2.5581369858574451E-2</v>
      </c>
      <c r="AG99" s="21"/>
      <c r="AH99" s="21">
        <v>6.0465160560515514</v>
      </c>
      <c r="AI99" s="46"/>
    </row>
    <row r="100" spans="1:36" ht="16.2">
      <c r="A100" s="13" t="s">
        <v>156</v>
      </c>
      <c r="B100" s="13" t="s">
        <v>68</v>
      </c>
      <c r="C100" s="13">
        <v>98</v>
      </c>
      <c r="E100" s="14">
        <v>45286</v>
      </c>
      <c r="H100" s="16">
        <v>9.1</v>
      </c>
      <c r="I100" s="16">
        <v>8</v>
      </c>
      <c r="J100" s="16">
        <v>49.11</v>
      </c>
      <c r="P100" s="18">
        <v>1.9400000000000001E-2</v>
      </c>
      <c r="Q100" s="18">
        <v>2.5892923805643782</v>
      </c>
      <c r="R100" s="21" t="s">
        <v>50</v>
      </c>
      <c r="S100" s="21">
        <v>2.3162106018950341</v>
      </c>
      <c r="T100" s="21">
        <v>5.0045719742056667</v>
      </c>
      <c r="U100" s="21">
        <v>0.17799759432767789</v>
      </c>
      <c r="V100" s="21">
        <v>5.6748968357211577E-3</v>
      </c>
      <c r="W100" s="18">
        <v>0.21606118941114</v>
      </c>
      <c r="Y100" s="92">
        <v>0.404940372945021</v>
      </c>
      <c r="Z100" s="20">
        <v>-6.5245391020846473</v>
      </c>
      <c r="AA100" s="10">
        <v>-31.36388588364656</v>
      </c>
      <c r="AB100" s="17">
        <v>3.6237560608927928</v>
      </c>
      <c r="AC100" s="18">
        <v>1.138377928016578</v>
      </c>
      <c r="AD100" s="21">
        <v>0.12995075149468849</v>
      </c>
      <c r="AE100" s="21">
        <v>4.2943625673719117</v>
      </c>
      <c r="AF100" s="18">
        <v>2.4572844921599141E-2</v>
      </c>
      <c r="AG100" s="21"/>
      <c r="AH100" s="21">
        <v>5.9695006299685867</v>
      </c>
      <c r="AI100" s="46"/>
    </row>
    <row r="101" spans="1:36" ht="16.2">
      <c r="A101" s="13" t="s">
        <v>156</v>
      </c>
      <c r="B101" s="13" t="s">
        <v>68</v>
      </c>
      <c r="C101" s="13">
        <v>99</v>
      </c>
      <c r="E101" s="14">
        <v>45294</v>
      </c>
      <c r="H101" s="16">
        <v>9</v>
      </c>
      <c r="I101" s="16">
        <v>7.5</v>
      </c>
      <c r="J101" s="16">
        <v>50.06</v>
      </c>
      <c r="P101" s="18">
        <v>1.38E-2</v>
      </c>
      <c r="Q101" s="18">
        <v>2.3537059637867568</v>
      </c>
      <c r="R101" s="21" t="s">
        <v>50</v>
      </c>
      <c r="S101" s="21">
        <v>2.0238211384472971</v>
      </c>
      <c r="T101" s="21">
        <v>4.7377541350640753</v>
      </c>
      <c r="U101" s="21">
        <v>0.16012108934367739</v>
      </c>
      <c r="V101" s="21">
        <v>1.221107540684205E-2</v>
      </c>
      <c r="W101" s="18">
        <v>0.17243451312822719</v>
      </c>
      <c r="Y101" s="92">
        <v>0.374129362735246</v>
      </c>
      <c r="Z101" s="20">
        <v>-6.5401353310525803</v>
      </c>
      <c r="AA101" s="10">
        <v>-31.59711043910243</v>
      </c>
      <c r="AB101" s="17">
        <v>3.6463121773121059</v>
      </c>
      <c r="AC101" s="18">
        <v>1.2140995232128371</v>
      </c>
      <c r="AD101" s="21">
        <v>0.1292064017612739</v>
      </c>
      <c r="AE101" s="21">
        <v>4.4776177339547107</v>
      </c>
      <c r="AF101" s="21">
        <v>2.576719104187282E-2</v>
      </c>
      <c r="AG101" s="21"/>
      <c r="AH101" s="21">
        <v>6.0527144401007611</v>
      </c>
      <c r="AI101" s="46"/>
    </row>
    <row r="102" spans="1:36" ht="16.2">
      <c r="A102" s="13" t="s">
        <v>156</v>
      </c>
      <c r="B102" s="13" t="s">
        <v>68</v>
      </c>
      <c r="C102" s="13">
        <v>100</v>
      </c>
      <c r="E102" s="14">
        <v>45300</v>
      </c>
      <c r="H102" s="16">
        <v>10.5</v>
      </c>
      <c r="I102" s="16">
        <v>7.75</v>
      </c>
      <c r="J102" s="16">
        <v>51.79</v>
      </c>
      <c r="P102" s="18">
        <v>1.9300000000000001E-2</v>
      </c>
      <c r="Q102" s="18">
        <v>2.617124985449375</v>
      </c>
      <c r="R102" s="21" t="s">
        <v>50</v>
      </c>
      <c r="S102" s="21">
        <v>2.0825030590085709</v>
      </c>
      <c r="T102" s="21">
        <v>5.508157810150065</v>
      </c>
      <c r="U102" s="21">
        <v>0.1456266258431364</v>
      </c>
      <c r="V102" s="21" t="s">
        <v>50</v>
      </c>
      <c r="W102" s="18">
        <v>0.2280869254343604</v>
      </c>
      <c r="Y102" s="75">
        <v>0.45033454073484869</v>
      </c>
      <c r="Z102" s="20">
        <v>-6.5677831914957343</v>
      </c>
      <c r="AA102" s="10">
        <v>-31.976786296293088</v>
      </c>
      <c r="AB102" s="17">
        <v>3.7127199329962179</v>
      </c>
      <c r="AC102" s="18">
        <v>1.2537865127904391</v>
      </c>
      <c r="AD102" s="21">
        <v>0.11782069973928699</v>
      </c>
      <c r="AE102" s="21">
        <v>4.6243658423021294</v>
      </c>
      <c r="AF102" s="21">
        <v>2.7029596294831971E-2</v>
      </c>
      <c r="AG102" s="21"/>
      <c r="AH102" s="21">
        <v>6.1386397083578927</v>
      </c>
      <c r="AI102" s="46"/>
    </row>
    <row r="103" spans="1:36">
      <c r="A103" s="13" t="s">
        <v>156</v>
      </c>
      <c r="B103" s="13" t="s">
        <v>68</v>
      </c>
      <c r="C103" s="13">
        <v>101</v>
      </c>
      <c r="E103" s="14">
        <v>45307</v>
      </c>
      <c r="H103" s="16">
        <v>12.2</v>
      </c>
      <c r="I103" s="16">
        <v>7.93</v>
      </c>
      <c r="J103" s="16">
        <v>52.37</v>
      </c>
      <c r="W103" s="18">
        <v>0.37172491903696081</v>
      </c>
      <c r="Y103" s="75">
        <v>0.62548316074791643</v>
      </c>
      <c r="Z103" s="20">
        <v>-6.3129266317697352</v>
      </c>
      <c r="AA103" s="10">
        <v>-29.406171526967011</v>
      </c>
      <c r="AB103" s="17">
        <v>3.7949611965935901</v>
      </c>
      <c r="AC103" s="18">
        <v>1.2720768669162219</v>
      </c>
      <c r="AD103" s="21">
        <v>0.12800779157159889</v>
      </c>
      <c r="AE103" s="21">
        <v>4.7500889751563617</v>
      </c>
      <c r="AF103" s="21">
        <v>2.7411587387782231E-2</v>
      </c>
      <c r="AG103" s="21"/>
      <c r="AH103" s="21">
        <v>5.8410967163286314</v>
      </c>
    </row>
    <row r="104" spans="1:36" s="48" customFormat="1">
      <c r="A104" s="12" t="s">
        <v>156</v>
      </c>
      <c r="B104" s="12" t="s">
        <v>68</v>
      </c>
      <c r="C104" s="12">
        <v>102</v>
      </c>
      <c r="D104" s="47"/>
      <c r="E104" s="47">
        <v>45314</v>
      </c>
      <c r="F104" s="3"/>
      <c r="H104" s="48">
        <v>12</v>
      </c>
      <c r="I104" s="48">
        <v>7.56</v>
      </c>
      <c r="J104" s="48">
        <v>73.58</v>
      </c>
      <c r="K104" s="20"/>
      <c r="M104" s="12"/>
      <c r="N104" s="12"/>
      <c r="O104" s="12"/>
      <c r="P104" s="11"/>
      <c r="Q104" s="11"/>
      <c r="R104" s="49"/>
      <c r="S104" s="49"/>
      <c r="T104" s="49"/>
      <c r="U104" s="49"/>
      <c r="V104" s="49"/>
      <c r="W104" s="11">
        <v>0.36755985539572628</v>
      </c>
      <c r="X104" s="50"/>
      <c r="Y104" s="75">
        <v>0.48116274682028254</v>
      </c>
      <c r="Z104" s="20">
        <v>-6.4820039321721019</v>
      </c>
      <c r="AA104" s="10">
        <v>-30.951970161437011</v>
      </c>
      <c r="AB104" s="20">
        <v>3.5691347681065468</v>
      </c>
      <c r="AC104" s="49">
        <v>1.255370464722791</v>
      </c>
      <c r="AD104" s="50">
        <v>8.6251879373932916E-2</v>
      </c>
      <c r="AE104" s="50">
        <v>4.5841909010697659</v>
      </c>
      <c r="AF104" s="50">
        <v>2.6788092465559962E-2</v>
      </c>
      <c r="AG104" s="50"/>
      <c r="AH104" s="50">
        <v>5.6474968443733342</v>
      </c>
      <c r="AI104" s="51"/>
      <c r="AJ104" s="20"/>
    </row>
    <row r="105" spans="1:36">
      <c r="A105" s="13" t="s">
        <v>156</v>
      </c>
      <c r="B105" s="13" t="s">
        <v>68</v>
      </c>
      <c r="C105" s="13">
        <v>103</v>
      </c>
      <c r="E105" s="14">
        <v>45321</v>
      </c>
      <c r="H105" s="16">
        <v>13</v>
      </c>
      <c r="I105" s="16">
        <v>7.56</v>
      </c>
      <c r="J105" s="16">
        <v>54.38</v>
      </c>
      <c r="P105" s="18">
        <v>1.95E-2</v>
      </c>
      <c r="Q105" s="18">
        <v>2.5123032436018051</v>
      </c>
      <c r="R105" s="21" t="s">
        <v>50</v>
      </c>
      <c r="S105" s="21">
        <v>2.170516798026684</v>
      </c>
      <c r="T105" s="21">
        <v>5.8920935564315808</v>
      </c>
      <c r="U105" s="21">
        <v>0.1252690658143952</v>
      </c>
      <c r="V105" s="21">
        <v>8.6561056040440863E-3</v>
      </c>
      <c r="W105" s="18">
        <v>0.21930706216306031</v>
      </c>
      <c r="Y105" s="75">
        <v>0.5011090087521789</v>
      </c>
      <c r="Z105" s="20">
        <v>-6.5404897908018524</v>
      </c>
      <c r="AA105" s="10">
        <v>-31.413617590324652</v>
      </c>
      <c r="AB105" s="17">
        <v>3.702130783292398</v>
      </c>
      <c r="AC105" s="18">
        <v>1.3083551056333871</v>
      </c>
      <c r="AD105" s="21">
        <v>0.10803769110509499</v>
      </c>
      <c r="AE105" s="21">
        <v>4.9306479434998236</v>
      </c>
      <c r="AF105" s="21">
        <v>2.8162308226133279E-2</v>
      </c>
      <c r="AG105" s="21"/>
      <c r="AH105" s="21">
        <v>5.9581701617553593</v>
      </c>
    </row>
    <row r="106" spans="1:36">
      <c r="A106" s="13" t="s">
        <v>156</v>
      </c>
      <c r="B106" s="13" t="s">
        <v>68</v>
      </c>
      <c r="C106" s="13">
        <v>104</v>
      </c>
      <c r="E106" s="14">
        <v>45328</v>
      </c>
      <c r="H106" s="16">
        <v>11.3</v>
      </c>
      <c r="I106" s="16">
        <v>7.77</v>
      </c>
      <c r="J106" s="16">
        <v>56</v>
      </c>
      <c r="P106" s="18">
        <v>2.0299999999999999E-2</v>
      </c>
      <c r="Q106" s="18">
        <v>2.4051931019614732</v>
      </c>
      <c r="R106" s="21" t="s">
        <v>50</v>
      </c>
      <c r="S106" s="21">
        <v>2.1932238515296651</v>
      </c>
      <c r="T106" s="21">
        <v>5.7612373640818593</v>
      </c>
      <c r="U106" s="21">
        <v>0.13787853672822059</v>
      </c>
      <c r="V106" s="21">
        <v>2.569630938746496E-2</v>
      </c>
      <c r="W106" s="18">
        <v>0.24736018650703259</v>
      </c>
      <c r="Y106" s="92">
        <v>0.51571149900000002</v>
      </c>
      <c r="Z106" s="20">
        <v>-6.4695978409476096</v>
      </c>
      <c r="AA106" s="10">
        <v>-30.81066351901374</v>
      </c>
      <c r="AB106" s="17">
        <v>3.709794296256296</v>
      </c>
      <c r="AC106" s="18">
        <v>1.343241967463501</v>
      </c>
      <c r="AD106" s="21">
        <v>0.12142233842242139</v>
      </c>
      <c r="AE106" s="21">
        <v>5.0026322597014818</v>
      </c>
      <c r="AF106" s="21">
        <v>2.8581530577957141E-2</v>
      </c>
      <c r="AG106" s="21"/>
      <c r="AH106" s="21">
        <v>5.9802603490120942</v>
      </c>
    </row>
    <row r="107" spans="1:36" ht="16.2">
      <c r="A107" s="13" t="s">
        <v>156</v>
      </c>
      <c r="B107" s="13" t="s">
        <v>68</v>
      </c>
      <c r="C107" s="13">
        <v>105</v>
      </c>
      <c r="E107" s="14">
        <v>45335</v>
      </c>
      <c r="Y107" s="92"/>
      <c r="AC107" s="18"/>
      <c r="AD107" s="21"/>
      <c r="AE107" s="21"/>
      <c r="AF107" s="21"/>
      <c r="AG107" s="21"/>
      <c r="AH107" s="21"/>
      <c r="AI107" s="46"/>
    </row>
    <row r="108" spans="1:36" s="56" customFormat="1" ht="16.2">
      <c r="A108" s="52" t="s">
        <v>156</v>
      </c>
      <c r="B108" s="52" t="s">
        <v>68</v>
      </c>
      <c r="C108" s="52">
        <v>106</v>
      </c>
      <c r="D108" s="53"/>
      <c r="E108" s="53">
        <v>45342</v>
      </c>
      <c r="F108" s="54"/>
      <c r="G108" s="82"/>
      <c r="H108" s="56">
        <v>10.1</v>
      </c>
      <c r="I108" s="56">
        <v>7.61</v>
      </c>
      <c r="J108" s="56">
        <v>63.05</v>
      </c>
      <c r="K108" s="57"/>
      <c r="M108" s="52"/>
      <c r="N108" s="52"/>
      <c r="O108" s="52"/>
      <c r="P108" s="58" t="s">
        <v>50</v>
      </c>
      <c r="Q108" s="58">
        <v>2.2787049019999999</v>
      </c>
      <c r="R108" s="59" t="s">
        <v>50</v>
      </c>
      <c r="S108" s="59">
        <v>1.7855488370000001</v>
      </c>
      <c r="T108" s="59">
        <v>5.8052076579999996</v>
      </c>
      <c r="U108" s="59">
        <v>0.139298378</v>
      </c>
      <c r="V108" s="59">
        <v>4.597362E-2</v>
      </c>
      <c r="W108" s="58">
        <v>0.21396899337232039</v>
      </c>
      <c r="X108" s="60"/>
      <c r="Y108" s="96">
        <v>0.35704843904720751</v>
      </c>
      <c r="Z108" s="57">
        <v>-6.5511235832799883</v>
      </c>
      <c r="AA108" s="61">
        <v>-31.789863674640959</v>
      </c>
      <c r="AB108" s="57">
        <v>3.8356212769941802</v>
      </c>
      <c r="AC108" s="59">
        <v>1.328965344892939</v>
      </c>
      <c r="AD108" s="57">
        <v>0.10820256421733949</v>
      </c>
      <c r="AE108" s="60">
        <v>5.0965334379616438</v>
      </c>
      <c r="AF108" s="57">
        <v>2.9072619596335621E-2</v>
      </c>
      <c r="AG108" s="57"/>
      <c r="AH108" s="57">
        <v>6.1293726595362514</v>
      </c>
      <c r="AI108" s="62"/>
      <c r="AJ108" s="57"/>
    </row>
    <row r="109" spans="1:36">
      <c r="A109" s="13" t="s">
        <v>156</v>
      </c>
      <c r="B109" s="13" t="s">
        <v>68</v>
      </c>
      <c r="C109" s="13">
        <v>107</v>
      </c>
      <c r="E109" s="14">
        <v>45349</v>
      </c>
      <c r="H109" s="16">
        <v>15.6</v>
      </c>
      <c r="I109" s="16">
        <v>7.51</v>
      </c>
      <c r="J109" s="16">
        <v>63.47</v>
      </c>
      <c r="P109" s="18" t="s">
        <v>50</v>
      </c>
      <c r="Q109" s="18">
        <v>2.3526484179999998</v>
      </c>
      <c r="R109" s="21" t="s">
        <v>50</v>
      </c>
      <c r="S109" s="21">
        <v>1.8333404209999999</v>
      </c>
      <c r="T109" s="21">
        <v>6.1547137420000002</v>
      </c>
      <c r="U109" s="21">
        <v>0.12296025100000001</v>
      </c>
      <c r="V109" s="21">
        <v>7.1315040999999996E-2</v>
      </c>
      <c r="W109" s="18">
        <v>0.31180184548529111</v>
      </c>
      <c r="Y109" s="92">
        <v>0.34512924913807641</v>
      </c>
      <c r="Z109" s="20">
        <v>-6.5011447586327469</v>
      </c>
      <c r="AA109" s="10">
        <v>-31.60088318926422</v>
      </c>
      <c r="AB109" s="17">
        <v>3.6907943760122701</v>
      </c>
      <c r="AC109" s="18">
        <v>1.3485065125271261</v>
      </c>
      <c r="AD109" s="21">
        <v>0.11835630088596071</v>
      </c>
      <c r="AE109" s="21">
        <v>5.1235332877731006</v>
      </c>
      <c r="AF109" s="21">
        <v>2.8778017864547031E-2</v>
      </c>
      <c r="AG109" s="21"/>
      <c r="AH109" s="21">
        <v>6.0112814799949588</v>
      </c>
    </row>
    <row r="110" spans="1:36" ht="16.2">
      <c r="A110" s="13" t="s">
        <v>156</v>
      </c>
      <c r="B110" s="13" t="s">
        <v>68</v>
      </c>
      <c r="C110" s="13">
        <v>108</v>
      </c>
      <c r="E110" s="14">
        <v>45356</v>
      </c>
      <c r="H110" s="16">
        <v>15.8</v>
      </c>
      <c r="I110" s="16">
        <v>6.43</v>
      </c>
      <c r="J110" s="16">
        <v>62.85</v>
      </c>
      <c r="P110" s="18" t="s">
        <v>50</v>
      </c>
      <c r="Q110" s="18">
        <v>2.3895525329999998</v>
      </c>
      <c r="R110" s="21" t="s">
        <v>50</v>
      </c>
      <c r="S110" s="21">
        <v>1.7748954729999999</v>
      </c>
      <c r="T110" s="21">
        <v>6.4305649220000003</v>
      </c>
      <c r="U110" s="21">
        <v>0.13155926500000001</v>
      </c>
      <c r="W110" s="18">
        <v>0.26694901662237219</v>
      </c>
      <c r="Y110" s="92">
        <v>0.48714454004296792</v>
      </c>
      <c r="Z110" s="20">
        <v>-6.5546681807727012</v>
      </c>
      <c r="AA110" s="10">
        <v>-31.811814221036801</v>
      </c>
      <c r="AB110" s="17">
        <v>3.8414207250493311</v>
      </c>
      <c r="AC110" s="18">
        <v>1.381617897489632</v>
      </c>
      <c r="AD110" s="21">
        <v>0.11996865371341001</v>
      </c>
      <c r="AE110" s="21">
        <v>5.3056793798819619</v>
      </c>
      <c r="AF110" s="21">
        <v>3.0143383270767571E-2</v>
      </c>
      <c r="AG110" s="21"/>
      <c r="AH110" s="21">
        <v>6.0283992054211097</v>
      </c>
      <c r="AI110" s="46"/>
    </row>
    <row r="111" spans="1:36" ht="16.2">
      <c r="A111" s="13" t="s">
        <v>156</v>
      </c>
      <c r="B111" s="13" t="s">
        <v>68</v>
      </c>
      <c r="C111" s="13">
        <v>109</v>
      </c>
      <c r="E111" s="14">
        <v>45363</v>
      </c>
      <c r="H111" s="16">
        <v>15.8</v>
      </c>
      <c r="I111" s="16">
        <v>7.84</v>
      </c>
      <c r="J111" s="16">
        <v>66.209999999999994</v>
      </c>
      <c r="P111" s="18">
        <v>1.18E-2</v>
      </c>
      <c r="Q111" s="18">
        <v>0.91453604899999996</v>
      </c>
      <c r="R111" s="21" t="s">
        <v>50</v>
      </c>
      <c r="S111" s="21">
        <v>0.71514487999999998</v>
      </c>
      <c r="T111" s="21">
        <v>2.5065395260000001</v>
      </c>
      <c r="U111" s="21" t="s">
        <v>50</v>
      </c>
      <c r="V111" s="21" t="s">
        <v>50</v>
      </c>
      <c r="W111" s="18">
        <v>0.22684958520876969</v>
      </c>
      <c r="Y111" s="92">
        <v>0.44573241242611977</v>
      </c>
      <c r="Z111" s="20">
        <v>-6.594014841034106</v>
      </c>
      <c r="AA111" s="10">
        <v>-32.456997553777263</v>
      </c>
      <c r="AB111" s="17">
        <v>3.8925004187354371</v>
      </c>
      <c r="AC111" s="18">
        <v>1.4332258055074489</v>
      </c>
      <c r="AD111" s="21">
        <v>0.22887648838878591</v>
      </c>
      <c r="AE111" s="21">
        <v>5.4614130420243008</v>
      </c>
      <c r="AF111" s="21">
        <v>3.9036888063236692E-2</v>
      </c>
      <c r="AG111" s="21"/>
      <c r="AH111" s="21">
        <v>5.586015818725147</v>
      </c>
      <c r="AI111" s="46"/>
    </row>
    <row r="112" spans="1:36" ht="16.2">
      <c r="A112" s="13" t="s">
        <v>156</v>
      </c>
      <c r="B112" s="13" t="s">
        <v>68</v>
      </c>
      <c r="C112" s="13">
        <v>110</v>
      </c>
      <c r="E112" s="14">
        <v>45370</v>
      </c>
      <c r="H112" s="16">
        <v>16</v>
      </c>
      <c r="I112" s="16">
        <v>7.82</v>
      </c>
      <c r="J112" s="16">
        <v>66.010000000000005</v>
      </c>
      <c r="P112" s="18">
        <v>1.8700000000000001E-2</v>
      </c>
      <c r="Q112" s="18">
        <v>2.3573900409999999</v>
      </c>
      <c r="R112" s="21" t="s">
        <v>50</v>
      </c>
      <c r="S112" s="21">
        <v>1.7569351280000001</v>
      </c>
      <c r="T112" s="21">
        <v>6.653105021</v>
      </c>
      <c r="U112" s="21">
        <v>0.13262855200000001</v>
      </c>
      <c r="V112" s="21">
        <v>1.376636E-2</v>
      </c>
      <c r="W112" s="18">
        <v>0.22317699499839069</v>
      </c>
      <c r="Y112" s="92"/>
      <c r="Z112" s="20">
        <v>-6.6246112169136158</v>
      </c>
      <c r="AA112" s="10">
        <v>-32.704281887317158</v>
      </c>
      <c r="AB112" s="17">
        <v>3.9673731655556952</v>
      </c>
      <c r="AC112" s="18">
        <v>1.4880918194753161</v>
      </c>
      <c r="AD112" s="21">
        <v>0.27021742985315872</v>
      </c>
      <c r="AE112" s="21">
        <v>5.6701924699321076</v>
      </c>
      <c r="AF112" s="21">
        <v>4.0757290563680083E-2</v>
      </c>
      <c r="AG112" s="21"/>
      <c r="AH112" s="21">
        <v>5.5977112193867269</v>
      </c>
      <c r="AI112" s="46"/>
    </row>
    <row r="113" spans="1:36" ht="16.2">
      <c r="A113" s="13" t="s">
        <v>156</v>
      </c>
      <c r="B113" s="13" t="s">
        <v>68</v>
      </c>
      <c r="C113" s="13">
        <v>111</v>
      </c>
      <c r="E113" s="14">
        <v>45377</v>
      </c>
      <c r="H113" s="16">
        <v>12.1</v>
      </c>
      <c r="I113" s="16">
        <v>7.91</v>
      </c>
      <c r="J113" s="16">
        <v>67.39</v>
      </c>
      <c r="P113" s="18">
        <v>5.6639857000000002E-2</v>
      </c>
      <c r="Q113" s="18">
        <v>2.3958343480000002</v>
      </c>
      <c r="R113" s="21" t="s">
        <v>50</v>
      </c>
      <c r="S113" s="21">
        <v>1.756948384</v>
      </c>
      <c r="T113" s="21">
        <v>6.9283923979999997</v>
      </c>
      <c r="U113" s="21" t="s">
        <v>50</v>
      </c>
      <c r="V113" s="21" t="s">
        <v>50</v>
      </c>
      <c r="W113" s="18">
        <v>0.236871637435497</v>
      </c>
      <c r="Y113" s="92"/>
      <c r="Z113" s="20">
        <v>-6.6929194049236864</v>
      </c>
      <c r="AA113" s="10">
        <v>-33.057692414001266</v>
      </c>
      <c r="AB113" s="17">
        <v>4.0848209020522468</v>
      </c>
      <c r="AC113" s="18">
        <v>1.513665389495028</v>
      </c>
      <c r="AD113" s="21">
        <v>0.34801873984941978</v>
      </c>
      <c r="AE113" s="21">
        <v>5.8014035553654848</v>
      </c>
      <c r="AF113" s="21">
        <v>4.1295332663873717E-2</v>
      </c>
      <c r="AG113" s="21"/>
      <c r="AH113" s="21">
        <v>5.7027122854246084</v>
      </c>
      <c r="AI113" s="46"/>
    </row>
    <row r="114" spans="1:36" ht="16.2">
      <c r="A114" s="13" t="s">
        <v>156</v>
      </c>
      <c r="B114" s="13" t="s">
        <v>68</v>
      </c>
      <c r="C114" s="13">
        <v>112</v>
      </c>
      <c r="E114" s="14">
        <v>45384</v>
      </c>
      <c r="H114" s="16">
        <v>14.2</v>
      </c>
      <c r="I114" s="16">
        <v>7.4</v>
      </c>
      <c r="J114" s="16">
        <v>36.450000000000003</v>
      </c>
      <c r="P114" s="18">
        <v>2.4500000000000001E-2</v>
      </c>
      <c r="Q114" s="18">
        <v>2.2990196379999999</v>
      </c>
      <c r="R114" s="21" t="s">
        <v>50</v>
      </c>
      <c r="S114" s="21">
        <v>1.8192723740000001</v>
      </c>
      <c r="T114" s="21">
        <v>6.9372521730000001</v>
      </c>
      <c r="U114" s="21">
        <v>0.130777693</v>
      </c>
      <c r="V114" s="21">
        <v>2.130978E-2</v>
      </c>
      <c r="W114" s="18">
        <v>0.49646680750521172</v>
      </c>
      <c r="Y114" s="92">
        <v>0.35868745839705096</v>
      </c>
      <c r="Z114" s="20">
        <v>-6.6249669887261691</v>
      </c>
      <c r="AA114" s="10">
        <v>-32.731757924377149</v>
      </c>
      <c r="AB114" s="17">
        <v>4.0539647032882931</v>
      </c>
      <c r="AC114" s="18">
        <v>1.5475729228104029</v>
      </c>
      <c r="AD114" s="21">
        <v>0.26465811087731078</v>
      </c>
      <c r="AE114" s="21">
        <v>5.9792049808013559</v>
      </c>
      <c r="AF114" s="21">
        <v>4.2438724482428497E-2</v>
      </c>
      <c r="AG114" s="21"/>
      <c r="AH114" s="21">
        <v>5.7070287764808727</v>
      </c>
      <c r="AI114" s="46"/>
    </row>
    <row r="115" spans="1:36" s="66" customFormat="1" ht="16.2">
      <c r="A115" s="63" t="s">
        <v>156</v>
      </c>
      <c r="B115" s="63" t="s">
        <v>68</v>
      </c>
      <c r="C115" s="63">
        <v>113</v>
      </c>
      <c r="D115" s="64"/>
      <c r="E115" s="64">
        <v>45391</v>
      </c>
      <c r="F115" s="65"/>
      <c r="H115" s="66">
        <v>16.100000000000001</v>
      </c>
      <c r="I115" s="66">
        <v>7.61</v>
      </c>
      <c r="J115" s="66">
        <v>70.61</v>
      </c>
      <c r="K115" s="67"/>
      <c r="M115" s="63"/>
      <c r="N115" s="63"/>
      <c r="O115" s="63"/>
      <c r="P115" s="68">
        <v>2.4500000000000001E-2</v>
      </c>
      <c r="Q115" s="68">
        <v>2.322996437</v>
      </c>
      <c r="R115" s="69" t="s">
        <v>50</v>
      </c>
      <c r="S115" s="69">
        <v>1.832585076</v>
      </c>
      <c r="T115" s="69">
        <v>7.1218029070000002</v>
      </c>
      <c r="U115" s="69">
        <v>0.16471602299999999</v>
      </c>
      <c r="V115" s="69" t="s">
        <v>50</v>
      </c>
      <c r="W115" s="68">
        <v>0.37401684562468501</v>
      </c>
      <c r="X115" s="70"/>
      <c r="Y115" s="97">
        <v>0.34196371260082564</v>
      </c>
      <c r="Z115" s="67">
        <v>-6.6327939686023223</v>
      </c>
      <c r="AA115" s="71">
        <v>-32.816590188799857</v>
      </c>
      <c r="AB115" s="67">
        <v>4.0999790351253598</v>
      </c>
      <c r="AC115" s="68">
        <v>1.639579368976851</v>
      </c>
      <c r="AD115" s="69">
        <v>0.27322967972741918</v>
      </c>
      <c r="AE115" s="69">
        <v>6.2055141454640861</v>
      </c>
      <c r="AF115" s="69">
        <v>4.388036591083045E-2</v>
      </c>
      <c r="AG115" s="69"/>
      <c r="AH115" s="69">
        <v>5.7763232621912142</v>
      </c>
      <c r="AI115" s="72"/>
      <c r="AJ115" s="67"/>
    </row>
    <row r="116" spans="1:36" s="66" customFormat="1" ht="16.2">
      <c r="A116" s="63" t="s">
        <v>156</v>
      </c>
      <c r="B116" s="63" t="s">
        <v>68</v>
      </c>
      <c r="C116" s="63">
        <v>114</v>
      </c>
      <c r="D116" s="64"/>
      <c r="E116" s="64">
        <v>45398</v>
      </c>
      <c r="F116" s="65"/>
      <c r="H116" s="66">
        <v>13.5</v>
      </c>
      <c r="I116" s="66">
        <v>7.82</v>
      </c>
      <c r="J116" s="66">
        <v>72.39</v>
      </c>
      <c r="K116" s="67"/>
      <c r="M116" s="63"/>
      <c r="N116" s="63"/>
      <c r="O116" s="63"/>
      <c r="P116" s="68">
        <v>5.4954664E-2</v>
      </c>
      <c r="Q116" s="68">
        <v>2.3724371350000002</v>
      </c>
      <c r="R116" s="69" t="s">
        <v>50</v>
      </c>
      <c r="S116" s="69">
        <v>1.814638754</v>
      </c>
      <c r="T116" s="69">
        <v>7.3399486989999998</v>
      </c>
      <c r="U116" s="69" t="s">
        <v>50</v>
      </c>
      <c r="V116" s="69" t="s">
        <v>50</v>
      </c>
      <c r="W116" s="68">
        <v>0.27838782958040847</v>
      </c>
      <c r="X116" s="70"/>
      <c r="Y116" s="97"/>
      <c r="Z116" s="67">
        <v>-6.695054035799</v>
      </c>
      <c r="AA116" s="71">
        <v>-33.172061418263482</v>
      </c>
      <c r="AB116" s="67">
        <v>4.2609784779581954</v>
      </c>
      <c r="AC116" s="68">
        <v>1.6974522552926361</v>
      </c>
      <c r="AD116" s="69">
        <v>0.29250586717827298</v>
      </c>
      <c r="AE116" s="69">
        <v>6.5136725805487536</v>
      </c>
      <c r="AF116" s="69">
        <v>4.5629214305698343E-2</v>
      </c>
      <c r="AG116" s="69"/>
      <c r="AH116" s="69">
        <v>5.8729657581196157</v>
      </c>
      <c r="AI116" s="72"/>
      <c r="AJ116" s="67"/>
    </row>
    <row r="117" spans="1:36" ht="16.2">
      <c r="A117" s="13" t="s">
        <v>156</v>
      </c>
      <c r="B117" s="13" t="s">
        <v>68</v>
      </c>
      <c r="C117" s="13">
        <v>115</v>
      </c>
      <c r="E117" s="14">
        <v>45405</v>
      </c>
      <c r="H117" s="16">
        <v>14.6</v>
      </c>
      <c r="I117" s="16">
        <v>7.86</v>
      </c>
      <c r="J117" s="16">
        <v>74.55</v>
      </c>
      <c r="P117" s="18">
        <v>5.5283276999999999E-2</v>
      </c>
      <c r="Q117" s="18">
        <v>2.335579552</v>
      </c>
      <c r="R117" s="21" t="s">
        <v>50</v>
      </c>
      <c r="S117" s="21">
        <v>1.964156317</v>
      </c>
      <c r="T117" s="21">
        <v>7.4486025060000003</v>
      </c>
      <c r="U117" s="21" t="s">
        <v>50</v>
      </c>
      <c r="V117" s="21" t="s">
        <v>50</v>
      </c>
      <c r="W117" s="18">
        <v>1.595827175227462</v>
      </c>
      <c r="Y117" s="92"/>
      <c r="Z117" s="20">
        <v>-6.6363516867278456</v>
      </c>
      <c r="AA117" s="10">
        <v>-32.741374537348143</v>
      </c>
      <c r="AB117" s="17">
        <v>4.1227643023011709</v>
      </c>
      <c r="AC117" s="18">
        <v>1.744719842964523</v>
      </c>
      <c r="AD117" s="21">
        <v>0.28200841868167131</v>
      </c>
      <c r="AE117" s="21">
        <v>6.6529705986224448</v>
      </c>
      <c r="AF117" s="21">
        <v>4.6264984085526838E-2</v>
      </c>
      <c r="AG117" s="21"/>
      <c r="AH117" s="21">
        <v>5.9104893153692322</v>
      </c>
      <c r="AI117" s="46"/>
    </row>
    <row r="118" spans="1:36" ht="16.2">
      <c r="A118" s="13" t="s">
        <v>156</v>
      </c>
      <c r="B118" s="13" t="s">
        <v>68</v>
      </c>
      <c r="C118" s="13">
        <v>116</v>
      </c>
      <c r="E118" s="14">
        <v>45412</v>
      </c>
      <c r="G118" s="85"/>
      <c r="H118" s="16">
        <v>20.7</v>
      </c>
      <c r="I118" s="16">
        <v>6.69</v>
      </c>
      <c r="J118" s="16">
        <v>66.55</v>
      </c>
      <c r="P118" s="18">
        <v>5.5365444999999999E-2</v>
      </c>
      <c r="Q118" s="18">
        <v>2.372915077</v>
      </c>
      <c r="R118" s="21" t="s">
        <v>50</v>
      </c>
      <c r="S118" s="21">
        <v>2.1404812720000002</v>
      </c>
      <c r="T118" s="21">
        <v>7.3708895559999998</v>
      </c>
      <c r="U118" s="21" t="s">
        <v>50</v>
      </c>
      <c r="V118" s="21" t="s">
        <v>50</v>
      </c>
      <c r="W118" s="18">
        <v>0.31962575608832999</v>
      </c>
      <c r="Y118" s="92"/>
      <c r="Z118" s="20">
        <v>-6.6342170558525329</v>
      </c>
      <c r="AA118" s="10">
        <v>-32.434673273666007</v>
      </c>
      <c r="AB118" s="17">
        <v>4.1485049938208869</v>
      </c>
      <c r="AC118" s="18">
        <v>1.6898265268722961</v>
      </c>
      <c r="AD118" s="21">
        <v>0.2861633627830043</v>
      </c>
      <c r="AE118" s="21">
        <v>6.5903267755595856</v>
      </c>
      <c r="AF118" s="21">
        <v>4.6178178786420603E-2</v>
      </c>
      <c r="AG118" s="21"/>
      <c r="AH118" s="21">
        <v>5.848733641302351</v>
      </c>
      <c r="AI118" s="46"/>
    </row>
    <row r="119" spans="1:36" ht="16.2">
      <c r="A119" s="13" t="s">
        <v>156</v>
      </c>
      <c r="B119" s="13" t="s">
        <v>68</v>
      </c>
      <c r="C119" s="13">
        <v>117</v>
      </c>
      <c r="E119" s="14">
        <v>45419</v>
      </c>
      <c r="G119" s="85"/>
      <c r="H119" s="16">
        <v>17.399999999999999</v>
      </c>
      <c r="I119" s="16">
        <v>7.91</v>
      </c>
      <c r="J119" s="16">
        <v>66.709999999999994</v>
      </c>
      <c r="P119" s="18">
        <v>5.6673209000000002E-2</v>
      </c>
      <c r="Q119" s="18">
        <v>2.4435526830000001</v>
      </c>
      <c r="R119" s="21" t="s">
        <v>50</v>
      </c>
      <c r="S119" s="21">
        <v>2.2798543969999998</v>
      </c>
      <c r="T119" s="21">
        <v>7.7012616879999998</v>
      </c>
      <c r="U119" s="21" t="s">
        <v>50</v>
      </c>
      <c r="V119" s="21" t="s">
        <v>50</v>
      </c>
      <c r="W119" s="18">
        <v>0.22904817616403289</v>
      </c>
      <c r="Y119" s="92"/>
      <c r="Z119" s="20">
        <v>-6.6192746397253304</v>
      </c>
      <c r="AA119" s="10">
        <v>-32.392428866686267</v>
      </c>
      <c r="AB119" s="17">
        <v>3.970263487105623</v>
      </c>
      <c r="AC119" s="18">
        <v>1.7209483212917569</v>
      </c>
      <c r="AD119" s="21">
        <v>0.26838532909545321</v>
      </c>
      <c r="AE119" s="21">
        <v>6.6667378678858187</v>
      </c>
      <c r="AF119" s="21">
        <v>4.6622172726771167E-2</v>
      </c>
      <c r="AG119" s="21"/>
      <c r="AH119" s="21">
        <v>5.9706176832659992</v>
      </c>
      <c r="AI119" s="46"/>
    </row>
    <row r="120" spans="1:36" ht="16.2">
      <c r="A120" s="13" t="s">
        <v>156</v>
      </c>
      <c r="B120" s="13" t="s">
        <v>68</v>
      </c>
      <c r="C120" s="13">
        <v>118</v>
      </c>
      <c r="E120" s="14">
        <v>45426</v>
      </c>
      <c r="H120" s="16">
        <v>18.899999999999999</v>
      </c>
      <c r="I120" s="16">
        <v>7.73</v>
      </c>
      <c r="J120" s="16">
        <v>73.150000000000006</v>
      </c>
      <c r="P120" s="18">
        <v>2.3599999999999999E-2</v>
      </c>
      <c r="Q120" s="18">
        <v>2.2934181150000001</v>
      </c>
      <c r="R120" s="21" t="s">
        <v>50</v>
      </c>
      <c r="S120" s="21">
        <v>2.0060720129999998</v>
      </c>
      <c r="T120" s="21">
        <v>7.4186471879999996</v>
      </c>
      <c r="U120" s="21">
        <v>0.104762273</v>
      </c>
      <c r="V120" s="21">
        <v>4.6281070000000001E-2</v>
      </c>
      <c r="W120" s="18">
        <v>0.32081450449543097</v>
      </c>
      <c r="Y120" s="92">
        <v>0.39790296959918819</v>
      </c>
      <c r="Z120" s="20">
        <v>-6.6235439014759594</v>
      </c>
      <c r="AA120" s="10">
        <v>-32.387964010664028</v>
      </c>
      <c r="AB120" s="17">
        <v>4.2618111232265701</v>
      </c>
      <c r="AC120" s="18">
        <v>1.8608912645303659</v>
      </c>
      <c r="AD120" s="21">
        <v>0.30362446661994019</v>
      </c>
      <c r="AE120" s="21">
        <v>8.3131306862684511</v>
      </c>
      <c r="AF120" s="21">
        <v>4.9731688428935848E-2</v>
      </c>
      <c r="AG120" s="21"/>
      <c r="AH120" s="21">
        <v>5.895127327653916</v>
      </c>
      <c r="AI120" s="46"/>
    </row>
    <row r="121" spans="1:36" ht="16.2">
      <c r="A121" s="13" t="s">
        <v>156</v>
      </c>
      <c r="B121" s="13" t="s">
        <v>68</v>
      </c>
      <c r="C121" s="13">
        <v>119</v>
      </c>
      <c r="E121" s="14">
        <v>45433</v>
      </c>
      <c r="H121" s="16">
        <v>15.4</v>
      </c>
      <c r="I121" s="16">
        <v>7.17</v>
      </c>
      <c r="J121" s="16">
        <v>75.84</v>
      </c>
      <c r="P121" s="18">
        <v>4.4424418E-2</v>
      </c>
      <c r="Q121" s="18">
        <v>2.48794804</v>
      </c>
      <c r="R121" s="21" t="s">
        <v>50</v>
      </c>
      <c r="S121" s="21">
        <v>2.3108168280000001</v>
      </c>
      <c r="T121" s="21">
        <v>8.2620643470000008</v>
      </c>
      <c r="U121" s="21">
        <v>0.15572720200000001</v>
      </c>
      <c r="V121" s="21">
        <v>7.6313149999999996E-3</v>
      </c>
      <c r="W121" s="18">
        <v>0.43253339680145342</v>
      </c>
      <c r="Y121" s="92">
        <v>0.41583126842785695</v>
      </c>
      <c r="Z121" s="20">
        <v>-6.6616114854190709</v>
      </c>
      <c r="AA121" s="10">
        <v>-32.888371335619091</v>
      </c>
      <c r="AB121" s="17">
        <v>4.1136902335612788</v>
      </c>
      <c r="AC121" s="18">
        <v>1.7988459277502751</v>
      </c>
      <c r="AD121" s="21">
        <v>0.30092615800364048</v>
      </c>
      <c r="AE121" s="21">
        <v>7.0675715313907821</v>
      </c>
      <c r="AF121" s="21">
        <v>4.8580044071068362E-2</v>
      </c>
      <c r="AG121" s="21"/>
      <c r="AH121" s="21">
        <v>5.8790302125129061</v>
      </c>
      <c r="AI121" s="46"/>
    </row>
    <row r="122" spans="1:36" ht="16.2">
      <c r="A122" s="13" t="s">
        <v>156</v>
      </c>
      <c r="B122" s="13" t="s">
        <v>68</v>
      </c>
      <c r="C122" s="13">
        <v>120</v>
      </c>
      <c r="E122" s="14">
        <v>45440</v>
      </c>
      <c r="G122" s="85"/>
      <c r="H122" s="16">
        <v>14.7</v>
      </c>
      <c r="I122" s="16">
        <v>7.1</v>
      </c>
      <c r="J122" s="16">
        <v>69.92</v>
      </c>
      <c r="P122" s="18">
        <v>6.2147499000000002E-2</v>
      </c>
      <c r="Q122" s="18">
        <v>2.4259305819999999</v>
      </c>
      <c r="R122" s="21" t="s">
        <v>50</v>
      </c>
      <c r="S122" s="21">
        <v>2.6517793630000002</v>
      </c>
      <c r="T122" s="21">
        <v>7.1024080979999997</v>
      </c>
      <c r="U122" s="21" t="s">
        <v>50</v>
      </c>
      <c r="V122" s="21" t="s">
        <v>50</v>
      </c>
      <c r="W122" s="18">
        <v>0.40751097298950612</v>
      </c>
      <c r="Y122" s="92"/>
      <c r="Z122" s="20">
        <v>-6.6669480626073572</v>
      </c>
      <c r="AA122" s="10">
        <v>-32.51332342975023</v>
      </c>
      <c r="AB122" s="17">
        <v>3.9277383129868428</v>
      </c>
      <c r="AC122" s="18">
        <v>1.594396321295563</v>
      </c>
      <c r="AD122" s="21">
        <v>0.26926839666240499</v>
      </c>
      <c r="AE122" s="21">
        <v>6.296203884158837</v>
      </c>
      <c r="AF122" s="21">
        <v>4.4290035586895531E-2</v>
      </c>
      <c r="AG122" s="21"/>
      <c r="AH122" s="21">
        <v>5.7036983371688974</v>
      </c>
      <c r="AI122" s="46"/>
    </row>
    <row r="123" spans="1:36" ht="16.2">
      <c r="A123" s="13" t="s">
        <v>156</v>
      </c>
      <c r="B123" s="32" t="s">
        <v>157</v>
      </c>
      <c r="C123" s="13">
        <v>121</v>
      </c>
      <c r="E123" s="14">
        <v>45447</v>
      </c>
      <c r="H123" s="16">
        <v>16</v>
      </c>
      <c r="I123" s="16">
        <v>9.31</v>
      </c>
      <c r="J123" s="16">
        <v>66.48</v>
      </c>
      <c r="P123" s="18">
        <v>1.0509378999999999E-2</v>
      </c>
      <c r="Q123" s="18">
        <v>2.4973919449999999</v>
      </c>
      <c r="R123" s="21" t="s">
        <v>50</v>
      </c>
      <c r="S123" s="21">
        <v>3.1445767739999999</v>
      </c>
      <c r="T123" s="21">
        <v>7.2651245360000001</v>
      </c>
      <c r="U123" s="21">
        <v>0.13924841299999999</v>
      </c>
      <c r="V123" s="21" t="s">
        <v>50</v>
      </c>
      <c r="W123" s="18">
        <v>0.34173348714846158</v>
      </c>
      <c r="Y123" s="92">
        <v>0.48157934706722583</v>
      </c>
      <c r="Z123" s="20">
        <v>-6.5847647739077422</v>
      </c>
      <c r="AA123" s="10">
        <v>-31.842221224559982</v>
      </c>
      <c r="AB123" s="17">
        <v>3.910792095545792</v>
      </c>
      <c r="AC123" s="18">
        <v>1.5507147788543769</v>
      </c>
      <c r="AD123" s="21">
        <v>0.26392196371539878</v>
      </c>
      <c r="AE123" s="21">
        <v>5.9563400946129388</v>
      </c>
      <c r="AF123" s="21">
        <v>4.2774626882064501E-2</v>
      </c>
      <c r="AG123" s="21"/>
      <c r="AH123" s="21">
        <v>5.6767680040872124</v>
      </c>
      <c r="AI123" s="46"/>
    </row>
    <row r="124" spans="1:36" ht="16.2">
      <c r="A124" s="13" t="s">
        <v>156</v>
      </c>
      <c r="B124" s="32" t="s">
        <v>157</v>
      </c>
      <c r="C124" s="13">
        <v>122</v>
      </c>
      <c r="E124" s="14">
        <v>45454</v>
      </c>
      <c r="H124" s="16">
        <v>14.4</v>
      </c>
      <c r="I124" s="16">
        <v>7.66</v>
      </c>
      <c r="J124" s="16">
        <v>63.3</v>
      </c>
      <c r="P124" s="18">
        <v>5.1771376000000001E-2</v>
      </c>
      <c r="Q124" s="18">
        <v>2.1866760909999998</v>
      </c>
      <c r="R124" s="21" t="s">
        <v>50</v>
      </c>
      <c r="S124" s="21">
        <v>2.0244942620000002</v>
      </c>
      <c r="T124" s="21">
        <v>5.8024212830000002</v>
      </c>
      <c r="U124" s="21">
        <v>0.152443888</v>
      </c>
      <c r="V124" s="21">
        <v>5.4604832999999998E-2</v>
      </c>
      <c r="W124" s="18">
        <v>0.55933425402527293</v>
      </c>
      <c r="Y124" s="92">
        <v>2.0170080116607831</v>
      </c>
      <c r="Z124" s="20">
        <v>-6.6850924250475332</v>
      </c>
      <c r="AA124" s="10">
        <v>-32.444633337100257</v>
      </c>
      <c r="AB124" s="17">
        <v>4.5545749796250732</v>
      </c>
      <c r="AC124" s="18">
        <v>1.5509611718972121</v>
      </c>
      <c r="AD124" s="21">
        <v>0.25784986181890501</v>
      </c>
      <c r="AE124" s="21">
        <v>6.0160899879910339</v>
      </c>
      <c r="AF124" s="21">
        <v>4.3969855851744087E-2</v>
      </c>
      <c r="AG124" s="21"/>
      <c r="AH124" s="21">
        <v>5.7798451612119717</v>
      </c>
      <c r="AI124" s="46"/>
    </row>
    <row r="125" spans="1:36" ht="16.2">
      <c r="A125" s="13" t="s">
        <v>156</v>
      </c>
      <c r="B125" s="32" t="s">
        <v>157</v>
      </c>
      <c r="C125" s="13">
        <v>123</v>
      </c>
      <c r="E125" s="14">
        <v>45461</v>
      </c>
      <c r="H125" s="16">
        <v>19.8</v>
      </c>
      <c r="I125" s="16">
        <v>7.58</v>
      </c>
      <c r="J125" s="16">
        <v>64.88</v>
      </c>
      <c r="P125" s="18">
        <v>3.5280587000000002E-2</v>
      </c>
      <c r="Q125" s="18">
        <v>1.9037248529999999</v>
      </c>
      <c r="R125" s="21" t="s">
        <v>50</v>
      </c>
      <c r="S125" s="21">
        <v>1.6062106519999999</v>
      </c>
      <c r="T125" s="21">
        <v>5.9553695639999997</v>
      </c>
      <c r="U125" s="21">
        <v>0.11307465</v>
      </c>
      <c r="V125" s="21">
        <v>1.3742722000000001E-2</v>
      </c>
      <c r="W125" s="18">
        <v>0.2238512603208114</v>
      </c>
      <c r="Y125" s="92">
        <v>0.48212114516752658</v>
      </c>
      <c r="Z125" s="20">
        <v>-6.6601883981688612</v>
      </c>
      <c r="AA125" s="10">
        <v>-32.717676455383902</v>
      </c>
      <c r="AB125" s="17">
        <v>3.999645149467483</v>
      </c>
      <c r="AC125" s="18">
        <v>1.6147545125041169</v>
      </c>
      <c r="AD125" s="21">
        <v>0.27394972111976851</v>
      </c>
      <c r="AE125" s="21">
        <v>6.1636760520156217</v>
      </c>
      <c r="AF125" s="21">
        <v>4.4382974691658583E-2</v>
      </c>
      <c r="AG125" s="21"/>
      <c r="AH125" s="21">
        <v>6.0036310422382604</v>
      </c>
      <c r="AI125" s="46"/>
    </row>
    <row r="126" spans="1:36" ht="16.2">
      <c r="A126" s="13" t="s">
        <v>67</v>
      </c>
      <c r="B126" s="13" t="s">
        <v>68</v>
      </c>
      <c r="C126" s="13">
        <v>124</v>
      </c>
      <c r="E126" s="14">
        <v>45467</v>
      </c>
      <c r="H126" s="16">
        <v>16.8</v>
      </c>
      <c r="I126" s="16">
        <v>7.8</v>
      </c>
      <c r="J126" s="16">
        <v>62.03</v>
      </c>
      <c r="W126" s="18">
        <v>0.31236462200689891</v>
      </c>
      <c r="Y126" s="92">
        <v>0.76408726024915385</v>
      </c>
      <c r="Z126" s="20">
        <v>-6.8198594944742892</v>
      </c>
      <c r="AA126" s="10">
        <v>-33.194533086493387</v>
      </c>
      <c r="AB126" s="17">
        <v>4.2593601018961547</v>
      </c>
      <c r="AC126" s="18">
        <v>1.67084228123907</v>
      </c>
      <c r="AD126" s="21">
        <v>0.25860085345738387</v>
      </c>
      <c r="AE126" s="21">
        <v>6.8097183304243849</v>
      </c>
      <c r="AF126" s="21">
        <v>4.5797962992293398E-2</v>
      </c>
      <c r="AG126" s="21"/>
      <c r="AH126" s="21">
        <v>6.1029000771311761</v>
      </c>
      <c r="AI126" s="46"/>
    </row>
    <row r="127" spans="1:36" ht="16.2">
      <c r="A127" s="13" t="s">
        <v>67</v>
      </c>
      <c r="B127" s="13" t="s">
        <v>68</v>
      </c>
      <c r="C127" s="13">
        <v>125</v>
      </c>
      <c r="E127" s="14">
        <v>45477</v>
      </c>
      <c r="H127" s="16">
        <v>17.2</v>
      </c>
      <c r="I127" s="16">
        <v>7.67</v>
      </c>
      <c r="J127" s="16">
        <v>64.8</v>
      </c>
      <c r="P127" s="18">
        <v>9.9458689000000003E-2</v>
      </c>
      <c r="Q127" s="18">
        <v>2.2595976840000001</v>
      </c>
      <c r="R127" s="21" t="s">
        <v>50</v>
      </c>
      <c r="S127" s="21">
        <v>2.4519054690000002</v>
      </c>
      <c r="T127" s="21">
        <v>6.9704991310000004</v>
      </c>
      <c r="U127" s="21" t="s">
        <v>50</v>
      </c>
      <c r="V127" s="21">
        <v>1.4166667000000001E-2</v>
      </c>
      <c r="W127" s="18">
        <v>0.35471740351751602</v>
      </c>
      <c r="Y127" s="92">
        <v>0.62513985397955008</v>
      </c>
      <c r="Z127" s="20">
        <v>-6.7942910003564254</v>
      </c>
      <c r="AA127" s="10">
        <v>-33.128818329763902</v>
      </c>
      <c r="AB127" s="17">
        <v>4.217681276013967</v>
      </c>
      <c r="AC127" s="18">
        <v>1.725150938552104</v>
      </c>
      <c r="AD127" s="21">
        <v>0.27916830897929862</v>
      </c>
      <c r="AE127" s="21">
        <v>6.8211020330444034</v>
      </c>
      <c r="AF127" s="21">
        <v>4.706074099761156E-2</v>
      </c>
      <c r="AG127" s="21"/>
      <c r="AH127" s="21">
        <v>6.0433442183892216</v>
      </c>
      <c r="AI127" s="46"/>
    </row>
    <row r="128" spans="1:36" ht="16.2">
      <c r="A128" s="13" t="s">
        <v>67</v>
      </c>
      <c r="B128" s="13" t="s">
        <v>68</v>
      </c>
      <c r="C128" s="13">
        <v>126</v>
      </c>
      <c r="E128" s="14">
        <v>45482</v>
      </c>
      <c r="H128" s="16">
        <v>19.5</v>
      </c>
      <c r="I128" s="16">
        <v>7.85</v>
      </c>
      <c r="J128" s="16">
        <v>70.56</v>
      </c>
      <c r="P128" s="18">
        <v>0.100792305</v>
      </c>
      <c r="Q128" s="18">
        <v>2.318092563</v>
      </c>
      <c r="R128" s="21" t="s">
        <v>50</v>
      </c>
      <c r="S128" s="21">
        <v>2.4438502999999998</v>
      </c>
      <c r="T128" s="21">
        <v>7.18392477</v>
      </c>
      <c r="U128" s="21">
        <v>0.17281553399999999</v>
      </c>
      <c r="V128" s="21" t="s">
        <v>50</v>
      </c>
      <c r="W128" s="18">
        <v>0.36577063539080668</v>
      </c>
      <c r="Y128" s="92">
        <v>0.63638601069827661</v>
      </c>
      <c r="Z128" s="20">
        <v>-6.7416929553139591</v>
      </c>
      <c r="AA128" s="10">
        <v>-32.474833504771603</v>
      </c>
      <c r="AB128" s="17">
        <v>4.3476326874313589</v>
      </c>
      <c r="AC128" s="18">
        <v>1.73402583769017</v>
      </c>
      <c r="AD128" s="21">
        <v>0.25152122615482608</v>
      </c>
      <c r="AE128" s="21">
        <v>6.8301714473411934</v>
      </c>
      <c r="AF128" s="21">
        <v>4.7388261752386869E-2</v>
      </c>
      <c r="AG128" s="21"/>
      <c r="AH128" s="21">
        <v>5.9467057348696164</v>
      </c>
      <c r="AI128" s="46"/>
    </row>
    <row r="129" spans="1:35" ht="16.2">
      <c r="A129" s="13" t="s">
        <v>67</v>
      </c>
      <c r="B129" s="13" t="s">
        <v>68</v>
      </c>
      <c r="C129" s="13">
        <v>127</v>
      </c>
      <c r="E129" s="14">
        <v>45490</v>
      </c>
      <c r="H129" s="16">
        <v>13.9</v>
      </c>
      <c r="I129" s="16">
        <v>7.22</v>
      </c>
      <c r="J129" s="16">
        <v>63.53</v>
      </c>
      <c r="P129" s="18">
        <v>6.2024568000000002E-2</v>
      </c>
      <c r="Q129" s="18">
        <v>2.3906110329999999</v>
      </c>
      <c r="R129" s="21" t="s">
        <v>50</v>
      </c>
      <c r="S129" s="21">
        <v>2.58459781</v>
      </c>
      <c r="T129" s="21">
        <v>7.4795224029999998</v>
      </c>
      <c r="U129" s="21" t="s">
        <v>50</v>
      </c>
      <c r="V129" s="21" t="s">
        <v>50</v>
      </c>
      <c r="W129" s="18">
        <v>0.28294015659115479</v>
      </c>
      <c r="Y129" s="92"/>
      <c r="Z129" s="20">
        <v>-6.7216034242213496</v>
      </c>
      <c r="AA129" s="10">
        <v>-32.29807135164365</v>
      </c>
      <c r="AB129" s="17">
        <v>4.2570554999881196</v>
      </c>
      <c r="AC129" s="18">
        <v>1.716447329832465</v>
      </c>
      <c r="AD129" s="21">
        <v>0.23523305566573921</v>
      </c>
      <c r="AE129" s="21">
        <v>6.6755929967752481</v>
      </c>
      <c r="AF129" s="21">
        <v>4.674081275089853E-2</v>
      </c>
      <c r="AG129" s="21"/>
      <c r="AH129" s="21">
        <v>6.0850952811524808</v>
      </c>
      <c r="AI129" s="46"/>
    </row>
    <row r="130" spans="1:35" ht="16.2">
      <c r="A130" s="13" t="s">
        <v>67</v>
      </c>
      <c r="B130" s="13" t="s">
        <v>68</v>
      </c>
      <c r="C130" s="13">
        <v>128</v>
      </c>
      <c r="E130" s="14">
        <v>45496</v>
      </c>
      <c r="G130" s="16" t="s">
        <v>66</v>
      </c>
      <c r="H130" s="16">
        <v>17.899999999999999</v>
      </c>
      <c r="I130" s="16">
        <v>7.63</v>
      </c>
      <c r="J130" s="16">
        <v>59.27</v>
      </c>
      <c r="P130" s="18">
        <v>7.6962417000000005E-2</v>
      </c>
      <c r="Q130" s="18">
        <v>2.2288230360000001</v>
      </c>
      <c r="R130" s="21" t="s">
        <v>50</v>
      </c>
      <c r="S130" s="21">
        <v>2.677681024</v>
      </c>
      <c r="T130" s="21">
        <v>6.5714204699999996</v>
      </c>
      <c r="U130" s="21">
        <v>0.109522868</v>
      </c>
      <c r="V130" s="21" t="s">
        <v>50</v>
      </c>
      <c r="W130" s="18">
        <v>1.13512648342981</v>
      </c>
      <c r="Y130" s="92"/>
      <c r="Z130" s="20">
        <v>-7.3319599052349584</v>
      </c>
      <c r="AA130" s="10">
        <v>-37.968516884193718</v>
      </c>
      <c r="AB130" s="17">
        <v>3.832008437298049</v>
      </c>
      <c r="AC130" s="18">
        <v>1.6088822720578679</v>
      </c>
      <c r="AD130" s="21">
        <v>0.37296140931773752</v>
      </c>
      <c r="AE130" s="21">
        <v>6.2720938418772416</v>
      </c>
      <c r="AF130" s="21">
        <v>4.4465287102818177E-2</v>
      </c>
      <c r="AG130" s="21"/>
      <c r="AH130" s="21">
        <v>5.2147623155527629</v>
      </c>
      <c r="AI130" s="46"/>
    </row>
    <row r="131" spans="1:35" ht="16.2">
      <c r="A131" s="13" t="s">
        <v>67</v>
      </c>
      <c r="B131" s="13" t="s">
        <v>68</v>
      </c>
      <c r="C131" s="13">
        <v>129</v>
      </c>
      <c r="E131" s="14">
        <v>45503</v>
      </c>
      <c r="H131" s="16">
        <v>14.6</v>
      </c>
      <c r="I131" s="16">
        <v>7.88</v>
      </c>
      <c r="J131" s="16">
        <v>46.8</v>
      </c>
      <c r="P131" s="18">
        <v>8.0002074000000006E-2</v>
      </c>
      <c r="Q131" s="18">
        <v>2.1986017229999999</v>
      </c>
      <c r="R131" s="21" t="s">
        <v>50</v>
      </c>
      <c r="S131" s="21">
        <v>2.0281664739999998</v>
      </c>
      <c r="T131" s="21">
        <v>4.6888927340000004</v>
      </c>
      <c r="U131" s="21">
        <v>0.114432169</v>
      </c>
      <c r="V131" s="21" t="s">
        <v>50</v>
      </c>
      <c r="W131" s="18">
        <v>0.3420051073756491</v>
      </c>
      <c r="Y131" s="92"/>
      <c r="Z131" s="20">
        <v>-6.973635723383163</v>
      </c>
      <c r="AA131" s="10">
        <v>-34.723191866029367</v>
      </c>
      <c r="AB131" s="17">
        <v>3.6580510812206231</v>
      </c>
      <c r="AC131" s="18">
        <v>1.175779904857456</v>
      </c>
      <c r="AD131" s="21">
        <v>0.22584157920194009</v>
      </c>
      <c r="AE131" s="21">
        <v>4.351702306565155</v>
      </c>
      <c r="AF131" s="21">
        <v>3.3113718938379742E-2</v>
      </c>
      <c r="AG131" s="21"/>
      <c r="AH131" s="21">
        <v>5.8309886031894793</v>
      </c>
      <c r="AI131" s="46"/>
    </row>
    <row r="132" spans="1:35" ht="16.2">
      <c r="A132" s="13" t="s">
        <v>67</v>
      </c>
      <c r="B132" s="13" t="s">
        <v>68</v>
      </c>
      <c r="C132" s="13">
        <v>130</v>
      </c>
      <c r="E132" s="14">
        <v>45510</v>
      </c>
      <c r="H132" s="16">
        <v>14.2</v>
      </c>
      <c r="I132" s="16">
        <v>7.9</v>
      </c>
      <c r="J132" s="16">
        <v>52.07</v>
      </c>
      <c r="W132" s="18">
        <v>0.35704066526429595</v>
      </c>
      <c r="Y132" s="92"/>
      <c r="Z132" s="20">
        <v>-7.7976717623817864</v>
      </c>
      <c r="AA132" s="10">
        <v>-50.305671774577668</v>
      </c>
      <c r="AB132" s="17">
        <v>3.7628476486762881</v>
      </c>
      <c r="AC132" s="18">
        <v>1.3020392699034979</v>
      </c>
      <c r="AD132" s="21">
        <v>0.23294800677340621</v>
      </c>
      <c r="AE132" s="21">
        <v>4.9143847448445488</v>
      </c>
      <c r="AF132" s="21">
        <v>3.6221873470730623E-2</v>
      </c>
      <c r="AG132" s="21"/>
      <c r="AH132" s="21">
        <v>5.7251989321897918</v>
      </c>
      <c r="AI132" s="46"/>
    </row>
    <row r="133" spans="1:35" ht="16.2">
      <c r="A133" s="13" t="s">
        <v>67</v>
      </c>
      <c r="B133" s="13" t="s">
        <v>68</v>
      </c>
      <c r="C133" s="13">
        <v>131</v>
      </c>
      <c r="E133" s="14">
        <v>45517</v>
      </c>
      <c r="H133" s="16">
        <v>13.2</v>
      </c>
      <c r="I133" s="16">
        <v>7.92</v>
      </c>
      <c r="J133" s="16">
        <v>54.24</v>
      </c>
      <c r="P133" s="18">
        <v>1.9493142000000001E-2</v>
      </c>
      <c r="Q133" s="18">
        <v>2.2455125460000001</v>
      </c>
      <c r="R133" s="21" t="s">
        <v>50</v>
      </c>
      <c r="S133" s="21">
        <v>2.1849418859999998</v>
      </c>
      <c r="T133" s="21">
        <v>5.6451242779999999</v>
      </c>
      <c r="U133" s="21">
        <v>0.12078476</v>
      </c>
      <c r="V133" s="21">
        <v>1.5680784E-2</v>
      </c>
      <c r="W133" s="18">
        <v>0.31666739952570372</v>
      </c>
      <c r="Y133" s="92"/>
      <c r="Z133" s="20">
        <v>-7.1774531479227166</v>
      </c>
      <c r="AA133" s="10">
        <v>-36.094064946252352</v>
      </c>
      <c r="AB133" s="17">
        <v>3.9185186279416508</v>
      </c>
      <c r="AC133" s="18">
        <v>1.345198172637815</v>
      </c>
      <c r="AD133" s="21">
        <v>0.2393208752985086</v>
      </c>
      <c r="AE133" s="21">
        <v>5.2626377955105594</v>
      </c>
      <c r="AF133" s="21">
        <v>3.8034007617352247E-2</v>
      </c>
      <c r="AG133" s="21"/>
      <c r="AH133" s="21">
        <v>5.8254121027919101</v>
      </c>
      <c r="AI133" s="46"/>
    </row>
    <row r="134" spans="1:35" ht="16.2">
      <c r="A134" s="13" t="s">
        <v>67</v>
      </c>
      <c r="B134" s="13" t="s">
        <v>68</v>
      </c>
      <c r="C134" s="13">
        <v>132</v>
      </c>
      <c r="E134" s="14">
        <v>45524</v>
      </c>
      <c r="H134" s="16">
        <v>19.2</v>
      </c>
      <c r="I134" s="16">
        <v>7.95</v>
      </c>
      <c r="J134" s="16">
        <v>51.1</v>
      </c>
      <c r="P134" s="18">
        <v>2.23E-2</v>
      </c>
      <c r="Q134" s="18">
        <v>2.1320347559999999</v>
      </c>
      <c r="R134" s="21" t="s">
        <v>50</v>
      </c>
      <c r="S134" s="21">
        <v>1.779529591</v>
      </c>
      <c r="T134" s="21">
        <v>4.9565841449999999</v>
      </c>
      <c r="U134" s="21">
        <v>0.13431607300000001</v>
      </c>
      <c r="V134" s="21" t="s">
        <v>50</v>
      </c>
      <c r="W134" s="18">
        <v>0.36301770071126832</v>
      </c>
      <c r="Y134" s="92">
        <v>0.46547639502165261</v>
      </c>
      <c r="Z134" s="20">
        <v>-7.1431183129644404</v>
      </c>
      <c r="AA134" s="10">
        <v>-36.01359072544458</v>
      </c>
      <c r="AB134" s="17">
        <v>3.909864952674206</v>
      </c>
      <c r="AC134" s="18">
        <v>1.3434521430965261</v>
      </c>
      <c r="AD134" s="21">
        <v>0.22100153822129209</v>
      </c>
      <c r="AE134" s="21">
        <v>5.0271150735264536</v>
      </c>
      <c r="AF134" s="21">
        <v>3.6359394412113791E-2</v>
      </c>
      <c r="AG134" s="21"/>
      <c r="AH134" s="21">
        <v>5.9997602416992271</v>
      </c>
      <c r="AI134" s="46"/>
    </row>
    <row r="135" spans="1:35" ht="16.2">
      <c r="A135" s="13" t="s">
        <v>67</v>
      </c>
      <c r="B135" s="13" t="s">
        <v>68</v>
      </c>
      <c r="C135" s="13">
        <v>133</v>
      </c>
      <c r="E135" s="14">
        <v>45531</v>
      </c>
      <c r="H135" s="16">
        <v>15.4</v>
      </c>
      <c r="I135" s="16">
        <v>7.65</v>
      </c>
      <c r="J135" s="16">
        <v>53.9</v>
      </c>
      <c r="P135" s="18">
        <v>1.2183962E-2</v>
      </c>
      <c r="Q135" s="18">
        <v>2.452526309</v>
      </c>
      <c r="R135" s="21" t="s">
        <v>50</v>
      </c>
      <c r="S135" s="21">
        <v>2.4357461759999999</v>
      </c>
      <c r="T135" s="21">
        <v>6.005023606</v>
      </c>
      <c r="U135" s="21">
        <v>0.14431880899999999</v>
      </c>
      <c r="V135" s="21">
        <v>3.3667229999999999E-3</v>
      </c>
      <c r="W135" s="18">
        <v>0.25250495836878406</v>
      </c>
      <c r="Y135" s="92">
        <v>0.50139090585852664</v>
      </c>
      <c r="Z135" s="20">
        <v>-7.1807405257378703</v>
      </c>
      <c r="AA135" s="10">
        <v>-36.569881954871128</v>
      </c>
      <c r="AB135" s="17">
        <v>3.930102127429425</v>
      </c>
      <c r="AC135" s="18">
        <v>1.406982260694986</v>
      </c>
      <c r="AD135" s="21">
        <v>0.22972933593820291</v>
      </c>
      <c r="AE135" s="21">
        <v>5.359237971498561</v>
      </c>
      <c r="AF135" s="21">
        <v>3.8579020099054638E-2</v>
      </c>
      <c r="AG135" s="21"/>
      <c r="AH135" s="21">
        <v>6.034786535262457</v>
      </c>
      <c r="AI135" s="46"/>
    </row>
    <row r="136" spans="1:35" ht="16.2">
      <c r="A136" s="13" t="s">
        <v>67</v>
      </c>
      <c r="B136" s="13" t="s">
        <v>68</v>
      </c>
      <c r="C136" s="13">
        <v>134</v>
      </c>
      <c r="E136" s="14">
        <v>45538</v>
      </c>
      <c r="H136" s="16">
        <v>20.399999999999999</v>
      </c>
      <c r="I136" s="16">
        <v>7.54</v>
      </c>
      <c r="J136" s="16">
        <v>56.58</v>
      </c>
      <c r="P136" s="18">
        <v>0.13625103299999999</v>
      </c>
      <c r="Q136" s="18">
        <v>2.1814409389999998</v>
      </c>
      <c r="R136" s="21" t="s">
        <v>50</v>
      </c>
      <c r="S136" s="21">
        <v>1.8049584320000001</v>
      </c>
      <c r="T136" s="21">
        <v>5.7845617809999998</v>
      </c>
      <c r="U136" s="21">
        <v>0.102772449</v>
      </c>
      <c r="V136" s="21">
        <v>1.6980071999999999E-2</v>
      </c>
      <c r="W136" s="18">
        <v>1.0791606142021215</v>
      </c>
      <c r="Y136" s="92">
        <v>0.48992448493802837</v>
      </c>
      <c r="Z136" s="20">
        <v>-7.0339043166609878</v>
      </c>
      <c r="AA136" s="10">
        <v>-34.953017806676847</v>
      </c>
      <c r="AB136" s="17">
        <v>4.13208101768444</v>
      </c>
      <c r="AC136" s="18">
        <v>1.5010197140687189</v>
      </c>
      <c r="AD136" s="21">
        <v>0.23768876940972969</v>
      </c>
      <c r="AE136" s="21">
        <v>6.111779849979297</v>
      </c>
      <c r="AF136" s="21">
        <v>4.115957664901318E-2</v>
      </c>
      <c r="AG136" s="21"/>
      <c r="AH136" s="21">
        <v>6.125979411466866</v>
      </c>
      <c r="AI136" s="46"/>
    </row>
    <row r="137" spans="1:35">
      <c r="A137" s="13" t="s">
        <v>67</v>
      </c>
      <c r="B137" s="13" t="s">
        <v>68</v>
      </c>
      <c r="C137" s="13">
        <v>135</v>
      </c>
      <c r="E137" s="14">
        <v>45545</v>
      </c>
      <c r="H137" s="16">
        <v>21</v>
      </c>
      <c r="I137" s="16">
        <v>7.14</v>
      </c>
      <c r="J137" s="16">
        <v>58.91</v>
      </c>
      <c r="P137" s="18">
        <v>1.8250057E-2</v>
      </c>
      <c r="Q137" s="18">
        <v>2.4552457360000002</v>
      </c>
      <c r="R137" s="21" t="s">
        <v>50</v>
      </c>
      <c r="S137" s="21">
        <v>2.3003415340000002</v>
      </c>
      <c r="T137" s="21">
        <v>7.018799274</v>
      </c>
      <c r="U137" s="21">
        <v>0.372486657</v>
      </c>
      <c r="V137" s="21">
        <v>1.0474376000000001E-2</v>
      </c>
      <c r="W137" s="18">
        <v>0.34868340338752268</v>
      </c>
      <c r="Y137" s="92">
        <v>0.4631190965480681</v>
      </c>
      <c r="Z137" s="20">
        <v>-6.985689442038729</v>
      </c>
      <c r="AA137" s="10">
        <v>-34.862352527338857</v>
      </c>
      <c r="AB137" s="17">
        <v>4.1477128152291129</v>
      </c>
      <c r="AC137" s="18">
        <v>1.544060179533207</v>
      </c>
      <c r="AD137" s="21">
        <v>0.2244799612272084</v>
      </c>
      <c r="AE137" s="21">
        <v>5.9955329288723567</v>
      </c>
      <c r="AF137" s="21">
        <v>4.2512500626854813E-2</v>
      </c>
      <c r="AG137" s="21"/>
      <c r="AH137" s="21">
        <v>6.1970311930323749</v>
      </c>
    </row>
    <row r="138" spans="1:35">
      <c r="A138" s="13" t="s">
        <v>67</v>
      </c>
      <c r="B138" s="13" t="s">
        <v>68</v>
      </c>
      <c r="C138" s="13">
        <v>136</v>
      </c>
      <c r="E138" s="14">
        <v>45553</v>
      </c>
      <c r="H138" s="16">
        <v>11.9</v>
      </c>
      <c r="I138" s="16">
        <v>6.84</v>
      </c>
      <c r="J138" s="16">
        <v>67.7</v>
      </c>
      <c r="P138" s="18">
        <v>2.2100000000000002E-2</v>
      </c>
      <c r="Q138" s="18">
        <v>2.146670667</v>
      </c>
      <c r="R138" s="21" t="s">
        <v>50</v>
      </c>
      <c r="S138" s="21">
        <v>2.3097604309999999</v>
      </c>
      <c r="T138" s="21">
        <v>5.7577726819999997</v>
      </c>
      <c r="U138" s="21">
        <v>9.1378336000000004E-2</v>
      </c>
      <c r="V138" s="21" t="s">
        <v>50</v>
      </c>
      <c r="W138" s="18">
        <v>0.42222998562830116</v>
      </c>
      <c r="Y138" s="92">
        <v>0.62541974426893576</v>
      </c>
      <c r="Z138" s="20">
        <v>-7.0558278567214492</v>
      </c>
      <c r="AA138" s="10">
        <v>-35.878513791253106</v>
      </c>
      <c r="AB138" s="17">
        <v>4.0420756016654389</v>
      </c>
      <c r="AC138" s="18">
        <v>1.5324088673631788</v>
      </c>
      <c r="AD138" s="21">
        <v>0.25771960802819627</v>
      </c>
      <c r="AE138" s="21">
        <v>6.0838497097291651</v>
      </c>
      <c r="AF138" s="21">
        <v>3.5594004006027191E-2</v>
      </c>
      <c r="AG138" s="21"/>
      <c r="AH138" s="21">
        <v>5.8767056720005657</v>
      </c>
    </row>
    <row r="139" spans="1:35">
      <c r="A139" s="13" t="s">
        <v>67</v>
      </c>
      <c r="B139" s="13" t="s">
        <v>68</v>
      </c>
      <c r="C139" s="13">
        <v>137</v>
      </c>
      <c r="E139" s="14">
        <v>45559</v>
      </c>
      <c r="H139" s="16">
        <v>24.1</v>
      </c>
      <c r="I139" s="16">
        <v>7.2</v>
      </c>
      <c r="J139" s="16">
        <v>70.13</v>
      </c>
      <c r="P139" s="18">
        <v>3.5700000000000003E-2</v>
      </c>
      <c r="Q139" s="18">
        <v>2.156801443</v>
      </c>
      <c r="R139" s="21" t="s">
        <v>50</v>
      </c>
      <c r="S139" s="21">
        <v>3.2072309890000001</v>
      </c>
      <c r="T139" s="21">
        <v>4.541038822</v>
      </c>
      <c r="U139" s="21">
        <v>0.10795771999999999</v>
      </c>
      <c r="V139" s="21">
        <v>4.0982350000000004E-3</v>
      </c>
      <c r="W139" s="18">
        <v>0.32176940097390561</v>
      </c>
      <c r="Y139" s="92">
        <v>0.7793101812479486</v>
      </c>
      <c r="Z139" s="20">
        <v>-8.4057373576402803</v>
      </c>
      <c r="AA139" s="10">
        <v>-46.924737250239112</v>
      </c>
      <c r="AB139" s="17">
        <v>3.6512092467286155</v>
      </c>
      <c r="AC139" s="18">
        <v>1.2680747685943083</v>
      </c>
      <c r="AD139" s="21">
        <v>0.2667226171929733</v>
      </c>
      <c r="AE139" s="21">
        <v>4.8499132955513051</v>
      </c>
      <c r="AF139" s="21">
        <v>2.9892805115311748E-2</v>
      </c>
      <c r="AG139" s="21"/>
      <c r="AH139" s="21">
        <v>5.4479683997346422</v>
      </c>
    </row>
    <row r="140" spans="1:35">
      <c r="A140" s="13" t="s">
        <v>67</v>
      </c>
      <c r="B140" s="13" t="s">
        <v>68</v>
      </c>
      <c r="C140" s="13">
        <v>138</v>
      </c>
      <c r="E140" s="14">
        <v>45566</v>
      </c>
      <c r="H140" s="16">
        <v>18.100000000000001</v>
      </c>
      <c r="I140" s="16">
        <v>7.1</v>
      </c>
      <c r="J140" s="16">
        <v>53.19</v>
      </c>
      <c r="P140" s="18">
        <v>2.5399999999999999E-2</v>
      </c>
      <c r="Q140" s="18">
        <v>2.1767826019999998</v>
      </c>
      <c r="R140" s="21" t="s">
        <v>50</v>
      </c>
      <c r="S140" s="21">
        <v>2.759641614</v>
      </c>
      <c r="T140" s="21">
        <v>3.7269114669999999</v>
      </c>
      <c r="U140" s="21">
        <v>0.10233229000000001</v>
      </c>
      <c r="V140" s="21">
        <v>5.4951820000000004E-3</v>
      </c>
      <c r="W140" s="18">
        <v>0.27902483421536001</v>
      </c>
      <c r="Y140" s="92">
        <v>0.68337793064469743</v>
      </c>
      <c r="Z140" s="20">
        <v>-8.3869484673705319</v>
      </c>
      <c r="AA140" s="10">
        <v>-46.570402137082127</v>
      </c>
      <c r="AB140" s="17">
        <v>3.2990701532301623</v>
      </c>
      <c r="AC140" s="18">
        <v>1.0758609228184546</v>
      </c>
      <c r="AD140" s="21">
        <v>0.21924103305366219</v>
      </c>
      <c r="AE140" s="21">
        <v>3.9300377801498421</v>
      </c>
      <c r="AF140" s="21">
        <v>2.6537621835341228E-2</v>
      </c>
      <c r="AG140" s="21"/>
      <c r="AH140" s="21">
        <v>5.3374244539166238</v>
      </c>
    </row>
    <row r="141" spans="1:35">
      <c r="A141" s="13" t="s">
        <v>67</v>
      </c>
      <c r="B141" s="13" t="s">
        <v>68</v>
      </c>
      <c r="C141" s="13">
        <v>139</v>
      </c>
      <c r="E141" s="14">
        <v>45573</v>
      </c>
      <c r="H141" s="16">
        <v>14.9</v>
      </c>
      <c r="I141" s="16">
        <v>6.84</v>
      </c>
      <c r="J141" s="16">
        <v>51</v>
      </c>
      <c r="P141" s="18">
        <v>9.1484040000000006E-3</v>
      </c>
      <c r="Q141" s="18">
        <v>2.4982310779999999</v>
      </c>
      <c r="R141" s="21" t="s">
        <v>50</v>
      </c>
      <c r="S141" s="21">
        <v>2.3870497049999999</v>
      </c>
      <c r="T141" s="21">
        <v>4.530452436</v>
      </c>
      <c r="U141" s="21">
        <v>0.140516012</v>
      </c>
      <c r="V141" s="21">
        <v>4.7882539999999996E-3</v>
      </c>
      <c r="W141" s="18">
        <v>0.27950715302518681</v>
      </c>
      <c r="Y141" s="92">
        <v>0.47767781015013622</v>
      </c>
      <c r="Z141" s="20">
        <v>-7.569270415823607</v>
      </c>
      <c r="AA141" s="10">
        <v>-39.915849757047667</v>
      </c>
      <c r="AB141" s="17">
        <v>3.4885354649794795</v>
      </c>
      <c r="AC141" s="18">
        <v>1.0961178815954082</v>
      </c>
      <c r="AD141" s="21">
        <v>0.2031289795544122</v>
      </c>
      <c r="AE141" s="21">
        <v>4.0016313326384685</v>
      </c>
      <c r="AF141" s="21">
        <v>2.6749318477485684E-2</v>
      </c>
      <c r="AG141" s="21"/>
      <c r="AH141" s="21">
        <v>5.7387025936614977</v>
      </c>
    </row>
    <row r="142" spans="1:35">
      <c r="A142" s="13" t="s">
        <v>67</v>
      </c>
      <c r="B142" s="13" t="s">
        <v>68</v>
      </c>
      <c r="C142" s="13">
        <v>140</v>
      </c>
      <c r="E142" s="14">
        <v>45580</v>
      </c>
      <c r="H142" s="16">
        <v>19.2</v>
      </c>
      <c r="I142" s="16">
        <v>7.16</v>
      </c>
      <c r="J142" s="16">
        <v>55.25</v>
      </c>
      <c r="P142" s="18">
        <v>1.8877201999999999E-2</v>
      </c>
      <c r="Q142" s="18">
        <v>2.4782168059999998</v>
      </c>
      <c r="R142" s="21" t="s">
        <v>50</v>
      </c>
      <c r="S142" s="21">
        <v>2.3480300449999998</v>
      </c>
      <c r="T142" s="21">
        <v>5.361116623</v>
      </c>
      <c r="U142" s="21">
        <v>0.14495260900000001</v>
      </c>
      <c r="V142" s="21">
        <v>5.2366200000000004E-4</v>
      </c>
      <c r="W142" s="18">
        <v>0.24832952628594493</v>
      </c>
      <c r="Y142" s="92">
        <v>0.48639667725582869</v>
      </c>
      <c r="Z142" s="20">
        <v>-7.4825524607324612</v>
      </c>
      <c r="AA142" s="10">
        <v>-39.056066026593228</v>
      </c>
      <c r="AB142" s="17">
        <v>3.6934166113886935</v>
      </c>
      <c r="AC142" s="18">
        <v>1.2193811468979425</v>
      </c>
      <c r="AD142" s="21">
        <v>0.26795363085634932</v>
      </c>
      <c r="AE142" s="21">
        <v>4.5822356053597497</v>
      </c>
      <c r="AF142" s="21">
        <v>2.9567939295217116E-2</v>
      </c>
      <c r="AG142" s="21"/>
      <c r="AH142" s="21">
        <v>5.8419569069429746</v>
      </c>
    </row>
    <row r="143" spans="1:35">
      <c r="A143" s="13" t="s">
        <v>67</v>
      </c>
      <c r="B143" s="13" t="s">
        <v>68</v>
      </c>
      <c r="C143" s="13">
        <v>141</v>
      </c>
      <c r="E143" s="14">
        <v>45587</v>
      </c>
      <c r="H143" s="16">
        <v>22.8</v>
      </c>
      <c r="I143" s="16">
        <v>7.21</v>
      </c>
      <c r="J143" s="16">
        <v>57.23</v>
      </c>
      <c r="P143" s="18">
        <v>1.6890997000000001E-2</v>
      </c>
      <c r="Q143" s="18">
        <v>2.487981757</v>
      </c>
      <c r="R143" s="21" t="s">
        <v>50</v>
      </c>
      <c r="S143" s="21">
        <v>3.2266134360000001</v>
      </c>
      <c r="T143" s="21">
        <v>5.1498963389999997</v>
      </c>
      <c r="U143" s="21">
        <v>0.13354421599999999</v>
      </c>
      <c r="V143" s="21" t="s">
        <v>50</v>
      </c>
      <c r="W143" s="18">
        <v>0.30373895387207994</v>
      </c>
      <c r="Y143" s="92">
        <v>0.60325822745971369</v>
      </c>
      <c r="Z143" s="20">
        <v>-7.7278920086778262</v>
      </c>
      <c r="AA143" s="10">
        <v>-41.276913456409488</v>
      </c>
      <c r="AB143" s="17">
        <v>3.5563068304631447</v>
      </c>
      <c r="AC143" s="18">
        <v>1.2474429862131111</v>
      </c>
      <c r="AD143" s="21">
        <v>0.23535596454329122</v>
      </c>
      <c r="AE143" s="21">
        <v>4.5587331688939665</v>
      </c>
      <c r="AF143" s="21">
        <v>2.9550000943710752E-2</v>
      </c>
      <c r="AG143" s="21"/>
      <c r="AH143" s="21">
        <v>5.6181573548919843</v>
      </c>
    </row>
    <row r="144" spans="1:35">
      <c r="A144" s="13" t="s">
        <v>67</v>
      </c>
      <c r="B144" s="13" t="s">
        <v>68</v>
      </c>
      <c r="C144" s="13">
        <v>142</v>
      </c>
      <c r="E144" s="14">
        <v>45594</v>
      </c>
      <c r="H144" s="16">
        <v>20.5</v>
      </c>
      <c r="I144" s="16">
        <v>6.75</v>
      </c>
      <c r="J144" s="16">
        <v>48.04</v>
      </c>
      <c r="W144" s="18">
        <v>0.34496669143006992</v>
      </c>
      <c r="Y144" s="92">
        <v>0.50515641944803336</v>
      </c>
      <c r="Z144" s="20">
        <v>-7.585530032403196</v>
      </c>
      <c r="AA144" s="10">
        <v>-40.189938388695573</v>
      </c>
      <c r="AB144" s="17">
        <v>3.5188672569942336</v>
      </c>
      <c r="AC144" s="18">
        <v>1.1278644493142675</v>
      </c>
      <c r="AD144" s="21">
        <v>0.2127190601881202</v>
      </c>
      <c r="AE144" s="21">
        <v>4.1685756698069163</v>
      </c>
      <c r="AF144" s="21">
        <v>2.703206619335613E-2</v>
      </c>
      <c r="AG144" s="21"/>
      <c r="AH144" s="21">
        <v>5.7452900575136781</v>
      </c>
    </row>
    <row r="145" spans="1:34">
      <c r="A145" s="13" t="s">
        <v>67</v>
      </c>
      <c r="B145" s="13" t="s">
        <v>68</v>
      </c>
      <c r="C145" s="13">
        <v>143</v>
      </c>
      <c r="E145" s="14">
        <v>45601</v>
      </c>
      <c r="H145" s="16">
        <v>16</v>
      </c>
      <c r="I145" s="16">
        <v>6.82</v>
      </c>
      <c r="J145" s="16">
        <v>43.2</v>
      </c>
      <c r="P145" s="18">
        <v>8.9014520000000007E-3</v>
      </c>
      <c r="Q145" s="18">
        <v>2.1378115929999999</v>
      </c>
      <c r="R145" s="21" t="s">
        <v>50</v>
      </c>
      <c r="S145" s="21">
        <v>1.8032447659999999</v>
      </c>
      <c r="T145" s="21">
        <v>3.5528098610000001</v>
      </c>
      <c r="U145" s="21">
        <v>0.14010904099999999</v>
      </c>
      <c r="V145" s="21" t="s">
        <v>50</v>
      </c>
      <c r="W145" s="18">
        <v>0.41462048184052303</v>
      </c>
      <c r="Y145" s="92">
        <v>0.46002513242674048</v>
      </c>
      <c r="Z145" s="20">
        <v>-7.6169652911237362</v>
      </c>
      <c r="AA145" s="10">
        <v>-40.435541256344578</v>
      </c>
      <c r="AB145" s="17">
        <v>3.5728786330386999</v>
      </c>
      <c r="AC145" s="18">
        <v>1.0478681597508874</v>
      </c>
      <c r="AD145" s="21">
        <v>0.2221411211083261</v>
      </c>
      <c r="AE145" s="21">
        <v>3.6708469672707391</v>
      </c>
      <c r="AF145" s="21">
        <v>2.5699337917356613E-2</v>
      </c>
      <c r="AG145" s="21"/>
      <c r="AH145" s="21">
        <v>5.8498852638462635</v>
      </c>
    </row>
    <row r="146" spans="1:34">
      <c r="A146" s="13" t="s">
        <v>67</v>
      </c>
      <c r="B146" s="13" t="s">
        <v>68</v>
      </c>
      <c r="C146" s="13">
        <v>144</v>
      </c>
      <c r="E146" s="14">
        <v>45608</v>
      </c>
      <c r="H146" s="16">
        <v>21.9</v>
      </c>
      <c r="I146" s="16">
        <v>7.24</v>
      </c>
      <c r="J146" s="16">
        <v>40.619999999999997</v>
      </c>
      <c r="P146" s="18">
        <v>4.2799999999999998E-2</v>
      </c>
      <c r="Q146" s="18">
        <v>2.2338155500000001</v>
      </c>
      <c r="R146" s="21" t="s">
        <v>50</v>
      </c>
      <c r="S146" s="21">
        <v>2.7315726570000001</v>
      </c>
      <c r="T146" s="21">
        <v>3.315203307</v>
      </c>
      <c r="U146" s="21">
        <v>0.107707282</v>
      </c>
      <c r="V146" s="21" t="s">
        <v>50</v>
      </c>
      <c r="W146" s="18">
        <v>0.34772065428660492</v>
      </c>
      <c r="Y146" s="92">
        <v>0.63324666852836331</v>
      </c>
      <c r="Z146" s="20">
        <v>-7.815156428543931</v>
      </c>
      <c r="AA146" s="10">
        <v>-42.915037497226777</v>
      </c>
      <c r="AB146" s="17">
        <v>2.9306749825175573</v>
      </c>
      <c r="AC146" s="18">
        <v>0.88441144604751054</v>
      </c>
      <c r="AD146" s="21">
        <v>0.22211205063071957</v>
      </c>
      <c r="AE146" s="21">
        <v>3.1562813663012053</v>
      </c>
      <c r="AF146" s="21">
        <v>2.5469646912125152E-2</v>
      </c>
      <c r="AG146" s="21"/>
      <c r="AH146" s="21">
        <v>4.6259519055542047</v>
      </c>
    </row>
    <row r="147" spans="1:34">
      <c r="A147" s="13" t="s">
        <v>67</v>
      </c>
      <c r="B147" s="13" t="s">
        <v>68</v>
      </c>
      <c r="C147" s="13">
        <v>145</v>
      </c>
      <c r="E147" s="14">
        <v>45615</v>
      </c>
      <c r="H147" s="16">
        <v>23.3</v>
      </c>
      <c r="I147" s="16">
        <v>7.05</v>
      </c>
      <c r="J147" s="16">
        <v>43.89</v>
      </c>
      <c r="P147" s="18">
        <v>3.7900000000000003E-2</v>
      </c>
      <c r="Q147" s="18">
        <v>2.2979115010000002</v>
      </c>
      <c r="R147" s="21" t="s">
        <v>50</v>
      </c>
      <c r="S147" s="21">
        <v>2.313778144</v>
      </c>
      <c r="T147" s="21">
        <v>3.7191613189999999</v>
      </c>
      <c r="U147" s="21">
        <v>9.5660419999999996E-2</v>
      </c>
      <c r="V147" s="21">
        <v>6.2062412999999997E-2</v>
      </c>
      <c r="W147" s="18">
        <v>0.25553802385509866</v>
      </c>
      <c r="Y147" s="92">
        <v>0.5904137485646892</v>
      </c>
      <c r="Z147" s="20">
        <v>-7.5064119445166551</v>
      </c>
      <c r="AA147" s="10">
        <v>-40.493942048627773</v>
      </c>
      <c r="AB147" s="17">
        <v>3.1188351044854516</v>
      </c>
      <c r="AC147" s="18">
        <v>0.9503879330592595</v>
      </c>
      <c r="AD147" s="21">
        <v>0.19974511458680067</v>
      </c>
      <c r="AE147" s="21">
        <v>3.386726784217033</v>
      </c>
      <c r="AF147" s="21">
        <v>2.65352881352688E-2</v>
      </c>
      <c r="AG147" s="21"/>
      <c r="AH147" s="21">
        <v>5.1829770311328396</v>
      </c>
    </row>
    <row r="148" spans="1:34">
      <c r="A148" s="13" t="s">
        <v>67</v>
      </c>
      <c r="B148" s="13" t="s">
        <v>68</v>
      </c>
      <c r="C148" s="13">
        <v>146</v>
      </c>
      <c r="E148" s="14">
        <v>45622</v>
      </c>
      <c r="H148" s="16">
        <v>18.2</v>
      </c>
      <c r="I148" s="16">
        <v>7.22</v>
      </c>
      <c r="J148" s="16">
        <v>55.89</v>
      </c>
      <c r="P148" s="18">
        <v>5.8232029999999999E-3</v>
      </c>
      <c r="Q148" s="18">
        <v>2.0865749880000002</v>
      </c>
      <c r="R148" s="21" t="s">
        <v>50</v>
      </c>
      <c r="S148" s="21">
        <v>1.91826568</v>
      </c>
      <c r="T148" s="21">
        <v>3.352688127</v>
      </c>
      <c r="U148" s="21">
        <v>0.11839348199999999</v>
      </c>
      <c r="V148" s="21" t="s">
        <v>50</v>
      </c>
      <c r="W148" s="18">
        <v>0.23479879241762427</v>
      </c>
      <c r="Y148" s="92">
        <v>0.48719985620206202</v>
      </c>
      <c r="Z148" s="20">
        <v>-7.7477374202736975</v>
      </c>
      <c r="AA148" s="10">
        <v>-42.159557176352479</v>
      </c>
      <c r="AB148" s="17">
        <v>3.2990299414729267</v>
      </c>
      <c r="AC148" s="18">
        <v>0.95643405328693576</v>
      </c>
      <c r="AD148" s="21">
        <v>0.18956399767319243</v>
      </c>
      <c r="AE148" s="21">
        <v>3.490982038178581</v>
      </c>
      <c r="AF148" s="21">
        <v>2.6531206121179342E-2</v>
      </c>
      <c r="AG148" s="21"/>
      <c r="AH148" s="21">
        <v>5.4407352122731476</v>
      </c>
    </row>
    <row r="149" spans="1:34">
      <c r="A149" s="13" t="s">
        <v>67</v>
      </c>
      <c r="B149" s="13" t="s">
        <v>68</v>
      </c>
      <c r="C149" s="13">
        <v>147</v>
      </c>
      <c r="E149" s="14">
        <v>45629</v>
      </c>
      <c r="H149" s="16">
        <v>15.8</v>
      </c>
      <c r="I149" s="16">
        <v>7.06</v>
      </c>
      <c r="J149" s="16">
        <v>48.88</v>
      </c>
      <c r="W149" s="18">
        <v>0.25320866572385625</v>
      </c>
      <c r="Y149" s="92">
        <v>0.577302517181012</v>
      </c>
      <c r="Z149" s="20">
        <v>-7.5281934702655011</v>
      </c>
      <c r="AA149" s="10">
        <v>-40.173684086518016</v>
      </c>
      <c r="AB149" s="17">
        <v>3.3909676128287667</v>
      </c>
      <c r="AC149" s="18">
        <v>1.0974805110091066</v>
      </c>
      <c r="AD149" s="21">
        <v>0.19214599197790314</v>
      </c>
      <c r="AE149" s="21">
        <v>4.0062305251385446</v>
      </c>
      <c r="AF149" s="21">
        <v>2.9645055787170273E-2</v>
      </c>
      <c r="AG149" s="21"/>
      <c r="AH149" s="21">
        <v>5.6723619200581732</v>
      </c>
    </row>
    <row r="150" spans="1:34">
      <c r="A150" s="13" t="s">
        <v>67</v>
      </c>
      <c r="B150" s="13" t="s">
        <v>68</v>
      </c>
      <c r="C150" s="13">
        <v>148</v>
      </c>
      <c r="E150" s="14">
        <v>45636</v>
      </c>
      <c r="H150" s="16">
        <v>16.5</v>
      </c>
      <c r="I150" s="16">
        <v>7.18</v>
      </c>
      <c r="J150" s="16">
        <v>52.2</v>
      </c>
      <c r="P150" s="18">
        <v>1.8897127E-2</v>
      </c>
      <c r="Q150" s="18">
        <v>2.0754464010000002</v>
      </c>
      <c r="R150" s="21" t="s">
        <v>50</v>
      </c>
      <c r="S150" s="21">
        <v>1.9815277090000001</v>
      </c>
      <c r="T150" s="21">
        <v>4.4550835529999997</v>
      </c>
      <c r="U150" s="21">
        <v>0.14832573800000001</v>
      </c>
      <c r="V150" s="21" t="s">
        <v>50</v>
      </c>
      <c r="W150" s="18">
        <v>0.22837851591688843</v>
      </c>
      <c r="Y150" s="92">
        <v>0.62793505468448252</v>
      </c>
      <c r="Z150" s="20">
        <v>-7.381600344590737</v>
      </c>
      <c r="AA150" s="10">
        <v>-38.961083426563967</v>
      </c>
      <c r="AB150" s="17">
        <v>3.4406192845440944</v>
      </c>
      <c r="AC150" s="18">
        <v>1.1274274114650509</v>
      </c>
      <c r="AD150" s="21">
        <v>0.19325238216886523</v>
      </c>
      <c r="AE150" s="21">
        <v>4.2717677468604585</v>
      </c>
      <c r="AF150" s="21">
        <v>3.012751559159969E-2</v>
      </c>
      <c r="AG150" s="21"/>
      <c r="AH150" s="21">
        <v>5.4596793199606042</v>
      </c>
    </row>
    <row r="151" spans="1:34">
      <c r="A151" s="13" t="s">
        <v>67</v>
      </c>
      <c r="B151" s="13" t="s">
        <v>68</v>
      </c>
      <c r="C151" s="13">
        <v>149</v>
      </c>
      <c r="E151" s="14">
        <v>45643</v>
      </c>
      <c r="H151" s="16">
        <v>17.2</v>
      </c>
      <c r="I151" s="16">
        <v>7.6</v>
      </c>
      <c r="J151" s="16">
        <v>53.49</v>
      </c>
      <c r="W151" s="18">
        <v>0.22206860418796556</v>
      </c>
      <c r="Y151" s="92">
        <v>0.63113842005210241</v>
      </c>
      <c r="Z151" s="20">
        <v>-7.4459077063254213</v>
      </c>
      <c r="AA151" s="10">
        <v>-39.329243220613222</v>
      </c>
      <c r="AB151" s="17">
        <v>3.5153747805339677</v>
      </c>
      <c r="AC151" s="18">
        <v>1.1869180075670451</v>
      </c>
      <c r="AD151" s="21">
        <v>0.16942601003137639</v>
      </c>
      <c r="AE151" s="21">
        <v>4.4654707801300768</v>
      </c>
      <c r="AF151" s="21">
        <v>3.1041958646394804E-2</v>
      </c>
      <c r="AG151" s="21"/>
      <c r="AH151" s="21">
        <v>5.5413564195308318</v>
      </c>
    </row>
    <row r="152" spans="1:34">
      <c r="A152" s="13" t="s">
        <v>67</v>
      </c>
      <c r="B152" s="13" t="s">
        <v>68</v>
      </c>
      <c r="C152" s="13">
        <v>150</v>
      </c>
      <c r="E152" s="14">
        <v>45650</v>
      </c>
      <c r="H152" s="16">
        <v>15.9</v>
      </c>
      <c r="I152" s="16">
        <v>7.55</v>
      </c>
      <c r="J152" s="16">
        <v>48.11</v>
      </c>
      <c r="P152" s="18">
        <v>1.3204598999999999E-2</v>
      </c>
      <c r="Q152" s="18">
        <v>2.163470142</v>
      </c>
      <c r="R152" s="21" t="s">
        <v>50</v>
      </c>
      <c r="S152" s="21">
        <v>2.6953911910000001</v>
      </c>
      <c r="T152" s="21">
        <v>4.3056813890000001</v>
      </c>
      <c r="U152" s="21">
        <v>0.12945521700000001</v>
      </c>
      <c r="V152" s="21" t="s">
        <v>50</v>
      </c>
      <c r="W152" s="18">
        <v>0.39399470168981732</v>
      </c>
      <c r="Y152" s="92">
        <v>0.82669529121133045</v>
      </c>
      <c r="Z152" s="20">
        <v>-7.0116601453643268</v>
      </c>
      <c r="AA152" s="10">
        <v>-34.07201716525374</v>
      </c>
      <c r="AB152" s="17">
        <v>3.2063278020949628</v>
      </c>
      <c r="AC152" s="18">
        <v>1.0272546777566465</v>
      </c>
      <c r="AD152" s="21">
        <v>0.21486416692936025</v>
      </c>
      <c r="AE152" s="21">
        <v>3.8507021217796558</v>
      </c>
      <c r="AF152" s="21">
        <v>2.8512247307507031E-2</v>
      </c>
      <c r="AG152" s="21"/>
      <c r="AH152" s="21">
        <v>4.874354153712928</v>
      </c>
    </row>
    <row r="153" spans="1:34">
      <c r="A153" s="13" t="s">
        <v>67</v>
      </c>
      <c r="B153" s="13" t="s">
        <v>68</v>
      </c>
      <c r="C153" s="13">
        <v>151</v>
      </c>
      <c r="E153" s="14">
        <v>45657</v>
      </c>
      <c r="H153" s="86">
        <v>14.1</v>
      </c>
      <c r="I153" s="86">
        <v>6.97</v>
      </c>
      <c r="J153" s="86">
        <v>56.83</v>
      </c>
      <c r="W153" s="18">
        <v>0.31027664827014589</v>
      </c>
      <c r="Y153" s="92">
        <v>0.63651166000000003</v>
      </c>
      <c r="Z153" s="20">
        <v>-7.3567071723063426</v>
      </c>
      <c r="AA153" s="10">
        <v>-39.110263417461248</v>
      </c>
      <c r="AB153" s="17">
        <v>3.4135928290706521</v>
      </c>
      <c r="AC153" s="18">
        <v>1.124084876319696</v>
      </c>
      <c r="AD153" s="21">
        <v>0.18114968722792843</v>
      </c>
      <c r="AE153" s="21">
        <v>4.2128841498901135</v>
      </c>
      <c r="AF153" s="21">
        <v>3.0411759637124693E-2</v>
      </c>
      <c r="AG153" s="21"/>
      <c r="AH153" s="21">
        <v>5.6312775458463884</v>
      </c>
    </row>
    <row r="154" spans="1:34">
      <c r="A154" s="13" t="s">
        <v>67</v>
      </c>
      <c r="B154" s="13" t="s">
        <v>68</v>
      </c>
      <c r="C154" s="13">
        <v>152</v>
      </c>
      <c r="E154" s="14">
        <v>45664</v>
      </c>
      <c r="H154" s="86">
        <v>15.8</v>
      </c>
      <c r="I154" s="86">
        <v>6.75</v>
      </c>
      <c r="J154" s="86">
        <v>52.41</v>
      </c>
      <c r="P154" s="18">
        <v>1.9543318E-2</v>
      </c>
      <c r="Q154" s="18">
        <v>2.2468323799999999</v>
      </c>
      <c r="R154" s="21" t="s">
        <v>50</v>
      </c>
      <c r="S154" s="21">
        <v>1.955357346</v>
      </c>
      <c r="T154" s="21">
        <v>4.9197172059999996</v>
      </c>
      <c r="U154" s="21">
        <v>0.14025854099999999</v>
      </c>
      <c r="V154" s="21">
        <v>3.4321556000000003E-2</v>
      </c>
      <c r="W154" s="18">
        <v>0.28758433292774932</v>
      </c>
      <c r="Y154" s="92"/>
      <c r="Z154" s="20">
        <v>-7.3020804886822557</v>
      </c>
      <c r="AA154" s="10">
        <v>-38.818404398572753</v>
      </c>
      <c r="AB154" s="17">
        <v>3.4794856800682572</v>
      </c>
      <c r="AC154" s="18">
        <v>1.1856687105945942</v>
      </c>
      <c r="AD154" s="21">
        <v>0.1448014765236833</v>
      </c>
      <c r="AE154" s="21">
        <v>4.4477854656283391</v>
      </c>
      <c r="AF154" s="21">
        <v>3.1026506999168001E-2</v>
      </c>
      <c r="AG154" s="21"/>
      <c r="AH154" s="21">
        <v>5.6120401971302947</v>
      </c>
    </row>
    <row r="155" spans="1:34">
      <c r="A155" s="13" t="s">
        <v>67</v>
      </c>
      <c r="B155" s="13" t="s">
        <v>68</v>
      </c>
      <c r="C155" s="13">
        <v>153</v>
      </c>
      <c r="E155" s="14">
        <v>45671</v>
      </c>
      <c r="H155" s="16">
        <v>14.1</v>
      </c>
      <c r="I155" s="16">
        <v>6.67</v>
      </c>
      <c r="J155" s="16">
        <v>54.5</v>
      </c>
      <c r="P155" s="18">
        <v>4.9931120000000001E-3</v>
      </c>
      <c r="Q155" s="18">
        <v>2.1890352900000001</v>
      </c>
      <c r="R155" s="21" t="s">
        <v>50</v>
      </c>
      <c r="S155" s="21">
        <v>2.0003287169999999</v>
      </c>
      <c r="T155" s="21">
        <v>5.1701834829999997</v>
      </c>
      <c r="U155" s="21">
        <v>0.13260618699999999</v>
      </c>
      <c r="V155" s="21">
        <v>3.1493901999999997E-2</v>
      </c>
      <c r="W155" s="18">
        <v>0.22477939294476987</v>
      </c>
      <c r="Y155" s="92">
        <v>0.61655640052860461</v>
      </c>
      <c r="Z155" s="20">
        <v>-7.231549833876473</v>
      </c>
      <c r="AA155" s="10">
        <v>-38.332200804386886</v>
      </c>
      <c r="AB155" s="17">
        <v>3.5294422305332316</v>
      </c>
      <c r="AC155" s="18">
        <v>1.2278889843728251</v>
      </c>
      <c r="AD155" s="21">
        <v>0.17565351243986235</v>
      </c>
      <c r="AE155" s="21">
        <v>4.6986264215244562</v>
      </c>
      <c r="AF155" s="21">
        <v>3.2252733942785348E-2</v>
      </c>
      <c r="AG155" s="21"/>
      <c r="AH155" s="21">
        <v>5.6061861799758388</v>
      </c>
    </row>
    <row r="156" spans="1:34">
      <c r="A156" s="13" t="s">
        <v>67</v>
      </c>
      <c r="B156" s="13" t="s">
        <v>68</v>
      </c>
      <c r="C156" s="13">
        <v>154</v>
      </c>
      <c r="E156" s="14">
        <v>45678</v>
      </c>
      <c r="H156" s="16">
        <v>15</v>
      </c>
      <c r="I156" s="16">
        <v>7.67</v>
      </c>
      <c r="J156" s="16">
        <v>56.01</v>
      </c>
      <c r="P156" s="18">
        <v>9.2198009999999997E-3</v>
      </c>
      <c r="Q156" s="18">
        <v>2.2434006659999999</v>
      </c>
      <c r="R156" s="21" t="s">
        <v>50</v>
      </c>
      <c r="S156" s="21">
        <v>1.854858133</v>
      </c>
      <c r="T156" s="21">
        <v>5.5040262560000004</v>
      </c>
      <c r="U156" s="21">
        <v>0.12540397</v>
      </c>
      <c r="V156" s="21">
        <v>2.3717854E-2</v>
      </c>
      <c r="W156" s="18">
        <v>0.33868383403219926</v>
      </c>
      <c r="Y156" s="92">
        <v>0.58014202729121112</v>
      </c>
      <c r="Z156" s="20">
        <v>-7.217720293718477</v>
      </c>
      <c r="AA156" s="10">
        <v>-38.297643054201963</v>
      </c>
      <c r="AB156" s="17">
        <v>3.7213928219616412</v>
      </c>
      <c r="AC156" s="18">
        <v>1.2700614582409602</v>
      </c>
      <c r="AD156" s="21">
        <v>0.18830093570418438</v>
      </c>
      <c r="AE156" s="21">
        <v>4.9075152546062268</v>
      </c>
      <c r="AF156" s="21">
        <v>3.310246330230409E-2</v>
      </c>
      <c r="AG156" s="21"/>
      <c r="AH156" s="21">
        <v>5.6777024363063582</v>
      </c>
    </row>
    <row r="157" spans="1:34">
      <c r="A157" s="13" t="s">
        <v>67</v>
      </c>
      <c r="B157" s="13" t="s">
        <v>68</v>
      </c>
      <c r="C157" s="13">
        <v>155</v>
      </c>
      <c r="E157" s="14">
        <v>45692</v>
      </c>
      <c r="H157" s="16">
        <v>7.7</v>
      </c>
      <c r="I157" s="16">
        <v>6.47</v>
      </c>
      <c r="J157" s="16">
        <v>56.59</v>
      </c>
      <c r="P157" s="18">
        <v>9.8700530000000002E-3</v>
      </c>
      <c r="Q157" s="18">
        <v>2.2380983649999999</v>
      </c>
      <c r="R157" s="21" t="s">
        <v>50</v>
      </c>
      <c r="S157" s="21">
        <v>2.4820154730000001</v>
      </c>
      <c r="T157" s="21">
        <v>5.6013441159999999</v>
      </c>
      <c r="U157" s="21">
        <v>4.8445130000000003E-2</v>
      </c>
      <c r="V157" s="21">
        <v>1.234427E-3</v>
      </c>
      <c r="W157" s="18">
        <v>0.26918012838811634</v>
      </c>
      <c r="Y157" s="92">
        <v>0.84489095750371712</v>
      </c>
      <c r="Z157" s="20">
        <v>-6.9905700966233821</v>
      </c>
      <c r="AA157" s="10">
        <v>-35.551499460299262</v>
      </c>
      <c r="AB157" s="17">
        <v>3.5155272238862825</v>
      </c>
      <c r="AC157" s="18">
        <v>1.2861409145165072</v>
      </c>
      <c r="AD157" s="21">
        <v>0.16655561572956942</v>
      </c>
      <c r="AE157" s="21">
        <v>4.9450569120320402</v>
      </c>
      <c r="AF157" s="21">
        <v>3.3203739026411348E-2</v>
      </c>
      <c r="AG157" s="21"/>
      <c r="AH157" s="21">
        <v>5.3325116161360704</v>
      </c>
    </row>
    <row r="158" spans="1:34">
      <c r="A158" s="13" t="s">
        <v>67</v>
      </c>
      <c r="B158" s="13" t="s">
        <v>68</v>
      </c>
      <c r="C158" s="13">
        <v>156</v>
      </c>
      <c r="E158" s="14">
        <v>45699</v>
      </c>
      <c r="H158" s="16">
        <v>15</v>
      </c>
      <c r="I158" s="16">
        <v>7.48</v>
      </c>
      <c r="J158" s="16">
        <v>60.16</v>
      </c>
      <c r="P158" s="18">
        <v>2.23E-2</v>
      </c>
      <c r="Q158" s="18">
        <v>2.2973594980000001</v>
      </c>
      <c r="R158" s="21" t="s">
        <v>50</v>
      </c>
      <c r="S158" s="21">
        <v>2.154261677</v>
      </c>
      <c r="T158" s="21">
        <v>5.8607520969999998</v>
      </c>
      <c r="U158" s="21">
        <v>0.13246852000000001</v>
      </c>
      <c r="V158" s="21" t="s">
        <v>50</v>
      </c>
      <c r="W158" s="18">
        <v>0.17941258169677832</v>
      </c>
      <c r="Y158" s="92">
        <v>0.67462203954568256</v>
      </c>
      <c r="Z158" s="20">
        <v>-7.1471896389126934</v>
      </c>
      <c r="AA158" s="10">
        <v>-37.058354230738772</v>
      </c>
      <c r="AB158" s="17">
        <v>3.6449000001652059</v>
      </c>
      <c r="AC158" s="18">
        <v>1.3061929086170727</v>
      </c>
      <c r="AD158" s="21">
        <v>0.18524772099926065</v>
      </c>
      <c r="AE158" s="21">
        <v>5.0558667012729508</v>
      </c>
      <c r="AF158" s="21">
        <v>3.37404536033592E-2</v>
      </c>
      <c r="AG158" s="21"/>
      <c r="AH158" s="21">
        <v>5.515740728487371</v>
      </c>
    </row>
    <row r="159" spans="1:34">
      <c r="A159" s="13" t="s">
        <v>67</v>
      </c>
      <c r="B159" s="13" t="s">
        <v>68</v>
      </c>
      <c r="C159" s="13">
        <v>157</v>
      </c>
      <c r="E159" s="14">
        <v>45706</v>
      </c>
      <c r="H159" s="16">
        <v>13.3</v>
      </c>
      <c r="I159" s="16">
        <v>7.22</v>
      </c>
      <c r="J159" s="16">
        <v>54.49</v>
      </c>
      <c r="P159" s="18">
        <v>2.8000000000000001E-2</v>
      </c>
      <c r="Q159" s="18">
        <v>2.238905935</v>
      </c>
      <c r="R159" s="21" t="s">
        <v>50</v>
      </c>
      <c r="S159" s="21">
        <v>2.1533845039999999</v>
      </c>
      <c r="T159" s="21">
        <v>5.0505246469999996</v>
      </c>
      <c r="U159" s="21">
        <v>0.126529684</v>
      </c>
      <c r="V159" s="21">
        <v>1.4390755999999999E-2</v>
      </c>
      <c r="W159" s="18">
        <v>0.28362580471949189</v>
      </c>
      <c r="Y159" s="92">
        <v>0.56002838955796574</v>
      </c>
      <c r="Z159" s="20">
        <v>-7.2374273884436233</v>
      </c>
      <c r="AA159" s="10">
        <v>-37.675945706815817</v>
      </c>
      <c r="AB159" s="17">
        <v>3.4728950889589538</v>
      </c>
      <c r="AC159" s="18">
        <v>1.1872596807402476</v>
      </c>
      <c r="AD159" s="21">
        <v>0.17902311356822312</v>
      </c>
      <c r="AE159" s="21">
        <v>4.4280416730100454</v>
      </c>
      <c r="AF159" s="21">
        <v>3.1041135761893258E-2</v>
      </c>
      <c r="AG159" s="21"/>
      <c r="AH159" s="21">
        <v>5.5114380194555688</v>
      </c>
    </row>
    <row r="160" spans="1:34">
      <c r="A160" s="13" t="s">
        <v>67</v>
      </c>
      <c r="B160" s="13" t="s">
        <v>68</v>
      </c>
      <c r="C160" s="13">
        <v>158</v>
      </c>
      <c r="E160" s="14">
        <v>45713</v>
      </c>
      <c r="H160" s="16">
        <v>11.6</v>
      </c>
      <c r="I160" s="16">
        <v>7.76</v>
      </c>
      <c r="J160" s="16">
        <v>51.59</v>
      </c>
      <c r="P160" s="18">
        <v>4.7399999999999998E-2</v>
      </c>
      <c r="Q160" s="18">
        <v>2.3889606400000001</v>
      </c>
      <c r="R160" s="21" t="s">
        <v>50</v>
      </c>
      <c r="S160" s="21">
        <v>2.3640642330000001</v>
      </c>
      <c r="T160" s="21">
        <v>4.8319336120000003</v>
      </c>
      <c r="U160" s="21">
        <v>0.110427541</v>
      </c>
      <c r="V160" s="21" t="s">
        <v>50</v>
      </c>
      <c r="W160" s="18">
        <v>0.22984896609347327</v>
      </c>
      <c r="Y160" s="92">
        <v>0.60438707387938884</v>
      </c>
      <c r="Z160" s="20">
        <v>-7.1451152078889946</v>
      </c>
      <c r="AA160" s="10">
        <v>-36.661111181583394</v>
      </c>
      <c r="AB160" s="17">
        <v>3.3909424362979244</v>
      </c>
      <c r="AC160" s="18">
        <v>1.1227350141316212</v>
      </c>
      <c r="AD160" s="21">
        <v>0.18099852533010752</v>
      </c>
      <c r="AE160" s="21">
        <v>4.2436516555594368</v>
      </c>
      <c r="AF160" s="21">
        <v>2.9974584332165276E-2</v>
      </c>
      <c r="AG160" s="21"/>
      <c r="AH160" s="21">
        <v>5.3855657697797579</v>
      </c>
    </row>
    <row r="161" spans="1:34">
      <c r="A161" s="13" t="s">
        <v>67</v>
      </c>
      <c r="B161" s="13" t="s">
        <v>68</v>
      </c>
      <c r="C161" s="13">
        <v>159</v>
      </c>
      <c r="E161" s="14">
        <v>45720</v>
      </c>
      <c r="H161" s="16">
        <v>12.2</v>
      </c>
      <c r="I161" s="16">
        <v>7.86</v>
      </c>
      <c r="J161" s="16">
        <v>58.23</v>
      </c>
      <c r="P161" s="18">
        <v>2.7400000000000001E-2</v>
      </c>
      <c r="Q161" s="18">
        <v>2.2111885020000002</v>
      </c>
      <c r="R161" s="21" t="s">
        <v>50</v>
      </c>
      <c r="S161" s="21">
        <v>1.9491886860000001</v>
      </c>
      <c r="T161" s="21">
        <v>5.057348921</v>
      </c>
      <c r="U161" s="21">
        <v>0.13026713300000001</v>
      </c>
      <c r="V161" s="21">
        <v>2.5283157000000001E-2</v>
      </c>
      <c r="W161" s="18">
        <v>0.28625446287212669</v>
      </c>
      <c r="Y161" s="92">
        <v>0.53633681952266032</v>
      </c>
      <c r="Z161" s="20">
        <v>-7.25297947300459</v>
      </c>
      <c r="AA161" s="10">
        <v>-38.177393597446141</v>
      </c>
      <c r="AB161" s="17">
        <v>3.8053363906852273</v>
      </c>
      <c r="AC161" s="18">
        <v>1.2519288752420035</v>
      </c>
      <c r="AD161" s="21">
        <v>0.23880876296379661</v>
      </c>
      <c r="AE161" s="21">
        <v>4.8200531603003629</v>
      </c>
      <c r="AF161" s="21">
        <v>3.3574269825578693E-2</v>
      </c>
      <c r="AG161" s="21"/>
      <c r="AH161" s="21">
        <v>5.7630140909533729</v>
      </c>
    </row>
    <row r="162" spans="1:34">
      <c r="A162" s="13" t="s">
        <v>67</v>
      </c>
      <c r="B162" s="13" t="s">
        <v>68</v>
      </c>
      <c r="C162" s="13">
        <v>160</v>
      </c>
      <c r="E162" s="14">
        <v>45727</v>
      </c>
      <c r="H162" s="16">
        <v>17.899999999999999</v>
      </c>
      <c r="I162" s="16">
        <v>7.82</v>
      </c>
      <c r="J162" s="16">
        <v>55.84</v>
      </c>
      <c r="W162" s="18">
        <v>0.41137422703841892</v>
      </c>
      <c r="Y162" s="92">
        <v>0.5195762939125772</v>
      </c>
      <c r="Z162" s="20">
        <v>-7.2186034641843921</v>
      </c>
      <c r="AA162" s="10">
        <v>-37.586899771216927</v>
      </c>
      <c r="AB162" s="17">
        <v>3.6798441846475756</v>
      </c>
      <c r="AC162" s="18">
        <v>1.2171426356969195</v>
      </c>
      <c r="AD162" s="21">
        <v>0.24692115486595995</v>
      </c>
      <c r="AE162" s="21">
        <v>4.6806696193546227</v>
      </c>
      <c r="AF162" s="21">
        <v>3.279164189243633E-2</v>
      </c>
      <c r="AG162" s="21"/>
      <c r="AH162" s="21">
        <v>5.7415304114188386</v>
      </c>
    </row>
    <row r="163" spans="1:34">
      <c r="A163" s="13" t="s">
        <v>67</v>
      </c>
      <c r="B163" s="13" t="s">
        <v>68</v>
      </c>
      <c r="C163" s="13">
        <v>161</v>
      </c>
      <c r="E163" s="14">
        <v>45734</v>
      </c>
      <c r="H163" s="16">
        <v>16.399999999999999</v>
      </c>
      <c r="I163" s="16">
        <v>7.63</v>
      </c>
      <c r="J163" s="16">
        <v>44.99</v>
      </c>
      <c r="P163" s="18">
        <v>2.9100000000000001E-2</v>
      </c>
      <c r="Q163" s="18">
        <v>2.2608262510000001</v>
      </c>
      <c r="R163" s="21" t="s">
        <v>50</v>
      </c>
      <c r="S163" s="21">
        <v>2.2390499930000001</v>
      </c>
      <c r="T163" s="21">
        <v>5.2033305030000001</v>
      </c>
      <c r="U163" s="21">
        <v>0.11324097499999999</v>
      </c>
      <c r="V163" s="21" t="s">
        <v>50</v>
      </c>
      <c r="W163" s="18">
        <v>0.24053243341945829</v>
      </c>
      <c r="Y163" s="92">
        <v>0.50952146433554946</v>
      </c>
      <c r="Z163" s="20">
        <v>-7.0780956999775668</v>
      </c>
      <c r="AA163" s="10">
        <v>-36.761867105019164</v>
      </c>
      <c r="AB163" s="17">
        <v>3.663451193314414</v>
      </c>
      <c r="AC163" s="18">
        <v>1.2160418996576294</v>
      </c>
      <c r="AD163" s="21">
        <v>0.23370476999177664</v>
      </c>
      <c r="AE163" s="21">
        <v>4.660268926369846</v>
      </c>
      <c r="AF163" s="21">
        <v>3.2761920944763663E-2</v>
      </c>
      <c r="AG163" s="21"/>
      <c r="AH163" s="21">
        <v>5.5955590182831383</v>
      </c>
    </row>
    <row r="164" spans="1:34">
      <c r="A164" s="13" t="s">
        <v>67</v>
      </c>
      <c r="B164" s="13" t="s">
        <v>68</v>
      </c>
      <c r="C164" s="13">
        <v>162</v>
      </c>
      <c r="E164" s="14">
        <v>45741</v>
      </c>
      <c r="H164" s="16">
        <v>12.5</v>
      </c>
      <c r="I164" s="16">
        <v>7.77</v>
      </c>
      <c r="J164" s="16">
        <v>58.37</v>
      </c>
      <c r="P164" s="18">
        <v>3.5900000000000001E-2</v>
      </c>
      <c r="Q164" s="18">
        <v>2.266807595</v>
      </c>
      <c r="R164" s="21" t="s">
        <v>50</v>
      </c>
      <c r="S164" s="21">
        <v>1.857352023</v>
      </c>
      <c r="T164" s="21">
        <v>5.5034720070000001</v>
      </c>
      <c r="U164" s="21">
        <v>0.13234349400000001</v>
      </c>
      <c r="V164" s="21" t="s">
        <v>50</v>
      </c>
      <c r="W164" s="18">
        <v>0.36388017489488722</v>
      </c>
      <c r="Y164" s="92">
        <v>0.47839472889617396</v>
      </c>
      <c r="Z164" s="20">
        <v>-7.1959086234098937</v>
      </c>
      <c r="AA164" s="10">
        <v>-37.643295249002868</v>
      </c>
      <c r="AB164" s="17">
        <v>3.7951707759444551</v>
      </c>
      <c r="AC164" s="18">
        <v>1.2862988870756173</v>
      </c>
      <c r="AD164" s="21">
        <v>0.24447817855353435</v>
      </c>
      <c r="AE164" s="21">
        <v>5.0135116796485812</v>
      </c>
      <c r="AF164" s="21">
        <v>3.5398251836506515E-2</v>
      </c>
      <c r="AG164" s="21"/>
      <c r="AH164" s="21">
        <v>5.8062713677376694</v>
      </c>
    </row>
    <row r="165" spans="1:34">
      <c r="A165" s="13" t="s">
        <v>67</v>
      </c>
      <c r="B165" s="13" t="s">
        <v>68</v>
      </c>
      <c r="C165" s="13">
        <v>163</v>
      </c>
      <c r="E165" s="14">
        <v>45748</v>
      </c>
      <c r="H165" s="16">
        <v>11.7</v>
      </c>
      <c r="I165" s="16">
        <v>7.62</v>
      </c>
      <c r="J165" s="16">
        <v>52.29</v>
      </c>
      <c r="P165" s="18">
        <v>3.3719245000000002E-2</v>
      </c>
      <c r="Q165" s="18">
        <v>2.2234604440000001</v>
      </c>
      <c r="R165" s="21" t="s">
        <v>50</v>
      </c>
      <c r="S165" s="21">
        <v>3.185778048</v>
      </c>
      <c r="T165" s="21">
        <v>4.5969926499999998</v>
      </c>
      <c r="U165" s="21">
        <v>0.124530591</v>
      </c>
      <c r="V165" s="21" t="s">
        <v>50</v>
      </c>
      <c r="W165" s="18">
        <v>0.39832964857927761</v>
      </c>
      <c r="Y165" s="92">
        <v>0.70970646594487341</v>
      </c>
      <c r="Z165" s="20">
        <v>-6.7550279665994006</v>
      </c>
      <c r="AA165" s="10">
        <v>-32.655281107889216</v>
      </c>
      <c r="AB165" s="17">
        <v>3.3073020160103557</v>
      </c>
      <c r="AC165" s="18">
        <v>1.109320483623067</v>
      </c>
      <c r="AD165" s="21">
        <v>0.22955298701791635</v>
      </c>
      <c r="AE165" s="21">
        <v>4.0927380128030109</v>
      </c>
      <c r="AF165" s="21">
        <v>2.9057802879689662E-2</v>
      </c>
      <c r="AG165" s="21"/>
      <c r="AH165" s="21">
        <v>5.0041641462238911</v>
      </c>
    </row>
    <row r="166" spans="1:34">
      <c r="A166" s="13" t="s">
        <v>67</v>
      </c>
      <c r="B166" s="13" t="s">
        <v>68</v>
      </c>
      <c r="C166" s="13">
        <v>164</v>
      </c>
      <c r="E166" s="14">
        <v>45755</v>
      </c>
      <c r="H166" s="16">
        <v>17.100000000000001</v>
      </c>
      <c r="I166" s="16">
        <v>6.86</v>
      </c>
      <c r="J166" s="16">
        <v>56.58</v>
      </c>
      <c r="P166" s="18">
        <v>3.0182961000000001E-2</v>
      </c>
      <c r="Q166" s="18">
        <v>2.358921429</v>
      </c>
      <c r="R166" s="21" t="s">
        <v>50</v>
      </c>
      <c r="S166" s="21">
        <v>2.0312413720000002</v>
      </c>
      <c r="T166" s="21">
        <v>5.3266760079999997</v>
      </c>
      <c r="U166" s="21">
        <v>0.13699463000000001</v>
      </c>
      <c r="V166" s="21" t="s">
        <v>50</v>
      </c>
      <c r="W166" s="18">
        <v>0.3672313785003769</v>
      </c>
      <c r="Y166" s="92">
        <v>0.44093203644422557</v>
      </c>
      <c r="Z166" s="20">
        <v>-7.1752162685860847</v>
      </c>
      <c r="AA166" s="10">
        <v>-37.249190380710573</v>
      </c>
      <c r="AB166" s="17">
        <v>3.7603707413924345</v>
      </c>
      <c r="AC166" s="18">
        <v>1.2646616319260995</v>
      </c>
      <c r="AD166" s="21">
        <v>0.23993104935028087</v>
      </c>
      <c r="AE166" s="21">
        <v>4.7680503415533719</v>
      </c>
      <c r="AF166" s="21">
        <v>3.3977586992077022E-2</v>
      </c>
      <c r="AG166" s="21"/>
      <c r="AH166" s="21">
        <v>5.8399681645613519</v>
      </c>
    </row>
    <row r="167" spans="1:34">
      <c r="A167" s="13" t="s">
        <v>67</v>
      </c>
      <c r="B167" s="13" t="s">
        <v>68</v>
      </c>
      <c r="C167" s="13">
        <v>165</v>
      </c>
      <c r="E167" s="14">
        <v>45762</v>
      </c>
      <c r="H167" s="16">
        <v>17.3</v>
      </c>
      <c r="I167" s="16">
        <v>7.54</v>
      </c>
      <c r="J167" s="16">
        <v>50.9</v>
      </c>
      <c r="P167" s="18">
        <v>3.7962081000000002E-2</v>
      </c>
      <c r="Q167" s="18">
        <v>2.4142240340000001</v>
      </c>
      <c r="R167" s="21" t="s">
        <v>50</v>
      </c>
      <c r="S167" s="21">
        <v>2.0917151340000002</v>
      </c>
      <c r="T167" s="21">
        <v>5.7777432129999999</v>
      </c>
      <c r="U167" s="21">
        <v>0.16026083699999999</v>
      </c>
      <c r="V167" s="21" t="s">
        <v>50</v>
      </c>
      <c r="W167" s="18">
        <v>0.5653955237767283</v>
      </c>
      <c r="Y167" s="92">
        <v>0.47839472889617396</v>
      </c>
      <c r="Z167" s="20">
        <v>-7.1268228581110504</v>
      </c>
      <c r="AA167" s="10">
        <v>-37.127774234418489</v>
      </c>
      <c r="AB167" s="17">
        <v>3.8533815067515786</v>
      </c>
      <c r="AC167" s="18">
        <v>1.3120742320817225</v>
      </c>
      <c r="AD167" s="21">
        <v>0.23860474028737147</v>
      </c>
      <c r="AE167" s="21">
        <v>4.9690880192445022</v>
      </c>
      <c r="AF167" s="21">
        <v>3.575940012094303E-2</v>
      </c>
      <c r="AG167" s="21"/>
      <c r="AH167" s="21">
        <v>5.7656675350447664</v>
      </c>
    </row>
    <row r="168" spans="1:34">
      <c r="A168" s="13" t="s">
        <v>67</v>
      </c>
      <c r="B168" s="13" t="s">
        <v>68</v>
      </c>
      <c r="C168" s="13">
        <v>166</v>
      </c>
      <c r="E168" s="14">
        <v>45769</v>
      </c>
      <c r="H168" s="16">
        <v>19.600000000000001</v>
      </c>
      <c r="I168" s="16">
        <v>7.58</v>
      </c>
      <c r="J168" s="16">
        <v>62.57</v>
      </c>
      <c r="P168" s="18">
        <v>4.0753375000000001E-2</v>
      </c>
      <c r="Q168" s="18">
        <v>2.287711748</v>
      </c>
      <c r="R168" s="21" t="s">
        <v>50</v>
      </c>
      <c r="S168" s="21">
        <v>1.9416022239999999</v>
      </c>
      <c r="T168" s="21">
        <v>5.817397701</v>
      </c>
      <c r="U168" s="21">
        <v>0.12715821699999999</v>
      </c>
      <c r="V168" s="21">
        <v>4.8089917000000003E-2</v>
      </c>
      <c r="W168" s="18">
        <v>0.4646279839917396</v>
      </c>
      <c r="Y168" s="92">
        <v>0.48365181382909894</v>
      </c>
      <c r="Z168" s="20">
        <v>-7.2259459126702605</v>
      </c>
      <c r="AA168" s="10">
        <v>-37.724902822740162</v>
      </c>
      <c r="AB168" s="17">
        <v>3.9872007941932979</v>
      </c>
      <c r="AC168" s="18">
        <v>1.3963417688891377</v>
      </c>
      <c r="AD168" s="21">
        <v>0.26144906197972523</v>
      </c>
      <c r="AE168" s="21">
        <v>5.2637401566436965</v>
      </c>
      <c r="AF168" s="21">
        <v>3.7498273332900713E-2</v>
      </c>
      <c r="AG168" s="21"/>
      <c r="AH168" s="21">
        <v>5.8982527096785295</v>
      </c>
    </row>
    <row r="169" spans="1:34">
      <c r="A169" s="13" t="s">
        <v>67</v>
      </c>
      <c r="B169" s="13" t="s">
        <v>68</v>
      </c>
      <c r="C169" s="13">
        <v>167</v>
      </c>
      <c r="E169" s="14">
        <v>45776</v>
      </c>
      <c r="H169" s="16">
        <v>15.9</v>
      </c>
      <c r="I169" s="16">
        <v>7.6</v>
      </c>
      <c r="J169" s="16">
        <v>59.87</v>
      </c>
      <c r="W169" s="18">
        <v>0.35846913337329372</v>
      </c>
      <c r="Y169" s="92">
        <v>0.51252575239470732</v>
      </c>
      <c r="Z169" s="20">
        <v>-7.0844369054880874</v>
      </c>
      <c r="AA169" s="10">
        <v>-36.97915556354733</v>
      </c>
      <c r="AB169" s="17">
        <v>3.9975182726284508</v>
      </c>
      <c r="AC169" s="18">
        <v>1.4222013531874806</v>
      </c>
      <c r="AD169" s="21">
        <v>0.24335974603579283</v>
      </c>
      <c r="AE169" s="21">
        <v>5.4783889962962853</v>
      </c>
      <c r="AF169" s="21">
        <v>3.9106335592699389E-2</v>
      </c>
      <c r="AG169" s="21"/>
      <c r="AH169" s="21">
        <v>5.8310028412008261</v>
      </c>
    </row>
    <row r="170" spans="1:34">
      <c r="A170" s="13" t="s">
        <v>67</v>
      </c>
      <c r="B170" s="13" t="s">
        <v>68</v>
      </c>
      <c r="C170" s="13">
        <v>168</v>
      </c>
      <c r="E170" s="14">
        <v>45783</v>
      </c>
      <c r="H170" s="16">
        <v>17.8</v>
      </c>
      <c r="I170" s="16">
        <v>7.53</v>
      </c>
      <c r="J170" s="16">
        <v>53.32</v>
      </c>
      <c r="P170" s="18">
        <v>4.9736043000000001E-2</v>
      </c>
      <c r="Q170" s="18">
        <v>2.3494868000000002</v>
      </c>
      <c r="R170" s="21" t="s">
        <v>50</v>
      </c>
      <c r="S170" s="21">
        <v>2.059856398</v>
      </c>
      <c r="T170" s="21">
        <v>6.4383671150000001</v>
      </c>
      <c r="U170" s="21">
        <v>0.166017207</v>
      </c>
      <c r="V170" s="21" t="s">
        <v>50</v>
      </c>
      <c r="W170" s="18">
        <v>0.26818571841276845</v>
      </c>
      <c r="Y170" s="92">
        <v>0.52287980799864076</v>
      </c>
      <c r="Z170" s="20">
        <v>-7.1104692228470734</v>
      </c>
      <c r="AA170" s="10">
        <v>-37.149668949323619</v>
      </c>
      <c r="AB170" s="17">
        <v>4.072133689380979</v>
      </c>
      <c r="AC170" s="18">
        <v>1.4951436561833376</v>
      </c>
      <c r="AD170" s="21">
        <v>0.27316512017116779</v>
      </c>
      <c r="AE170" s="21">
        <v>5.6970300847209883</v>
      </c>
      <c r="AF170" s="21">
        <v>4.1052650542677427E-2</v>
      </c>
      <c r="AG170" s="21"/>
      <c r="AH170" s="21">
        <v>5.9391951002484795</v>
      </c>
    </row>
    <row r="171" spans="1:34">
      <c r="A171" s="13" t="s">
        <v>67</v>
      </c>
      <c r="B171" s="13" t="s">
        <v>68</v>
      </c>
      <c r="C171" s="13">
        <v>169</v>
      </c>
      <c r="E171" s="14">
        <v>45790</v>
      </c>
      <c r="H171" s="16">
        <v>14</v>
      </c>
      <c r="I171" s="16">
        <v>7.6</v>
      </c>
      <c r="J171" s="16">
        <v>62.56</v>
      </c>
      <c r="P171" s="18">
        <v>4.6520552E-2</v>
      </c>
      <c r="Q171" s="18">
        <v>2.1761610629999999</v>
      </c>
      <c r="R171" s="21" t="s">
        <v>50</v>
      </c>
      <c r="S171" s="21">
        <v>2.3136517849999998</v>
      </c>
      <c r="T171" s="21">
        <v>4.8086595020000003</v>
      </c>
      <c r="U171" s="21">
        <v>0.107077249</v>
      </c>
      <c r="V171" s="21" t="s">
        <v>50</v>
      </c>
      <c r="W171" s="18">
        <v>0.13698222078198491</v>
      </c>
      <c r="Y171" s="92">
        <v>0.60571225283010854</v>
      </c>
      <c r="Z171" s="20">
        <v>-7.0400484669144356</v>
      </c>
      <c r="AA171" s="10">
        <v>-35.720872932711721</v>
      </c>
      <c r="AB171" s="17">
        <v>3.6539382308089801</v>
      </c>
      <c r="AC171" s="18">
        <v>1.2641570375002775</v>
      </c>
      <c r="AD171" s="21">
        <v>0.23993933890576299</v>
      </c>
      <c r="AE171" s="21">
        <v>4.7392970720010856</v>
      </c>
      <c r="AF171" s="21">
        <v>3.3705293883874367E-2</v>
      </c>
      <c r="AG171" s="21"/>
      <c r="AH171" s="21">
        <v>5.6361372229138427</v>
      </c>
    </row>
    <row r="172" spans="1:34">
      <c r="A172" s="13" t="s">
        <v>67</v>
      </c>
      <c r="B172" s="13" t="s">
        <v>68</v>
      </c>
      <c r="C172" s="13">
        <v>170</v>
      </c>
      <c r="E172" s="14">
        <v>45797</v>
      </c>
      <c r="H172" s="16">
        <v>16.2</v>
      </c>
      <c r="I172" s="16">
        <v>7.35</v>
      </c>
      <c r="J172" s="16">
        <v>69.930000000000007</v>
      </c>
      <c r="P172" s="18">
        <v>4.3486336E-2</v>
      </c>
      <c r="Q172" s="18">
        <v>2.1921550590000001</v>
      </c>
      <c r="R172" s="21" t="s">
        <v>50</v>
      </c>
      <c r="S172" s="21">
        <v>1.8821653149999999</v>
      </c>
      <c r="T172" s="21">
        <v>5.2714066040000001</v>
      </c>
      <c r="U172" s="21">
        <v>0.10944081899999999</v>
      </c>
      <c r="V172" s="21" t="s">
        <v>50</v>
      </c>
      <c r="W172" s="18">
        <v>0.24654650470023826</v>
      </c>
      <c r="Y172" s="92">
        <v>0.48146358558290675</v>
      </c>
      <c r="Z172" s="20">
        <v>-7.3264685572341417</v>
      </c>
      <c r="AA172" s="10">
        <v>-37.572822149046772</v>
      </c>
      <c r="AB172" s="17">
        <v>3.5880077244849335</v>
      </c>
      <c r="AC172" s="18">
        <v>1.3405083974545646</v>
      </c>
      <c r="AD172" s="21">
        <v>0.24249119796016538</v>
      </c>
      <c r="AE172" s="21">
        <v>5.0302760786256382</v>
      </c>
      <c r="AF172" s="21">
        <v>3.6538986919772073E-2</v>
      </c>
      <c r="AG172" s="21"/>
      <c r="AH172" s="21">
        <v>5.7067374809271296</v>
      </c>
    </row>
    <row r="173" spans="1:34">
      <c r="A173" s="13" t="s">
        <v>67</v>
      </c>
      <c r="B173" s="13" t="s">
        <v>68</v>
      </c>
      <c r="C173" s="13">
        <v>171</v>
      </c>
      <c r="E173" s="14">
        <v>45804</v>
      </c>
      <c r="H173" s="16">
        <v>18.899999999999999</v>
      </c>
      <c r="I173" s="16">
        <v>7.02</v>
      </c>
      <c r="J173" s="16">
        <v>65.91</v>
      </c>
      <c r="W173" s="18">
        <v>1.9660450244201728</v>
      </c>
      <c r="Y173" s="92">
        <v>0.55953213201306373</v>
      </c>
      <c r="Z173" s="20">
        <v>-7.2864101867114597</v>
      </c>
      <c r="AA173" s="10">
        <v>-37.152650054531911</v>
      </c>
      <c r="AB173" s="17">
        <v>3.6434013656822373</v>
      </c>
      <c r="AC173" s="18">
        <v>1.3608555220077747</v>
      </c>
      <c r="AD173" s="21">
        <v>0.18664563931468137</v>
      </c>
      <c r="AE173" s="21">
        <v>5.6776732598454229</v>
      </c>
      <c r="AF173" s="21">
        <v>3.6981963451513764E-2</v>
      </c>
      <c r="AG173" s="21"/>
      <c r="AH173" s="21">
        <v>5.5969551412509668</v>
      </c>
    </row>
    <row r="174" spans="1:34">
      <c r="A174" s="13" t="s">
        <v>67</v>
      </c>
      <c r="B174" s="13" t="s">
        <v>68</v>
      </c>
      <c r="C174" s="13">
        <v>172</v>
      </c>
      <c r="E174" s="14">
        <v>45811</v>
      </c>
      <c r="H174" s="16">
        <v>16.8</v>
      </c>
      <c r="I174" s="16">
        <v>7.68</v>
      </c>
      <c r="J174" s="16">
        <v>37.119999999999997</v>
      </c>
      <c r="P174" s="18">
        <v>5.7838476999999999E-2</v>
      </c>
      <c r="Q174" s="18">
        <v>2.2264056280000002</v>
      </c>
      <c r="R174" s="21" t="s">
        <v>50</v>
      </c>
      <c r="S174" s="21">
        <v>2.1628796260000001</v>
      </c>
      <c r="T174" s="21">
        <v>5.4785690220000003</v>
      </c>
      <c r="U174" s="21">
        <v>0.16231221200000001</v>
      </c>
      <c r="V174" s="21">
        <v>0.59429206599999995</v>
      </c>
      <c r="W174" s="18">
        <v>1.1458184988894535</v>
      </c>
      <c r="Y174" s="92">
        <v>0.53918550903077045</v>
      </c>
      <c r="Z174" s="20">
        <v>-7.2685690637055584</v>
      </c>
      <c r="AA174" s="10">
        <v>-37.057232487251639</v>
      </c>
      <c r="AB174" s="17">
        <v>3.5699157770106322</v>
      </c>
      <c r="AC174" s="18">
        <v>1.3576435262746689</v>
      </c>
      <c r="AD174" s="21">
        <v>0.21213947031452646</v>
      </c>
      <c r="AE174" s="21">
        <v>5.5854234753982626</v>
      </c>
      <c r="AF174" s="21">
        <v>3.6854271360840497E-2</v>
      </c>
      <c r="AG174" s="21"/>
      <c r="AH174" s="21">
        <v>5.503070569746277</v>
      </c>
    </row>
    <row r="175" spans="1:34">
      <c r="A175" s="13" t="s">
        <v>67</v>
      </c>
      <c r="B175" s="13" t="s">
        <v>68</v>
      </c>
      <c r="C175" s="13">
        <v>173</v>
      </c>
      <c r="E175" s="14">
        <v>45818</v>
      </c>
      <c r="H175" s="16">
        <v>15.1</v>
      </c>
      <c r="I175" s="16">
        <v>7.66</v>
      </c>
      <c r="J175" s="16">
        <v>85.63</v>
      </c>
      <c r="P175" s="18">
        <v>6.3982737999999997E-2</v>
      </c>
      <c r="Q175" s="18">
        <v>2.2283772150000001</v>
      </c>
      <c r="R175" s="21" t="s">
        <v>50</v>
      </c>
      <c r="S175" s="21">
        <v>2.5932243279999998</v>
      </c>
      <c r="T175" s="21">
        <v>5.1154707349999997</v>
      </c>
      <c r="U175" s="21">
        <v>0.14767793000000001</v>
      </c>
      <c r="V175" s="21" t="s">
        <v>50</v>
      </c>
      <c r="W175" s="18">
        <v>0.63275253187995273</v>
      </c>
      <c r="Y175" s="92">
        <v>0.62057200095994325</v>
      </c>
      <c r="Z175" s="20">
        <v>-7.2126893199512274</v>
      </c>
      <c r="AA175" s="10">
        <v>-36.356164466602955</v>
      </c>
      <c r="AB175" s="17">
        <v>3.5547170896670792</v>
      </c>
      <c r="AC175" s="18">
        <v>1.2687900803589012</v>
      </c>
      <c r="AD175" s="21">
        <v>0.20300960454511113</v>
      </c>
      <c r="AE175" s="21">
        <v>5.050951152986249</v>
      </c>
      <c r="AF175" s="21">
        <v>3.4748007505339767E-2</v>
      </c>
      <c r="AG175" s="21"/>
      <c r="AH175" s="21">
        <v>5.4698765768542472</v>
      </c>
    </row>
    <row r="176" spans="1:34">
      <c r="A176" s="13" t="s">
        <v>67</v>
      </c>
      <c r="B176" s="13" t="s">
        <v>68</v>
      </c>
      <c r="C176" s="13">
        <v>174</v>
      </c>
      <c r="E176" s="14">
        <v>45825</v>
      </c>
      <c r="H176" s="16">
        <v>19.8</v>
      </c>
      <c r="I176" s="16">
        <v>6.91</v>
      </c>
      <c r="J176" s="16">
        <v>60.09</v>
      </c>
      <c r="P176" s="18">
        <v>4.2810484000000003E-2</v>
      </c>
      <c r="Q176" s="18">
        <v>2.0139741999999998</v>
      </c>
      <c r="R176" s="21" t="s">
        <v>50</v>
      </c>
      <c r="S176" s="21">
        <v>2.655531699</v>
      </c>
      <c r="T176" s="21">
        <v>4.601463978</v>
      </c>
      <c r="U176" s="21">
        <v>0.131752388</v>
      </c>
      <c r="V176" s="21">
        <v>3.8307906000000003E-2</v>
      </c>
      <c r="W176" s="18">
        <v>0.53017929623146998</v>
      </c>
      <c r="Y176" s="92">
        <v>0.58712376838979607</v>
      </c>
      <c r="Z176" s="20">
        <v>-7.5395521584178242</v>
      </c>
      <c r="AA176" s="10">
        <v>-39.845434242725538</v>
      </c>
      <c r="AB176" s="17">
        <v>3.1339666362198875</v>
      </c>
      <c r="AC176" s="18">
        <v>1.1778082108837207</v>
      </c>
      <c r="AD176" s="21">
        <v>0.20450265350564198</v>
      </c>
      <c r="AE176" s="21">
        <v>4.3126054349159579</v>
      </c>
      <c r="AF176" s="21">
        <v>3.234236197602703E-2</v>
      </c>
      <c r="AG176" s="21"/>
      <c r="AH176" s="21">
        <v>5.1804712716387753</v>
      </c>
    </row>
    <row r="177" spans="1:34">
      <c r="A177" s="13" t="s">
        <v>67</v>
      </c>
      <c r="B177" s="13" t="s">
        <v>68</v>
      </c>
      <c r="C177" s="13">
        <v>175</v>
      </c>
      <c r="E177" s="14">
        <v>45832</v>
      </c>
      <c r="H177" s="16">
        <v>16.2</v>
      </c>
      <c r="I177" s="16">
        <v>6.95</v>
      </c>
      <c r="J177" s="16">
        <v>64.95</v>
      </c>
      <c r="P177" s="18">
        <v>4.5314699E-2</v>
      </c>
      <c r="Q177" s="18">
        <v>2.2141751759999999</v>
      </c>
      <c r="R177" s="21" t="s">
        <v>50</v>
      </c>
      <c r="S177" s="21">
        <v>1.9697770610000001</v>
      </c>
      <c r="T177" s="21">
        <v>5.4292156330000001</v>
      </c>
      <c r="U177" s="21">
        <v>0.12142230699999999</v>
      </c>
      <c r="V177" s="21" t="s">
        <v>50</v>
      </c>
      <c r="W177" s="18">
        <v>0.1807470278396518</v>
      </c>
      <c r="Y177" s="92">
        <v>0.48589553246052092</v>
      </c>
      <c r="Z177" s="20">
        <v>-7.1823930733374333</v>
      </c>
      <c r="AA177" s="10">
        <v>-37.215926967570411</v>
      </c>
      <c r="AB177" s="17">
        <v>3.5825791598703214</v>
      </c>
      <c r="AC177" s="18">
        <v>1.3099787970863512</v>
      </c>
      <c r="AD177" s="21">
        <v>0.18113391057780615</v>
      </c>
      <c r="AE177" s="21">
        <v>4.8882390921182797</v>
      </c>
      <c r="AF177" s="21">
        <v>3.651461128495697E-2</v>
      </c>
      <c r="AG177" s="21"/>
      <c r="AH177" s="21">
        <v>5.6794735043765501</v>
      </c>
    </row>
    <row r="178" spans="1:34">
      <c r="A178" s="13" t="s">
        <v>67</v>
      </c>
      <c r="B178" s="13" t="s">
        <v>68</v>
      </c>
      <c r="C178" s="13">
        <v>176</v>
      </c>
      <c r="E178" s="14">
        <v>45839</v>
      </c>
      <c r="H178" s="16">
        <v>15.8</v>
      </c>
      <c r="I178" s="16">
        <v>7.57</v>
      </c>
      <c r="J178" s="16">
        <v>62.98</v>
      </c>
      <c r="P178" s="18">
        <v>5.2311819000000002E-2</v>
      </c>
      <c r="Q178" s="18">
        <v>2.2097177549999998</v>
      </c>
      <c r="R178" s="21" t="s">
        <v>50</v>
      </c>
      <c r="S178" s="21">
        <v>1.797129545</v>
      </c>
      <c r="T178" s="21">
        <v>5.6900806719999997</v>
      </c>
      <c r="U178" s="21">
        <v>0.14115572900000001</v>
      </c>
      <c r="V178" s="21" t="s">
        <v>50</v>
      </c>
      <c r="W178" s="18">
        <v>0.7620141669485595</v>
      </c>
      <c r="Y178" s="92">
        <v>0.51762114537444948</v>
      </c>
      <c r="Z178" s="20">
        <v>-7.303578059792609</v>
      </c>
      <c r="AA178" s="10">
        <v>-37.443255136634619</v>
      </c>
      <c r="AB178" s="17">
        <v>3.6567387959259285</v>
      </c>
      <c r="AC178" s="18">
        <v>1.3661522407539113</v>
      </c>
      <c r="AD178" s="21">
        <v>0.19795328610074964</v>
      </c>
      <c r="AE178" s="21">
        <v>5.1812124267727286</v>
      </c>
      <c r="AF178" s="21">
        <v>3.8381404550612237E-2</v>
      </c>
      <c r="AG178" s="21"/>
      <c r="AH178" s="21">
        <v>5.7938574340377116</v>
      </c>
    </row>
    <row r="179" spans="1:34">
      <c r="A179" s="13" t="s">
        <v>67</v>
      </c>
      <c r="B179" s="13" t="s">
        <v>68</v>
      </c>
      <c r="C179" s="13">
        <v>177</v>
      </c>
      <c r="E179" s="14">
        <v>45846</v>
      </c>
      <c r="H179" s="16">
        <v>23.9</v>
      </c>
      <c r="I179" s="16">
        <v>7.45</v>
      </c>
      <c r="J179" s="16">
        <v>65.09</v>
      </c>
      <c r="P179" s="18">
        <v>3.5982240999999998E-2</v>
      </c>
      <c r="Q179" s="18">
        <v>2.1481915279999999</v>
      </c>
      <c r="R179" s="21" t="s">
        <v>50</v>
      </c>
      <c r="S179" s="21">
        <v>2.0045373479999999</v>
      </c>
      <c r="T179" s="21">
        <v>6.0249687209999996</v>
      </c>
      <c r="U179" s="21">
        <v>0.222674344</v>
      </c>
      <c r="V179" s="21" t="s">
        <v>50</v>
      </c>
      <c r="W179" s="18">
        <v>0.16719964951310101</v>
      </c>
      <c r="Y179" s="92">
        <v>0.54515418502202662</v>
      </c>
      <c r="Z179" s="20">
        <v>-7.4742469157169813</v>
      </c>
      <c r="AA179" s="10">
        <v>-38.919046843902734</v>
      </c>
      <c r="AB179" s="17">
        <v>3.7386632741391854</v>
      </c>
      <c r="AC179" s="18">
        <v>1.4139963565959721</v>
      </c>
      <c r="AD179" s="21">
        <v>0.21634652087308165</v>
      </c>
      <c r="AE179" s="21">
        <v>5.4790110403775643</v>
      </c>
      <c r="AF179" s="21">
        <v>4.0211562695659092E-2</v>
      </c>
      <c r="AG179" s="21"/>
      <c r="AH179" s="21">
        <v>5.8176243500893747</v>
      </c>
    </row>
    <row r="180" spans="1:34">
      <c r="A180" s="13" t="s">
        <v>67</v>
      </c>
      <c r="B180" s="13" t="s">
        <v>68</v>
      </c>
      <c r="C180" s="13">
        <v>178</v>
      </c>
      <c r="E180" s="14">
        <v>45853</v>
      </c>
      <c r="H180" s="16">
        <v>16</v>
      </c>
      <c r="I180" s="16">
        <v>7.56</v>
      </c>
      <c r="J180" s="16">
        <v>66.56</v>
      </c>
      <c r="P180" s="18">
        <v>5.8231039999999998E-2</v>
      </c>
      <c r="Q180" s="18">
        <v>2.159791593</v>
      </c>
      <c r="R180" s="21" t="s">
        <v>50</v>
      </c>
      <c r="S180" s="21">
        <v>1.972343116</v>
      </c>
      <c r="T180" s="21">
        <v>6.322515879</v>
      </c>
      <c r="U180" s="21">
        <v>2.0767781410000001</v>
      </c>
      <c r="V180" s="21" t="s">
        <v>50</v>
      </c>
      <c r="W180" s="18">
        <v>0.24516320935621422</v>
      </c>
      <c r="Y180" s="92">
        <v>0.5286343612334804</v>
      </c>
      <c r="Z180" s="20">
        <v>-7.3170430582876271</v>
      </c>
      <c r="AA180" s="10">
        <v>-37.762318089680569</v>
      </c>
      <c r="AB180" s="17">
        <v>3.7895124242475013</v>
      </c>
      <c r="AC180" s="18">
        <v>1.4534157387772184</v>
      </c>
      <c r="AD180" s="21">
        <v>0.2050106494987575</v>
      </c>
      <c r="AE180" s="21">
        <v>5.6813540161766651</v>
      </c>
      <c r="AF180" s="21">
        <v>4.1913105047971071E-2</v>
      </c>
      <c r="AG180" s="21"/>
      <c r="AH180" s="21">
        <v>5.861583296320851</v>
      </c>
    </row>
    <row r="181" spans="1:34">
      <c r="A181" s="13" t="s">
        <v>185</v>
      </c>
      <c r="B181" s="13" t="s">
        <v>68</v>
      </c>
      <c r="C181" s="13">
        <v>179</v>
      </c>
      <c r="E181" s="14">
        <v>45860</v>
      </c>
      <c r="H181" s="16">
        <v>18.7</v>
      </c>
      <c r="I181" s="16">
        <v>7.42</v>
      </c>
      <c r="J181" s="16">
        <v>53.46</v>
      </c>
      <c r="P181" s="18">
        <v>3.8420840999999997E-2</v>
      </c>
      <c r="Q181" s="18">
        <v>2.1721148210000001</v>
      </c>
      <c r="R181" s="21" t="s">
        <v>50</v>
      </c>
      <c r="S181" s="21">
        <v>2.610260244</v>
      </c>
      <c r="T181" s="21">
        <v>4.4598081440000001</v>
      </c>
      <c r="U181" s="21">
        <v>0.13671228299999999</v>
      </c>
      <c r="V181" s="21" t="s">
        <v>50</v>
      </c>
      <c r="W181" s="18">
        <v>0.2763797958225751</v>
      </c>
      <c r="Y181" s="92">
        <v>0.72136563876652016</v>
      </c>
      <c r="Z181" s="20">
        <v>-7.3991795491072461</v>
      </c>
      <c r="AA181" s="10">
        <v>-38.356250596190016</v>
      </c>
      <c r="AB181" s="17">
        <v>3.1924584530985758</v>
      </c>
      <c r="AC181" s="18">
        <v>1.1499852219294195</v>
      </c>
      <c r="AD181" s="21">
        <v>0.18376293737214319</v>
      </c>
      <c r="AE181" s="21">
        <v>4.3390804844561215</v>
      </c>
      <c r="AF181" s="21">
        <v>3.11701487332189E-2</v>
      </c>
      <c r="AG181" s="21"/>
      <c r="AH181" s="21">
        <v>5.3719815172036247</v>
      </c>
    </row>
    <row r="182" spans="1:34">
      <c r="A182" s="13" t="s">
        <v>185</v>
      </c>
      <c r="B182" s="100" t="s">
        <v>186</v>
      </c>
      <c r="C182" s="13">
        <v>180</v>
      </c>
      <c r="E182" s="14">
        <v>45867</v>
      </c>
      <c r="G182"/>
      <c r="H182" s="16">
        <v>18.3</v>
      </c>
      <c r="I182" s="16">
        <v>7.18</v>
      </c>
      <c r="J182" s="16">
        <v>52.12</v>
      </c>
      <c r="P182" s="18">
        <v>3.1031489999999998E-2</v>
      </c>
      <c r="Q182" s="18">
        <v>2.0462254479999999</v>
      </c>
      <c r="R182" s="21" t="s">
        <v>50</v>
      </c>
      <c r="S182" s="21">
        <v>2.3461653149999999</v>
      </c>
      <c r="T182" s="21">
        <v>4.1014690180000004</v>
      </c>
      <c r="U182" s="21">
        <v>0.12586270299999999</v>
      </c>
      <c r="V182" s="21" t="s">
        <v>50</v>
      </c>
      <c r="W182" s="18">
        <v>0.26571007338420838</v>
      </c>
      <c r="Y182" s="92">
        <v>0.61674008810572722</v>
      </c>
      <c r="Z182" s="20">
        <v>-7.6836276423145335</v>
      </c>
      <c r="AA182" s="10">
        <v>-41.072805476583284</v>
      </c>
      <c r="AB182" s="17">
        <v>3.2346228072565699</v>
      </c>
      <c r="AC182" s="18">
        <v>1.115284190723161</v>
      </c>
      <c r="AD182" s="21">
        <v>0.1958849402588268</v>
      </c>
      <c r="AE182" s="21">
        <v>4.1999168313545203</v>
      </c>
      <c r="AF182" s="21">
        <v>3.0535264645883506E-2</v>
      </c>
      <c r="AG182" s="21"/>
      <c r="AH182" s="21">
        <v>5.3738405643525402</v>
      </c>
    </row>
    <row r="183" spans="1:34">
      <c r="A183" s="13" t="s">
        <v>156</v>
      </c>
      <c r="B183" s="100" t="s">
        <v>157</v>
      </c>
      <c r="C183" s="13">
        <v>181</v>
      </c>
      <c r="E183" s="14">
        <v>45874</v>
      </c>
      <c r="G183"/>
      <c r="H183" s="16">
        <v>19.5</v>
      </c>
      <c r="I183" s="16">
        <v>7.62</v>
      </c>
      <c r="J183" s="16">
        <v>97.88</v>
      </c>
      <c r="P183" s="18">
        <v>3.5564067999999997E-2</v>
      </c>
      <c r="Q183" s="18">
        <v>2.0909257019999998</v>
      </c>
      <c r="R183" s="21" t="s">
        <v>50</v>
      </c>
      <c r="S183" s="21">
        <v>3.0754967799999999</v>
      </c>
      <c r="T183" s="21">
        <v>4.5181738219999996</v>
      </c>
      <c r="U183" s="21">
        <v>0.15507311200000001</v>
      </c>
      <c r="V183" s="21">
        <v>5.6476419999999996E-3</v>
      </c>
      <c r="W183" s="18">
        <v>1.338732105762459</v>
      </c>
      <c r="Y183" s="92">
        <v>0.85903083700440563</v>
      </c>
      <c r="Z183" s="20">
        <v>-7.4281292958715381</v>
      </c>
      <c r="AA183" s="10">
        <v>-38.781109869448464</v>
      </c>
      <c r="AB183" s="17">
        <v>3.4353837161794085</v>
      </c>
      <c r="AC183" s="18">
        <v>1.2186362100581036</v>
      </c>
      <c r="AD183" s="21">
        <v>0.68035884254309598</v>
      </c>
      <c r="AE183" s="21">
        <v>4.494756089036767</v>
      </c>
      <c r="AF183" s="21">
        <v>3.3341956120279327E-2</v>
      </c>
      <c r="AG183" s="21"/>
      <c r="AH183" s="21">
        <v>5.4714757822071975</v>
      </c>
    </row>
    <row r="184" spans="1:34">
      <c r="A184" s="13" t="s">
        <v>156</v>
      </c>
      <c r="B184" s="100" t="s">
        <v>157</v>
      </c>
      <c r="C184" s="13">
        <v>182</v>
      </c>
      <c r="E184" s="14">
        <v>45881</v>
      </c>
      <c r="G184"/>
      <c r="H184" s="16">
        <v>17.8</v>
      </c>
      <c r="I184" s="16">
        <v>6.77</v>
      </c>
      <c r="J184" s="16">
        <v>59.53</v>
      </c>
      <c r="P184" s="18">
        <v>3.0612878999999999E-2</v>
      </c>
      <c r="Q184" s="18">
        <v>2.1036806779999999</v>
      </c>
      <c r="R184" s="21">
        <v>3.5999999999999999E-3</v>
      </c>
      <c r="S184" s="21">
        <v>2.4941176949999999</v>
      </c>
      <c r="T184" s="21">
        <v>4.9891324079999997</v>
      </c>
      <c r="U184" s="21">
        <v>0.12627999500000001</v>
      </c>
      <c r="V184" s="21">
        <v>0.60136705400000001</v>
      </c>
      <c r="W184" s="18">
        <v>0.17864415405967715</v>
      </c>
      <c r="Y184" s="92">
        <v>0.66079295154185047</v>
      </c>
      <c r="Z184" s="20">
        <v>-7.413654422489393</v>
      </c>
      <c r="AA184" s="10">
        <v>-38.591279130332985</v>
      </c>
      <c r="AB184" s="17">
        <v>3.5650724722151503</v>
      </c>
      <c r="AC184" s="18">
        <v>1.274892515561626</v>
      </c>
      <c r="AD184" s="21">
        <v>0.84034088127445916</v>
      </c>
      <c r="AE184" s="21">
        <v>4.8138000564239363</v>
      </c>
      <c r="AF184" s="21">
        <v>3.5474770167557568E-2</v>
      </c>
      <c r="AG184" s="21"/>
      <c r="AH184" s="21">
        <v>5.6980229924695038</v>
      </c>
    </row>
    <row r="185" spans="1:34">
      <c r="A185" s="13" t="s">
        <v>156</v>
      </c>
      <c r="B185" s="100" t="s">
        <v>157</v>
      </c>
      <c r="C185" s="13">
        <v>183</v>
      </c>
      <c r="E185" s="14">
        <v>45888</v>
      </c>
      <c r="G185"/>
      <c r="H185" s="16">
        <v>17.7</v>
      </c>
      <c r="I185" s="16">
        <v>6.68</v>
      </c>
      <c r="J185" s="16">
        <v>60.88</v>
      </c>
      <c r="W185" s="18">
        <v>0.15374284705658781</v>
      </c>
      <c r="Y185" s="92">
        <v>0.22577092511013225</v>
      </c>
      <c r="Z185" s="20">
        <v>-7.4849740695131013</v>
      </c>
      <c r="AA185" s="10">
        <v>-38.637579924009259</v>
      </c>
      <c r="AB185" s="17">
        <v>3.6697802826053314</v>
      </c>
      <c r="AC185" s="18">
        <v>1.3188376744496155</v>
      </c>
      <c r="AD185" s="21">
        <v>0.22358939613908504</v>
      </c>
      <c r="AE185" s="21">
        <v>4.8056702551106207</v>
      </c>
      <c r="AF185" s="21">
        <v>3.1809858271487357E-2</v>
      </c>
      <c r="AG185" s="21"/>
      <c r="AH185" s="21">
        <v>5.827713771253392</v>
      </c>
    </row>
    <row r="186" spans="1:34">
      <c r="A186" s="13" t="s">
        <v>156</v>
      </c>
      <c r="B186" s="100" t="s">
        <v>157</v>
      </c>
      <c r="C186" s="13">
        <v>184</v>
      </c>
      <c r="E186" s="14">
        <v>45895</v>
      </c>
      <c r="H186" s="16">
        <v>19.100000000000001</v>
      </c>
      <c r="I186" s="16">
        <v>7.85</v>
      </c>
      <c r="J186" s="16">
        <v>92.35</v>
      </c>
      <c r="W186" s="18">
        <v>0.23186414074754419</v>
      </c>
      <c r="Y186" s="92">
        <v>0.51728741156053948</v>
      </c>
      <c r="Z186" s="20">
        <v>-7.578056100052863</v>
      </c>
      <c r="AA186" s="10">
        <v>-38.613108059338678</v>
      </c>
      <c r="AB186" s="17">
        <v>3.8815809598196709</v>
      </c>
      <c r="AC186" s="18">
        <v>1.380100781377454</v>
      </c>
      <c r="AD186" s="21">
        <v>0.21927529626260667</v>
      </c>
      <c r="AE186" s="21">
        <v>5.0785645499913814</v>
      </c>
      <c r="AF186" s="21">
        <v>3.3850753840377557E-2</v>
      </c>
      <c r="AG186" s="21"/>
      <c r="AH186" s="21">
        <v>5.9269500051838708</v>
      </c>
    </row>
    <row r="187" spans="1:34">
      <c r="A187" s="13" t="s">
        <v>156</v>
      </c>
      <c r="B187" s="100" t="s">
        <v>157</v>
      </c>
      <c r="C187" s="13">
        <v>185</v>
      </c>
      <c r="E187" s="14">
        <v>45902</v>
      </c>
      <c r="G187"/>
      <c r="H187" s="16">
        <v>20.6</v>
      </c>
      <c r="I187" s="16">
        <v>7.33</v>
      </c>
      <c r="J187" s="16">
        <v>63.92</v>
      </c>
      <c r="W187" s="18">
        <v>0.18006111486558668</v>
      </c>
      <c r="Y187" s="92">
        <v>0.4171672673875319</v>
      </c>
      <c r="Z187" s="20">
        <v>-7.5234433957878366</v>
      </c>
      <c r="AA187" s="10">
        <v>-38.419372464029905</v>
      </c>
      <c r="AB187" s="17">
        <v>3.8918971185438673</v>
      </c>
      <c r="AC187" s="18">
        <v>1.4390890557630185</v>
      </c>
      <c r="AD187" s="21">
        <v>0.21532503242866011</v>
      </c>
      <c r="AE187" s="21">
        <v>5.2989300668561405</v>
      </c>
      <c r="AF187" s="21">
        <v>3.506562117210836E-2</v>
      </c>
      <c r="AG187" s="21"/>
      <c r="AH187" s="21">
        <v>5.9019534960033528</v>
      </c>
    </row>
    <row r="188" spans="1:34">
      <c r="A188" s="13" t="s">
        <v>156</v>
      </c>
      <c r="B188" s="100" t="s">
        <v>157</v>
      </c>
      <c r="C188" s="13">
        <v>186</v>
      </c>
      <c r="E188" s="14">
        <v>45909</v>
      </c>
      <c r="H188" s="16">
        <v>16.2</v>
      </c>
      <c r="I188" s="16">
        <v>6.95</v>
      </c>
      <c r="J188" s="16">
        <v>66.84</v>
      </c>
      <c r="W188" s="18">
        <v>0.42982640623359591</v>
      </c>
      <c r="Y188" s="92">
        <v>0.50060072086503826</v>
      </c>
      <c r="Z188" s="20">
        <v>-7.62099061598449</v>
      </c>
      <c r="AA188" s="10">
        <v>-39.245977670680674</v>
      </c>
      <c r="AB188" s="17">
        <v>3.9981260192318651</v>
      </c>
      <c r="AC188" s="18">
        <v>1.5061477966553405</v>
      </c>
      <c r="AD188" s="21">
        <v>0.22376569573404984</v>
      </c>
      <c r="AE188" s="21">
        <v>5.4944499530935378</v>
      </c>
      <c r="AF188" s="21">
        <v>3.690359899943034E-2</v>
      </c>
      <c r="AG188" s="21"/>
      <c r="AH188" s="21">
        <v>5.9502439920277093</v>
      </c>
    </row>
    <row r="189" spans="1:34">
      <c r="A189" s="13" t="s">
        <v>156</v>
      </c>
      <c r="B189" s="100" t="s">
        <v>157</v>
      </c>
      <c r="C189" s="13">
        <v>187</v>
      </c>
      <c r="E189" s="14">
        <v>45916</v>
      </c>
      <c r="H189" s="16">
        <v>17.399999999999999</v>
      </c>
      <c r="I189" s="16">
        <v>6.59</v>
      </c>
      <c r="J189" s="16">
        <v>74.239999999999995</v>
      </c>
      <c r="W189" s="18">
        <v>0.19153606370175408</v>
      </c>
      <c r="Y189" s="92">
        <v>0.4171672673875319</v>
      </c>
      <c r="Z189" s="20">
        <v>-7.5474867247095467</v>
      </c>
      <c r="AA189" s="10">
        <v>-38.651515291391128</v>
      </c>
      <c r="AB189" s="17">
        <v>3.967446278546864</v>
      </c>
      <c r="AC189" s="18">
        <v>1.5338535219451661</v>
      </c>
      <c r="AD189" s="21">
        <v>0.21458805978192846</v>
      </c>
      <c r="AE189" s="21">
        <v>5.6183383779808249</v>
      </c>
      <c r="AF189" s="21">
        <v>3.7245520776412376E-2</v>
      </c>
      <c r="AG189" s="21"/>
      <c r="AH189" s="21">
        <v>5.9208431807099835</v>
      </c>
    </row>
    <row r="190" spans="1:34">
      <c r="A190" s="13" t="s">
        <v>156</v>
      </c>
      <c r="B190" s="100" t="s">
        <v>157</v>
      </c>
      <c r="C190" s="13">
        <v>188</v>
      </c>
      <c r="E190" s="14">
        <v>45924</v>
      </c>
      <c r="H190" s="16">
        <v>15.2</v>
      </c>
      <c r="I190" s="16">
        <v>7.51</v>
      </c>
      <c r="J190" s="16">
        <v>75.56</v>
      </c>
      <c r="W190" s="18">
        <v>0.69035759767275628</v>
      </c>
      <c r="Y190" s="92"/>
      <c r="Z190" s="20">
        <v>-8.2904255883903861</v>
      </c>
      <c r="AA190" s="10">
        <v>-46.279259554407808</v>
      </c>
      <c r="AB190" s="17">
        <v>2.7313829673847092</v>
      </c>
      <c r="AC190" s="18">
        <v>0.87782049793052142</v>
      </c>
      <c r="AD190" s="21">
        <v>0.25866713518151069</v>
      </c>
      <c r="AE190" s="21">
        <v>3.2306013629362269</v>
      </c>
      <c r="AF190" s="21">
        <v>2.0262408713403974E-2</v>
      </c>
      <c r="AG190" s="21"/>
      <c r="AH190" s="21">
        <v>3.8313722392334348</v>
      </c>
    </row>
    <row r="191" spans="1:34">
      <c r="A191" s="13" t="s">
        <v>156</v>
      </c>
      <c r="B191" s="100" t="s">
        <v>157</v>
      </c>
      <c r="C191" s="13">
        <v>189</v>
      </c>
      <c r="E191" s="14">
        <v>45930</v>
      </c>
      <c r="H191" s="16">
        <v>20.100000000000001</v>
      </c>
      <c r="I191" s="16">
        <v>7.55</v>
      </c>
      <c r="J191" s="16">
        <v>63.31</v>
      </c>
      <c r="W191" s="18">
        <v>0.16647622415902058</v>
      </c>
      <c r="Y191" s="92">
        <v>0.41435861647838812</v>
      </c>
      <c r="Z191" s="20">
        <v>-7.6144645695628821</v>
      </c>
      <c r="AA191" s="10">
        <v>-39.283365241705177</v>
      </c>
      <c r="AB191" s="17">
        <v>3.6747318208627631</v>
      </c>
      <c r="AC191" s="18">
        <v>1.2353178382821011</v>
      </c>
      <c r="AD191" s="21">
        <v>0.25085344426508227</v>
      </c>
      <c r="AE191" s="21">
        <v>4.3875396131670747</v>
      </c>
      <c r="AF191" s="21">
        <v>2.95091359462849E-2</v>
      </c>
      <c r="AG191" s="21"/>
      <c r="AH191" s="21">
        <v>5.8051395162920656</v>
      </c>
    </row>
    <row r="192" spans="1:34">
      <c r="A192" s="13" t="s">
        <v>156</v>
      </c>
      <c r="B192" s="100" t="s">
        <v>157</v>
      </c>
      <c r="C192" s="13">
        <v>190</v>
      </c>
      <c r="E192" s="14">
        <v>45937</v>
      </c>
      <c r="H192" s="16">
        <v>16</v>
      </c>
      <c r="I192" s="16">
        <v>7.55</v>
      </c>
      <c r="J192" s="16">
        <v>62.13</v>
      </c>
      <c r="W192" s="18">
        <v>0.18466661846613902</v>
      </c>
      <c r="Y192" s="92">
        <v>0.48381927212572373</v>
      </c>
      <c r="Z192" s="20">
        <v>-7.6460643732885574</v>
      </c>
      <c r="AA192" s="10">
        <v>-39.198053602367452</v>
      </c>
      <c r="AB192" s="17">
        <v>3.7438184969431734</v>
      </c>
      <c r="AC192" s="18">
        <v>1.3565704557168572</v>
      </c>
      <c r="AD192" s="21">
        <v>0.22552789283305791</v>
      </c>
      <c r="AE192" s="21">
        <v>4.9179930726480663</v>
      </c>
      <c r="AF192" s="21">
        <v>3.2330514053269192E-2</v>
      </c>
      <c r="AG192" s="21"/>
      <c r="AH192" s="21">
        <v>5.8823204670053615</v>
      </c>
    </row>
    <row r="193" spans="1:35">
      <c r="A193" s="13" t="s">
        <v>156</v>
      </c>
      <c r="B193" s="100" t="s">
        <v>157</v>
      </c>
      <c r="C193" s="13">
        <v>191</v>
      </c>
      <c r="E193" s="14">
        <v>45943</v>
      </c>
      <c r="H193" s="16">
        <v>15.6</v>
      </c>
      <c r="I193" s="16">
        <v>7.96</v>
      </c>
      <c r="J193" s="16">
        <v>71.52</v>
      </c>
      <c r="W193" s="18">
        <v>0.32224923712696901</v>
      </c>
      <c r="Y193" s="92">
        <v>0.42457609594706369</v>
      </c>
      <c r="Z193" s="20">
        <v>-7.5636301026998378</v>
      </c>
      <c r="AA193" s="10">
        <v>-40.537548306072509</v>
      </c>
      <c r="AB193" s="17">
        <v>3.8689353576076186</v>
      </c>
      <c r="AC193" s="18">
        <v>1.4179545717420832</v>
      </c>
      <c r="AD193" s="21">
        <v>0.2647450677643568</v>
      </c>
      <c r="AE193" s="21">
        <v>5.1713525615221148</v>
      </c>
      <c r="AF193" s="21">
        <v>3.4465662894147826E-2</v>
      </c>
      <c r="AG193" s="21"/>
      <c r="AH193" s="21">
        <v>5.9903369783643985</v>
      </c>
    </row>
    <row r="194" spans="1:35">
      <c r="A194" s="13" t="s">
        <v>156</v>
      </c>
      <c r="B194" s="100" t="s">
        <v>157</v>
      </c>
      <c r="C194" s="13">
        <v>192</v>
      </c>
      <c r="E194" s="14">
        <v>45952</v>
      </c>
      <c r="H194" s="16">
        <v>14.9</v>
      </c>
      <c r="I194" s="16">
        <v>8.01</v>
      </c>
      <c r="J194" s="16">
        <v>64.27</v>
      </c>
      <c r="W194" s="18">
        <v>0.27512156200929938</v>
      </c>
      <c r="Y194" s="92">
        <v>0.71091811414392059</v>
      </c>
      <c r="Z194" s="20">
        <v>-7.8281067208386457</v>
      </c>
      <c r="AA194" s="10">
        <v>-42.02421408481036</v>
      </c>
      <c r="AB194" s="17">
        <v>2.6050315804218038</v>
      </c>
      <c r="AC194" s="18">
        <v>0.72900841489326762</v>
      </c>
      <c r="AD194" s="21">
        <v>0.22034803437919315</v>
      </c>
      <c r="AE194" s="21">
        <v>2.4650581043295277</v>
      </c>
      <c r="AF194" s="21">
        <v>1.540629334652574E-2</v>
      </c>
      <c r="AG194" s="21"/>
      <c r="AH194" s="21">
        <v>4.1946013377348041</v>
      </c>
    </row>
    <row r="195" spans="1:35">
      <c r="A195" s="13" t="s">
        <v>156</v>
      </c>
      <c r="B195" s="100" t="s">
        <v>157</v>
      </c>
      <c r="C195" s="13">
        <v>193</v>
      </c>
      <c r="E195" s="14">
        <v>45958</v>
      </c>
      <c r="H195" s="16">
        <v>17.5</v>
      </c>
      <c r="I195" s="16">
        <v>6.35</v>
      </c>
      <c r="J195" s="16">
        <v>41.91</v>
      </c>
      <c r="W195" s="18">
        <v>0.20034768042650219</v>
      </c>
      <c r="Y195" s="92">
        <v>0.62205334987593053</v>
      </c>
      <c r="Z195" s="20">
        <v>-7.59935161995495</v>
      </c>
      <c r="AA195" s="10">
        <v>-39.157946935268441</v>
      </c>
      <c r="AB195" s="17">
        <v>2.8891600118157577</v>
      </c>
      <c r="AC195" s="18">
        <v>0.83610247311767771</v>
      </c>
      <c r="AD195" s="21">
        <v>0.19288478211573948</v>
      </c>
      <c r="AE195" s="21">
        <v>2.8405053384988892</v>
      </c>
      <c r="AF195" s="21">
        <v>1.8259446833183143E-2</v>
      </c>
      <c r="AG195" s="21"/>
      <c r="AH195" s="21">
        <v>4.7899752841303327</v>
      </c>
    </row>
    <row r="196" spans="1:35">
      <c r="A196" s="13" t="s">
        <v>156</v>
      </c>
      <c r="B196" s="100" t="s">
        <v>157</v>
      </c>
      <c r="C196" s="13">
        <v>194</v>
      </c>
      <c r="E196" s="14">
        <v>45965</v>
      </c>
      <c r="H196" s="16">
        <v>17.489999999999998</v>
      </c>
      <c r="I196" s="16">
        <v>8.15</v>
      </c>
      <c r="J196" s="16">
        <v>55.59</v>
      </c>
      <c r="W196" s="18">
        <v>0.52355490712212183</v>
      </c>
      <c r="Y196" s="92"/>
      <c r="Z196" s="20">
        <v>-7.5213825390231186</v>
      </c>
      <c r="AA196" s="10">
        <v>-38.07336748854862</v>
      </c>
      <c r="AB196" s="17">
        <v>3.2868493586781087</v>
      </c>
      <c r="AC196" s="18">
        <v>0.98664905107527534</v>
      </c>
      <c r="AD196" s="21">
        <v>0.22746263735430966</v>
      </c>
      <c r="AE196" s="21">
        <v>3.3723706350710687</v>
      </c>
      <c r="AF196" s="21">
        <v>2.1756708887981015E-2</v>
      </c>
      <c r="AG196" s="21"/>
      <c r="AH196" s="21">
        <v>5.3255624050389221</v>
      </c>
    </row>
    <row r="197" spans="1:35">
      <c r="A197" s="13" t="s">
        <v>67</v>
      </c>
      <c r="B197" s="100" t="s">
        <v>157</v>
      </c>
      <c r="C197" s="13">
        <v>195</v>
      </c>
      <c r="E197" s="14">
        <v>45974</v>
      </c>
      <c r="H197" s="16">
        <v>14.3</v>
      </c>
      <c r="I197" s="16">
        <v>7.81</v>
      </c>
      <c r="J197" s="16">
        <v>61.34</v>
      </c>
      <c r="W197" s="18">
        <v>0.49748287598348928</v>
      </c>
      <c r="Y197" s="92"/>
    </row>
    <row r="198" spans="1:35">
      <c r="A198" s="13" t="s">
        <v>156</v>
      </c>
      <c r="B198" s="100" t="s">
        <v>157</v>
      </c>
      <c r="C198" s="13">
        <v>196</v>
      </c>
      <c r="E198" s="14">
        <v>45979</v>
      </c>
      <c r="H198" s="16">
        <v>12.5</v>
      </c>
      <c r="I198" s="16">
        <v>6.36</v>
      </c>
      <c r="J198" s="16">
        <v>45.41</v>
      </c>
      <c r="W198" s="18">
        <v>0.18740024250279891</v>
      </c>
      <c r="Y198" s="92"/>
      <c r="Z198" s="20">
        <v>-7.3902472980108609</v>
      </c>
      <c r="AA198" s="10">
        <v>-36.446610419510307</v>
      </c>
      <c r="AB198" s="17">
        <v>3.1823583929478949</v>
      </c>
      <c r="AC198" s="18">
        <v>0.97497061647812</v>
      </c>
      <c r="AD198" s="21">
        <v>0.19867761096593661</v>
      </c>
      <c r="AE198" s="21">
        <v>3.5265482599967917</v>
      </c>
      <c r="AF198" s="21">
        <v>2.8144724570763488E-2</v>
      </c>
      <c r="AG198" s="21"/>
      <c r="AH198" s="21">
        <v>5.246268373903531</v>
      </c>
    </row>
    <row r="199" spans="1:35">
      <c r="A199" s="13" t="s">
        <v>67</v>
      </c>
      <c r="B199" s="100" t="s">
        <v>157</v>
      </c>
      <c r="C199" s="13">
        <v>197</v>
      </c>
      <c r="E199" s="14">
        <v>45986</v>
      </c>
      <c r="H199" s="16">
        <v>15.7</v>
      </c>
      <c r="I199" s="16">
        <v>8.14</v>
      </c>
      <c r="J199" s="16">
        <v>63.31</v>
      </c>
      <c r="W199" s="18">
        <v>0.19903789380793563</v>
      </c>
      <c r="Y199" s="92"/>
      <c r="Z199" s="20">
        <v>-7.4973653860533611</v>
      </c>
      <c r="AA199" s="10">
        <v>-37.416992512472667</v>
      </c>
      <c r="AB199" s="17">
        <v>3.442344706123921</v>
      </c>
      <c r="AC199" s="18">
        <v>1.1072741515932651</v>
      </c>
      <c r="AD199" s="21">
        <v>0.25031006437578085</v>
      </c>
      <c r="AE199" s="21">
        <v>4.1084883145886124</v>
      </c>
      <c r="AF199" s="21">
        <v>3.1349748244895149E-2</v>
      </c>
      <c r="AG199" s="21"/>
      <c r="AH199" s="21">
        <v>5.7022887018652577</v>
      </c>
    </row>
    <row r="200" spans="1:35">
      <c r="A200" s="13" t="s">
        <v>156</v>
      </c>
      <c r="B200" s="100" t="s">
        <v>157</v>
      </c>
      <c r="C200" s="13">
        <v>198</v>
      </c>
      <c r="E200" s="14">
        <v>45993</v>
      </c>
      <c r="H200" s="16">
        <v>18.600000000000001</v>
      </c>
      <c r="I200" s="16">
        <v>7.6</v>
      </c>
      <c r="J200" s="16">
        <v>55.06</v>
      </c>
      <c r="W200" s="18">
        <v>0.18619360605095836</v>
      </c>
      <c r="Y200" s="92"/>
      <c r="Z200" s="20">
        <v>-7.5553145156501227</v>
      </c>
      <c r="AA200" s="10">
        <v>-37.760828687144361</v>
      </c>
      <c r="AB200" s="17">
        <v>3.7548696576359082</v>
      </c>
      <c r="AC200" s="18">
        <v>1.2073801346529742</v>
      </c>
      <c r="AD200" s="21">
        <v>0.24400332398981342</v>
      </c>
      <c r="AE200" s="21">
        <v>4.4449213053588599</v>
      </c>
      <c r="AF200" s="21">
        <v>3.3968753053482618E-2</v>
      </c>
      <c r="AG200" s="21"/>
      <c r="AH200" s="21">
        <v>5.8040707855795723</v>
      </c>
    </row>
    <row r="201" spans="1:35">
      <c r="A201" s="13" t="s">
        <v>156</v>
      </c>
      <c r="B201" s="100" t="s">
        <v>157</v>
      </c>
      <c r="C201" s="13">
        <v>199</v>
      </c>
      <c r="E201" s="14">
        <v>46000</v>
      </c>
      <c r="H201" s="16">
        <v>19.5</v>
      </c>
      <c r="I201" s="16">
        <v>6.06</v>
      </c>
      <c r="J201" s="16">
        <v>53.21</v>
      </c>
      <c r="W201" s="18">
        <v>0.50492935898537139</v>
      </c>
      <c r="Y201" s="92"/>
      <c r="Z201" s="20">
        <v>-6.9863594250637275</v>
      </c>
      <c r="AA201" s="10">
        <v>-31.508914565664334</v>
      </c>
      <c r="AB201" s="17">
        <v>3.3569286063323696</v>
      </c>
      <c r="AC201" s="18">
        <v>1.1497407533057507</v>
      </c>
      <c r="AD201" s="21">
        <v>0.24131054691515955</v>
      </c>
      <c r="AE201" s="21">
        <v>4.3810617428705241</v>
      </c>
      <c r="AF201" s="21">
        <v>3.2730270480613555E-2</v>
      </c>
      <c r="AG201" s="21"/>
      <c r="AH201" s="21">
        <v>5.0134037113878636</v>
      </c>
    </row>
    <row r="202" spans="1:35">
      <c r="A202" s="13" t="s">
        <v>156</v>
      </c>
      <c r="B202" s="100" t="s">
        <v>157</v>
      </c>
      <c r="C202" s="13">
        <v>200</v>
      </c>
      <c r="E202" s="14">
        <v>46007</v>
      </c>
      <c r="H202" s="16">
        <v>12.3</v>
      </c>
      <c r="I202" s="16">
        <v>6.47</v>
      </c>
      <c r="J202" s="16">
        <v>56.14</v>
      </c>
      <c r="W202" s="18">
        <v>0.12385632267822508</v>
      </c>
      <c r="Y202" s="92"/>
      <c r="Z202" s="20">
        <v>-7.3716333351706886</v>
      </c>
      <c r="AA202" s="10">
        <v>-36.358393865604647</v>
      </c>
      <c r="AB202" s="17">
        <v>3.5370554828197469</v>
      </c>
      <c r="AC202" s="18">
        <v>1.2279311471462426</v>
      </c>
      <c r="AD202" s="21">
        <v>0.19941842921873618</v>
      </c>
      <c r="AE202" s="21">
        <v>4.7113332564200441</v>
      </c>
      <c r="AF202" s="21">
        <v>3.5215821877848025E-2</v>
      </c>
      <c r="AG202" s="21"/>
      <c r="AH202" s="21">
        <v>5.6325978996474557</v>
      </c>
    </row>
    <row r="203" spans="1:35">
      <c r="A203" s="13" t="s">
        <v>156</v>
      </c>
      <c r="B203" s="100" t="s">
        <v>157</v>
      </c>
      <c r="C203" s="13">
        <v>201</v>
      </c>
      <c r="E203" s="14">
        <v>46014</v>
      </c>
      <c r="H203" s="16">
        <v>19.100000000000001</v>
      </c>
      <c r="I203" s="16">
        <v>6.65</v>
      </c>
      <c r="J203" s="16">
        <v>30.69</v>
      </c>
      <c r="Y203" s="92"/>
      <c r="Z203" s="20">
        <v>-7.3572338544830078</v>
      </c>
      <c r="AA203" s="10">
        <v>-35.571738375067888</v>
      </c>
      <c r="AB203" s="17">
        <v>3.6570368828855644</v>
      </c>
      <c r="AC203" s="18">
        <v>1.278031683559623</v>
      </c>
      <c r="AD203" s="21">
        <v>0.22035940060311063</v>
      </c>
      <c r="AE203" s="21">
        <v>4.8612974003284375</v>
      </c>
      <c r="AF203" s="21">
        <v>3.6449881003727508E-2</v>
      </c>
      <c r="AG203" s="21"/>
      <c r="AH203" s="21">
        <v>5.5996324347447741</v>
      </c>
    </row>
    <row r="204" spans="1:35" ht="16.2">
      <c r="A204" s="13" t="s">
        <v>156</v>
      </c>
      <c r="B204" s="100" t="s">
        <v>157</v>
      </c>
      <c r="C204" s="13">
        <v>202</v>
      </c>
      <c r="E204" s="14">
        <v>46021</v>
      </c>
      <c r="H204" s="16">
        <v>15</v>
      </c>
      <c r="I204" s="16">
        <v>6.59</v>
      </c>
      <c r="J204" s="16">
        <v>55.35</v>
      </c>
      <c r="Y204" s="92"/>
      <c r="Z204" s="20">
        <v>-7.3449416148715736</v>
      </c>
      <c r="AA204" s="10">
        <v>-35.370646309275045</v>
      </c>
      <c r="AB204" s="17">
        <v>3.5361661842217154</v>
      </c>
      <c r="AC204" s="18">
        <v>1.2145028915261045</v>
      </c>
      <c r="AD204" s="21">
        <v>0.20919417886421407</v>
      </c>
      <c r="AE204" s="21">
        <v>4.5534480365339061</v>
      </c>
      <c r="AF204" s="21">
        <v>3.4483664432194444E-2</v>
      </c>
      <c r="AG204" s="21"/>
      <c r="AH204" s="21">
        <v>5.5964863843847699</v>
      </c>
      <c r="AI204" s="102" t="s">
        <v>197</v>
      </c>
    </row>
    <row r="205" spans="1:35">
      <c r="A205" s="13" t="s">
        <v>156</v>
      </c>
      <c r="B205" s="100" t="s">
        <v>157</v>
      </c>
      <c r="C205" s="13">
        <v>203</v>
      </c>
      <c r="E205" s="14">
        <v>46028</v>
      </c>
      <c r="H205" s="16">
        <v>15.7</v>
      </c>
      <c r="I205" s="16">
        <v>7.58</v>
      </c>
      <c r="J205" s="16">
        <v>55.58</v>
      </c>
      <c r="Y205" s="92"/>
      <c r="AC205" s="18"/>
      <c r="AD205" s="21"/>
      <c r="AE205" s="21"/>
      <c r="AF205" s="21"/>
      <c r="AG205" s="21"/>
      <c r="AH205" s="21"/>
    </row>
    <row r="206" spans="1:35">
      <c r="A206" s="13" t="s">
        <v>156</v>
      </c>
      <c r="B206" s="100" t="s">
        <v>157</v>
      </c>
      <c r="C206" s="13">
        <v>204</v>
      </c>
      <c r="E206" s="14">
        <v>46035</v>
      </c>
      <c r="H206" s="16">
        <v>13.1</v>
      </c>
      <c r="I206" s="16">
        <v>7.55</v>
      </c>
      <c r="J206" s="16">
        <v>59.15</v>
      </c>
      <c r="Y206" s="92"/>
      <c r="AC206" s="18"/>
      <c r="AD206" s="21"/>
      <c r="AE206" s="21"/>
      <c r="AF206" s="21"/>
      <c r="AG206" s="21"/>
      <c r="AH206" s="21"/>
    </row>
    <row r="207" spans="1:35">
      <c r="A207" s="13" t="s">
        <v>156</v>
      </c>
      <c r="B207" s="100" t="s">
        <v>157</v>
      </c>
      <c r="C207" s="13">
        <v>205</v>
      </c>
      <c r="E207" s="14">
        <v>46042</v>
      </c>
      <c r="H207" s="16">
        <v>11.4</v>
      </c>
      <c r="I207" s="16">
        <v>7.46</v>
      </c>
      <c r="J207" s="16">
        <v>66.849999999999994</v>
      </c>
      <c r="Y207" s="92"/>
      <c r="AC207" s="18"/>
      <c r="AD207" s="21"/>
      <c r="AE207" s="21"/>
      <c r="AF207" s="21"/>
      <c r="AG207" s="21"/>
      <c r="AH207" s="21"/>
    </row>
    <row r="208" spans="1:35">
      <c r="A208" s="13" t="s">
        <v>156</v>
      </c>
      <c r="B208" s="100" t="s">
        <v>157</v>
      </c>
      <c r="C208" s="13">
        <v>206</v>
      </c>
      <c r="E208" s="14">
        <v>46049</v>
      </c>
      <c r="H208" s="16">
        <v>11.8</v>
      </c>
      <c r="I208" s="16">
        <v>7.68</v>
      </c>
      <c r="J208" s="16">
        <v>65.790000000000006</v>
      </c>
      <c r="Y208" s="92"/>
      <c r="AC208" s="18"/>
      <c r="AD208" s="21"/>
      <c r="AE208" s="21"/>
      <c r="AF208" s="21"/>
      <c r="AG208" s="21"/>
      <c r="AH208" s="21"/>
    </row>
    <row r="209" spans="1:34">
      <c r="A209" s="13" t="s">
        <v>156</v>
      </c>
      <c r="B209" s="100" t="s">
        <v>157</v>
      </c>
      <c r="C209" s="13">
        <v>207</v>
      </c>
      <c r="E209" s="14">
        <v>46056</v>
      </c>
      <c r="H209" s="16">
        <v>13.8</v>
      </c>
      <c r="I209" s="16">
        <v>6.59</v>
      </c>
      <c r="J209" s="16">
        <v>64.150000000000006</v>
      </c>
      <c r="Y209" s="92"/>
      <c r="AC209" s="18"/>
      <c r="AD209" s="21"/>
      <c r="AE209" s="21"/>
      <c r="AF209" s="21"/>
      <c r="AG209" s="21"/>
      <c r="AH209" s="21"/>
    </row>
    <row r="210" spans="1:34">
      <c r="Y210" s="92"/>
      <c r="AC210" s="18"/>
      <c r="AD210" s="21"/>
      <c r="AE210" s="21"/>
      <c r="AF210" s="21"/>
      <c r="AG210" s="21"/>
      <c r="AH210" s="21"/>
    </row>
    <row r="211" spans="1:34">
      <c r="Y211" s="92"/>
      <c r="AC211" s="18"/>
      <c r="AD211" s="21"/>
      <c r="AE211" s="21"/>
      <c r="AF211" s="21"/>
      <c r="AG211" s="21"/>
      <c r="AH211" s="21"/>
    </row>
    <row r="212" spans="1:34">
      <c r="Y212" s="92"/>
      <c r="AC212" s="18"/>
      <c r="AD212" s="21"/>
      <c r="AE212" s="21"/>
      <c r="AF212" s="21"/>
      <c r="AG212" s="21"/>
      <c r="AH212" s="21"/>
    </row>
    <row r="213" spans="1:34">
      <c r="Y213" s="92"/>
      <c r="AC213" s="18"/>
      <c r="AD213" s="21"/>
      <c r="AE213" s="21"/>
      <c r="AF213" s="21"/>
      <c r="AG213" s="21"/>
      <c r="AH213" s="21"/>
    </row>
    <row r="214" spans="1:34">
      <c r="Y214" s="92"/>
      <c r="AC214" s="18"/>
      <c r="AD214" s="21"/>
      <c r="AE214" s="21"/>
      <c r="AF214" s="21"/>
      <c r="AG214" s="21"/>
      <c r="AH214" s="21"/>
    </row>
    <row r="215" spans="1:34">
      <c r="Y215" s="92"/>
      <c r="AC215" s="18"/>
      <c r="AD215" s="21"/>
      <c r="AE215" s="21"/>
      <c r="AF215" s="21"/>
      <c r="AG215" s="21"/>
      <c r="AH215" s="21"/>
    </row>
    <row r="216" spans="1:34">
      <c r="Y216" s="92"/>
      <c r="AC216" s="18"/>
      <c r="AD216" s="21"/>
      <c r="AE216" s="21"/>
      <c r="AF216" s="21"/>
      <c r="AG216" s="21"/>
      <c r="AH216" s="21"/>
    </row>
    <row r="217" spans="1:34">
      <c r="Y217" s="92"/>
      <c r="AC217" s="18"/>
      <c r="AD217" s="21"/>
      <c r="AE217" s="21"/>
      <c r="AF217" s="21"/>
      <c r="AG217" s="21"/>
      <c r="AH217" s="21"/>
    </row>
    <row r="218" spans="1:34">
      <c r="Y218" s="92"/>
      <c r="AC218" s="18"/>
      <c r="AD218" s="21"/>
      <c r="AE218" s="21"/>
      <c r="AF218" s="21"/>
      <c r="AG218" s="21"/>
      <c r="AH218" s="21"/>
    </row>
    <row r="219" spans="1:34">
      <c r="Y219" s="92"/>
      <c r="AC219" s="18"/>
      <c r="AD219" s="21"/>
      <c r="AE219" s="21"/>
      <c r="AF219" s="21"/>
      <c r="AG219" s="21"/>
      <c r="AH219" s="21"/>
    </row>
    <row r="220" spans="1:34">
      <c r="Y220" s="92"/>
      <c r="AC220" s="18"/>
      <c r="AD220" s="21"/>
      <c r="AE220" s="21"/>
      <c r="AF220" s="21"/>
      <c r="AG220" s="21"/>
      <c r="AH220" s="21"/>
    </row>
    <row r="221" spans="1:34">
      <c r="Y221" s="92"/>
      <c r="AC221" s="18"/>
      <c r="AD221" s="21"/>
      <c r="AE221" s="21"/>
      <c r="AF221" s="21"/>
      <c r="AG221" s="21"/>
      <c r="AH221" s="21"/>
    </row>
    <row r="222" spans="1:34">
      <c r="Y222" s="92"/>
      <c r="AC222" s="18"/>
      <c r="AD222" s="21"/>
      <c r="AE222" s="21"/>
      <c r="AF222" s="21"/>
      <c r="AG222" s="21"/>
      <c r="AH222" s="21"/>
    </row>
    <row r="223" spans="1:34">
      <c r="Y223" s="92"/>
      <c r="AC223" s="18"/>
      <c r="AD223" s="21"/>
      <c r="AE223" s="21"/>
      <c r="AF223" s="21"/>
      <c r="AG223" s="21"/>
      <c r="AH223" s="21"/>
    </row>
    <row r="224" spans="1:34">
      <c r="Y224" s="92"/>
      <c r="AC224" s="18"/>
      <c r="AD224" s="21"/>
      <c r="AE224" s="21"/>
      <c r="AF224" s="21"/>
      <c r="AG224" s="21"/>
      <c r="AH224" s="21"/>
    </row>
    <row r="225" spans="25:34">
      <c r="Y225" s="92"/>
      <c r="AC225" s="18"/>
      <c r="AD225" s="21"/>
      <c r="AE225" s="21"/>
      <c r="AF225" s="21"/>
      <c r="AG225" s="21"/>
      <c r="AH225" s="21"/>
    </row>
    <row r="226" spans="25:34">
      <c r="Y226" s="92"/>
      <c r="AC226" s="18"/>
      <c r="AD226" s="21"/>
      <c r="AE226" s="21"/>
      <c r="AF226" s="21"/>
      <c r="AG226" s="21"/>
      <c r="AH226" s="21"/>
    </row>
    <row r="227" spans="25:34">
      <c r="Y227" s="92"/>
      <c r="AC227" s="18"/>
      <c r="AD227" s="21"/>
      <c r="AE227" s="21"/>
      <c r="AF227" s="21"/>
      <c r="AG227" s="21"/>
      <c r="AH227" s="21"/>
    </row>
    <row r="228" spans="25:34">
      <c r="Y228" s="92"/>
      <c r="AC228" s="18"/>
      <c r="AD228" s="21"/>
      <c r="AE228" s="21"/>
      <c r="AF228" s="21"/>
      <c r="AG228" s="21"/>
      <c r="AH228" s="21"/>
    </row>
    <row r="229" spans="25:34">
      <c r="Y229" s="92"/>
      <c r="AC229" s="18"/>
      <c r="AD229" s="21"/>
      <c r="AE229" s="21"/>
      <c r="AF229" s="21"/>
      <c r="AG229" s="21"/>
      <c r="AH229" s="21"/>
    </row>
    <row r="230" spans="25:34">
      <c r="Y230" s="92"/>
      <c r="AC230" s="18"/>
      <c r="AD230" s="21"/>
      <c r="AE230" s="21"/>
      <c r="AF230" s="21"/>
      <c r="AG230" s="21"/>
      <c r="AH230" s="21"/>
    </row>
    <row r="231" spans="25:34">
      <c r="Y231" s="92"/>
      <c r="AC231" s="18"/>
      <c r="AD231" s="21"/>
      <c r="AE231" s="21"/>
      <c r="AF231" s="21"/>
      <c r="AG231" s="21"/>
      <c r="AH231" s="21"/>
    </row>
    <row r="232" spans="25:34">
      <c r="Y232" s="92"/>
      <c r="AC232" s="18"/>
      <c r="AD232" s="21"/>
      <c r="AE232" s="21"/>
      <c r="AF232" s="21"/>
      <c r="AG232" s="21"/>
      <c r="AH232" s="21"/>
    </row>
    <row r="233" spans="25:34">
      <c r="Y233" s="92"/>
      <c r="AC233" s="18"/>
      <c r="AD233" s="21"/>
      <c r="AE233" s="21"/>
      <c r="AF233" s="21"/>
      <c r="AG233" s="21"/>
      <c r="AH233" s="21"/>
    </row>
    <row r="234" spans="25:34">
      <c r="Y234" s="92"/>
      <c r="AC234" s="18"/>
      <c r="AD234" s="21"/>
      <c r="AE234" s="21"/>
      <c r="AF234" s="21"/>
      <c r="AG234" s="21"/>
      <c r="AH234" s="21"/>
    </row>
    <row r="235" spans="25:34">
      <c r="Y235" s="92"/>
      <c r="AC235" s="18"/>
      <c r="AD235" s="21"/>
      <c r="AE235" s="21"/>
      <c r="AF235" s="21"/>
      <c r="AG235" s="21"/>
      <c r="AH235" s="21"/>
    </row>
    <row r="236" spans="25:34">
      <c r="Y236" s="92"/>
      <c r="AC236" s="18"/>
      <c r="AD236" s="21"/>
      <c r="AE236" s="21"/>
      <c r="AF236" s="21"/>
      <c r="AG236" s="21"/>
      <c r="AH236" s="21"/>
    </row>
    <row r="237" spans="25:34">
      <c r="Y237" s="92"/>
      <c r="AC237" s="18"/>
      <c r="AD237" s="21"/>
      <c r="AE237" s="21"/>
      <c r="AF237" s="21"/>
      <c r="AG237" s="21"/>
      <c r="AH237" s="21"/>
    </row>
    <row r="238" spans="25:34">
      <c r="Y238" s="92"/>
      <c r="AC238" s="18"/>
      <c r="AD238" s="21"/>
      <c r="AE238" s="21"/>
      <c r="AF238" s="21"/>
      <c r="AG238" s="21"/>
      <c r="AH238" s="21"/>
    </row>
    <row r="239" spans="25:34">
      <c r="Y239" s="92"/>
      <c r="AC239" s="18"/>
      <c r="AD239" s="21"/>
      <c r="AE239" s="21"/>
      <c r="AF239" s="21"/>
      <c r="AG239" s="21"/>
      <c r="AH239" s="21"/>
    </row>
    <row r="240" spans="25:34">
      <c r="Y240" s="92"/>
      <c r="AC240" s="18"/>
      <c r="AD240" s="21"/>
      <c r="AE240" s="21"/>
      <c r="AF240" s="21"/>
      <c r="AG240" s="21"/>
      <c r="AH240" s="21"/>
    </row>
    <row r="241" spans="25:34">
      <c r="Y241" s="92"/>
      <c r="AC241" s="18"/>
      <c r="AD241" s="21"/>
      <c r="AE241" s="21"/>
      <c r="AF241" s="21"/>
      <c r="AG241" s="21"/>
      <c r="AH241" s="21"/>
    </row>
    <row r="242" spans="25:34">
      <c r="Y242" s="92"/>
      <c r="AC242" s="18"/>
      <c r="AD242" s="21"/>
      <c r="AE242" s="21"/>
      <c r="AF242" s="21"/>
      <c r="AG242" s="21"/>
      <c r="AH242" s="21"/>
    </row>
    <row r="243" spans="25:34">
      <c r="Y243" s="92"/>
      <c r="AC243" s="18"/>
      <c r="AD243" s="21"/>
      <c r="AE243" s="21"/>
      <c r="AF243" s="21"/>
      <c r="AG243" s="21"/>
      <c r="AH243" s="21"/>
    </row>
    <row r="244" spans="25:34">
      <c r="Y244" s="92"/>
      <c r="AC244" s="18"/>
      <c r="AD244" s="21"/>
      <c r="AE244" s="21"/>
      <c r="AF244" s="21"/>
      <c r="AG244" s="21"/>
      <c r="AH244" s="21"/>
    </row>
    <row r="245" spans="25:34">
      <c r="Y245" s="92"/>
      <c r="AC245" s="18"/>
      <c r="AD245" s="21"/>
      <c r="AE245" s="21"/>
      <c r="AF245" s="21"/>
      <c r="AG245" s="21"/>
      <c r="AH245" s="21"/>
    </row>
    <row r="246" spans="25:34">
      <c r="Y246" s="92"/>
      <c r="AC246" s="18"/>
      <c r="AD246" s="21"/>
      <c r="AE246" s="21"/>
      <c r="AF246" s="21"/>
      <c r="AG246" s="21"/>
      <c r="AH246" s="21"/>
    </row>
    <row r="247" spans="25:34">
      <c r="Y247" s="92"/>
      <c r="AC247" s="18"/>
      <c r="AD247" s="21"/>
      <c r="AE247" s="21"/>
      <c r="AF247" s="21"/>
      <c r="AG247" s="21"/>
      <c r="AH247" s="21"/>
    </row>
    <row r="248" spans="25:34">
      <c r="Y248" s="92"/>
      <c r="AC248" s="18"/>
      <c r="AD248" s="21"/>
      <c r="AE248" s="21"/>
      <c r="AF248" s="21"/>
      <c r="AG248" s="21"/>
      <c r="AH248" s="21"/>
    </row>
    <row r="249" spans="25:34">
      <c r="Y249" s="92"/>
      <c r="AC249" s="18"/>
      <c r="AD249" s="21"/>
      <c r="AE249" s="21"/>
      <c r="AF249" s="21"/>
      <c r="AG249" s="21"/>
      <c r="AH249" s="21"/>
    </row>
    <row r="250" spans="25:34">
      <c r="Y250" s="92"/>
      <c r="AC250" s="18"/>
      <c r="AD250" s="21"/>
      <c r="AE250" s="21"/>
      <c r="AF250" s="21"/>
      <c r="AG250" s="21"/>
      <c r="AH250" s="21"/>
    </row>
    <row r="251" spans="25:34">
      <c r="Y251" s="92"/>
      <c r="AC251" s="18"/>
      <c r="AD251" s="21"/>
      <c r="AE251" s="21"/>
      <c r="AF251" s="21"/>
      <c r="AG251" s="21"/>
      <c r="AH251" s="21"/>
    </row>
    <row r="252" spans="25:34">
      <c r="Y252" s="92"/>
      <c r="AC252" s="18"/>
      <c r="AD252" s="21"/>
      <c r="AE252" s="21"/>
      <c r="AF252" s="21"/>
      <c r="AG252" s="21"/>
      <c r="AH252" s="21"/>
    </row>
    <row r="253" spans="25:34">
      <c r="Y253" s="92"/>
      <c r="AC253" s="18"/>
      <c r="AD253" s="21"/>
      <c r="AE253" s="21"/>
      <c r="AF253" s="21"/>
      <c r="AG253" s="21"/>
      <c r="AH253" s="21"/>
    </row>
    <row r="254" spans="25:34">
      <c r="Y254" s="92"/>
      <c r="AC254" s="18"/>
      <c r="AD254" s="21"/>
      <c r="AE254" s="21"/>
      <c r="AF254" s="21"/>
      <c r="AG254" s="21"/>
      <c r="AH254" s="21"/>
    </row>
    <row r="255" spans="25:34">
      <c r="Y255" s="92"/>
      <c r="AC255" s="18"/>
      <c r="AD255" s="21"/>
      <c r="AE255" s="21"/>
      <c r="AF255" s="21"/>
      <c r="AG255" s="21"/>
      <c r="AH255" s="21"/>
    </row>
    <row r="256" spans="25:34">
      <c r="Y256" s="92"/>
      <c r="AC256" s="18"/>
      <c r="AD256" s="21"/>
      <c r="AE256" s="21"/>
      <c r="AF256" s="21"/>
      <c r="AG256" s="21"/>
      <c r="AH256" s="21"/>
    </row>
    <row r="257" spans="25:34">
      <c r="Y257" s="92"/>
      <c r="AC257" s="18"/>
      <c r="AD257" s="21"/>
      <c r="AE257" s="21"/>
      <c r="AF257" s="21"/>
      <c r="AG257" s="21"/>
      <c r="AH257" s="21"/>
    </row>
    <row r="258" spans="25:34">
      <c r="Y258" s="92"/>
      <c r="AC258" s="18"/>
      <c r="AD258" s="21"/>
      <c r="AE258" s="21"/>
      <c r="AF258" s="21"/>
      <c r="AG258" s="21"/>
      <c r="AH258" s="21"/>
    </row>
    <row r="259" spans="25:34">
      <c r="Y259" s="92"/>
      <c r="AC259" s="18"/>
      <c r="AD259" s="21"/>
      <c r="AE259" s="21"/>
      <c r="AF259" s="21"/>
      <c r="AG259" s="21"/>
      <c r="AH259" s="21"/>
    </row>
    <row r="260" spans="25:34">
      <c r="Y260" s="92"/>
      <c r="AC260" s="18"/>
      <c r="AD260" s="21"/>
      <c r="AE260" s="21"/>
      <c r="AF260" s="21"/>
      <c r="AG260" s="21"/>
      <c r="AH260" s="21"/>
    </row>
    <row r="261" spans="25:34">
      <c r="Y261" s="92"/>
      <c r="AC261" s="18"/>
      <c r="AD261" s="21"/>
      <c r="AE261" s="21"/>
      <c r="AF261" s="21"/>
      <c r="AG261" s="21"/>
      <c r="AH261" s="21"/>
    </row>
    <row r="262" spans="25:34">
      <c r="Y262" s="92"/>
      <c r="AC262" s="18"/>
      <c r="AD262" s="21"/>
      <c r="AE262" s="21"/>
      <c r="AF262" s="21"/>
      <c r="AG262" s="21"/>
      <c r="AH262" s="21"/>
    </row>
    <row r="263" spans="25:34">
      <c r="Y263" s="92"/>
      <c r="AC263" s="18"/>
      <c r="AD263" s="21"/>
      <c r="AE263" s="21"/>
      <c r="AF263" s="21"/>
      <c r="AG263" s="21"/>
      <c r="AH263" s="21"/>
    </row>
    <row r="264" spans="25:34">
      <c r="Y264" s="92"/>
      <c r="AC264" s="18"/>
      <c r="AD264" s="21"/>
      <c r="AE264" s="21"/>
      <c r="AF264" s="21"/>
      <c r="AG264" s="21"/>
      <c r="AH264" s="21"/>
    </row>
    <row r="265" spans="25:34">
      <c r="Y265" s="92"/>
      <c r="AC265" s="18"/>
      <c r="AD265" s="21"/>
      <c r="AE265" s="21"/>
      <c r="AF265" s="21"/>
      <c r="AG265" s="21"/>
      <c r="AH265" s="21"/>
    </row>
    <row r="266" spans="25:34">
      <c r="Y266" s="92"/>
      <c r="AC266" s="18"/>
      <c r="AD266" s="21"/>
      <c r="AE266" s="21"/>
      <c r="AF266" s="21"/>
      <c r="AG266" s="21"/>
      <c r="AH266" s="21"/>
    </row>
    <row r="267" spans="25:34">
      <c r="Y267" s="92"/>
      <c r="AC267" s="18"/>
      <c r="AD267" s="21"/>
      <c r="AE267" s="21"/>
      <c r="AF267" s="21"/>
      <c r="AG267" s="21"/>
      <c r="AH267" s="21"/>
    </row>
    <row r="268" spans="25:34">
      <c r="Y268" s="92"/>
      <c r="AC268" s="18"/>
      <c r="AD268" s="21"/>
      <c r="AE268" s="21"/>
      <c r="AF268" s="21"/>
      <c r="AG268" s="21"/>
      <c r="AH268" s="21"/>
    </row>
    <row r="269" spans="25:34">
      <c r="Y269" s="92"/>
      <c r="AC269" s="18"/>
      <c r="AD269" s="21"/>
      <c r="AE269" s="21"/>
      <c r="AF269" s="21"/>
      <c r="AG269" s="21"/>
      <c r="AH269" s="21"/>
    </row>
    <row r="270" spans="25:34">
      <c r="Y270" s="92"/>
      <c r="AC270" s="18"/>
      <c r="AD270" s="21"/>
      <c r="AE270" s="21"/>
      <c r="AF270" s="21"/>
      <c r="AG270" s="21"/>
      <c r="AH270" s="21"/>
    </row>
    <row r="271" spans="25:34">
      <c r="Y271" s="92"/>
      <c r="AC271" s="18"/>
      <c r="AD271" s="21"/>
      <c r="AE271" s="21"/>
      <c r="AF271" s="21"/>
      <c r="AG271" s="21"/>
      <c r="AH271" s="21"/>
    </row>
    <row r="272" spans="25:34">
      <c r="Y272" s="92"/>
      <c r="AC272" s="18"/>
      <c r="AD272" s="21"/>
      <c r="AE272" s="21"/>
      <c r="AF272" s="21"/>
      <c r="AG272" s="21"/>
      <c r="AH272" s="21"/>
    </row>
    <row r="273" spans="25:34">
      <c r="Y273" s="92"/>
      <c r="AC273" s="18"/>
      <c r="AD273" s="21"/>
      <c r="AE273" s="21"/>
      <c r="AF273" s="21"/>
      <c r="AG273" s="21"/>
      <c r="AH273" s="21"/>
    </row>
    <row r="274" spans="25:34">
      <c r="Y274" s="92"/>
      <c r="AC274" s="18"/>
      <c r="AD274" s="21"/>
      <c r="AE274" s="21"/>
      <c r="AF274" s="21"/>
      <c r="AG274" s="21"/>
      <c r="AH274" s="21"/>
    </row>
    <row r="275" spans="25:34">
      <c r="Y275" s="92"/>
      <c r="AC275" s="18"/>
      <c r="AD275" s="21"/>
      <c r="AE275" s="21"/>
      <c r="AF275" s="21"/>
      <c r="AG275" s="21"/>
      <c r="AH275" s="21"/>
    </row>
    <row r="276" spans="25:34">
      <c r="Y276" s="92"/>
      <c r="AC276" s="18"/>
      <c r="AD276" s="21"/>
      <c r="AE276" s="21"/>
      <c r="AF276" s="21"/>
      <c r="AG276" s="21"/>
      <c r="AH276" s="21"/>
    </row>
    <row r="277" spans="25:34">
      <c r="Y277" s="92"/>
      <c r="AC277" s="18"/>
      <c r="AD277" s="21"/>
      <c r="AE277" s="21"/>
      <c r="AF277" s="21"/>
      <c r="AG277" s="21"/>
      <c r="AH277" s="21"/>
    </row>
    <row r="278" spans="25:34">
      <c r="Y278" s="92"/>
      <c r="AC278" s="18"/>
      <c r="AD278" s="21"/>
      <c r="AE278" s="21"/>
      <c r="AF278" s="21"/>
      <c r="AG278" s="21"/>
      <c r="AH278" s="21"/>
    </row>
    <row r="279" spans="25:34">
      <c r="Y279" s="92"/>
      <c r="AC279" s="18"/>
      <c r="AD279" s="21"/>
      <c r="AE279" s="21"/>
      <c r="AF279" s="21"/>
      <c r="AG279" s="21"/>
      <c r="AH279" s="21"/>
    </row>
    <row r="280" spans="25:34">
      <c r="Y280" s="92"/>
      <c r="AC280" s="18"/>
      <c r="AD280" s="21"/>
      <c r="AE280" s="21"/>
      <c r="AF280" s="21"/>
      <c r="AG280" s="21"/>
      <c r="AH280" s="21"/>
    </row>
    <row r="281" spans="25:34">
      <c r="Y281" s="92"/>
      <c r="AC281" s="18"/>
      <c r="AD281" s="21"/>
      <c r="AE281" s="21"/>
      <c r="AF281" s="21"/>
      <c r="AG281" s="21"/>
      <c r="AH281" s="21"/>
    </row>
    <row r="282" spans="25:34">
      <c r="Y282" s="92"/>
      <c r="AC282" s="18"/>
      <c r="AD282" s="21"/>
      <c r="AE282" s="21"/>
      <c r="AF282" s="21"/>
      <c r="AG282" s="21"/>
      <c r="AH282" s="21"/>
    </row>
    <row r="283" spans="25:34">
      <c r="Y283" s="92"/>
      <c r="AC283" s="18"/>
      <c r="AD283" s="21"/>
      <c r="AE283" s="21"/>
      <c r="AF283" s="21"/>
      <c r="AG283" s="21"/>
      <c r="AH283" s="21"/>
    </row>
    <row r="284" spans="25:34">
      <c r="Y284" s="92"/>
      <c r="AC284" s="18"/>
      <c r="AD284" s="21"/>
      <c r="AE284" s="21"/>
      <c r="AF284" s="21"/>
      <c r="AG284" s="21"/>
      <c r="AH284" s="21"/>
    </row>
    <row r="285" spans="25:34">
      <c r="Y285" s="92"/>
      <c r="AC285" s="18"/>
      <c r="AD285" s="21"/>
      <c r="AE285" s="21"/>
      <c r="AF285" s="21"/>
      <c r="AG285" s="21"/>
      <c r="AH285" s="21"/>
    </row>
    <row r="286" spans="25:34">
      <c r="Y286" s="92"/>
      <c r="AC286" s="18"/>
      <c r="AD286" s="21"/>
      <c r="AE286" s="21"/>
      <c r="AF286" s="21"/>
      <c r="AG286" s="21"/>
      <c r="AH286" s="21"/>
    </row>
    <row r="287" spans="25:34">
      <c r="Y287" s="92"/>
      <c r="AC287" s="18"/>
      <c r="AD287" s="21"/>
      <c r="AE287" s="21"/>
      <c r="AF287" s="21"/>
      <c r="AG287" s="21"/>
      <c r="AH287" s="21"/>
    </row>
    <row r="288" spans="25:34">
      <c r="Y288" s="92"/>
      <c r="AC288" s="18"/>
      <c r="AD288" s="21"/>
      <c r="AE288" s="21"/>
      <c r="AF288" s="21"/>
      <c r="AG288" s="21"/>
      <c r="AH288" s="21"/>
    </row>
    <row r="289" spans="25:34">
      <c r="Y289" s="92"/>
      <c r="AC289" s="18"/>
      <c r="AD289" s="21"/>
      <c r="AE289" s="21"/>
      <c r="AF289" s="21"/>
      <c r="AG289" s="21"/>
      <c r="AH289" s="21"/>
    </row>
    <row r="290" spans="25:34">
      <c r="Y290" s="92"/>
      <c r="AC290" s="18"/>
      <c r="AD290" s="21"/>
      <c r="AE290" s="21"/>
      <c r="AF290" s="21"/>
      <c r="AG290" s="21"/>
      <c r="AH290" s="21"/>
    </row>
    <row r="291" spans="25:34">
      <c r="Y291" s="92"/>
      <c r="AC291" s="18"/>
      <c r="AD291" s="21"/>
      <c r="AE291" s="21"/>
      <c r="AF291" s="21"/>
      <c r="AG291" s="21"/>
      <c r="AH291" s="21"/>
    </row>
    <row r="292" spans="25:34">
      <c r="Y292" s="92"/>
      <c r="AC292" s="18"/>
      <c r="AD292" s="21"/>
      <c r="AE292" s="21"/>
      <c r="AF292" s="21"/>
      <c r="AG292" s="21"/>
      <c r="AH292" s="21"/>
    </row>
    <row r="293" spans="25:34">
      <c r="Y293" s="92"/>
      <c r="AC293" s="18"/>
      <c r="AD293" s="21"/>
      <c r="AE293" s="21"/>
      <c r="AF293" s="21"/>
      <c r="AG293" s="21"/>
      <c r="AH293" s="21"/>
    </row>
    <row r="294" spans="25:34">
      <c r="Y294" s="92"/>
    </row>
    <row r="295" spans="25:34">
      <c r="Y295" s="92"/>
    </row>
    <row r="296" spans="25:34">
      <c r="Y296" s="92"/>
    </row>
    <row r="297" spans="25:34">
      <c r="Y297" s="92"/>
    </row>
    <row r="298" spans="25:34">
      <c r="Y298" s="92"/>
    </row>
    <row r="299" spans="25:34">
      <c r="Y299" s="92"/>
    </row>
    <row r="300" spans="25:34">
      <c r="Y300" s="92"/>
    </row>
    <row r="301" spans="25:34">
      <c r="Y301" s="92"/>
    </row>
    <row r="302" spans="25:34">
      <c r="Y302" s="92"/>
    </row>
    <row r="303" spans="25:34">
      <c r="Y303" s="92"/>
    </row>
    <row r="304" spans="25:34">
      <c r="Y304" s="92"/>
    </row>
    <row r="305" spans="25:25">
      <c r="Y305" s="92"/>
    </row>
    <row r="306" spans="25:25">
      <c r="Y306" s="92"/>
    </row>
    <row r="307" spans="25:25">
      <c r="Y307" s="92"/>
    </row>
    <row r="308" spans="25:25">
      <c r="Y308" s="92"/>
    </row>
    <row r="309" spans="25:25">
      <c r="Y309" s="92"/>
    </row>
    <row r="310" spans="25:25">
      <c r="Y310" s="92"/>
    </row>
    <row r="311" spans="25:25">
      <c r="Y311" s="92"/>
    </row>
    <row r="312" spans="25:25">
      <c r="Y312" s="92"/>
    </row>
    <row r="313" spans="25:25">
      <c r="Y313" s="92"/>
    </row>
    <row r="314" spans="25:25">
      <c r="Y314" s="92"/>
    </row>
    <row r="315" spans="25:25">
      <c r="Y315" s="92"/>
    </row>
    <row r="316" spans="25:25">
      <c r="Y316" s="92"/>
    </row>
    <row r="317" spans="25:25">
      <c r="Y317" s="92"/>
    </row>
    <row r="318" spans="25:25">
      <c r="Y318" s="92"/>
    </row>
    <row r="319" spans="25:25">
      <c r="Y319" s="92"/>
    </row>
    <row r="320" spans="25:25">
      <c r="Y320" s="92"/>
    </row>
    <row r="321" spans="25:25">
      <c r="Y321" s="92"/>
    </row>
    <row r="322" spans="25:25">
      <c r="Y322" s="92"/>
    </row>
    <row r="323" spans="25:25">
      <c r="Y323" s="92"/>
    </row>
    <row r="324" spans="25:25">
      <c r="Y324" s="92"/>
    </row>
    <row r="325" spans="25:25">
      <c r="Y325" s="92"/>
    </row>
    <row r="326" spans="25:25">
      <c r="Y326" s="92"/>
    </row>
    <row r="327" spans="25:25">
      <c r="Y327" s="92"/>
    </row>
    <row r="328" spans="25:25">
      <c r="Y328" s="92"/>
    </row>
    <row r="329" spans="25:25">
      <c r="Y329" s="92"/>
    </row>
    <row r="330" spans="25:25">
      <c r="Y330" s="92"/>
    </row>
    <row r="331" spans="25:25">
      <c r="Y331" s="92"/>
    </row>
    <row r="332" spans="25:25">
      <c r="Y332" s="92"/>
    </row>
    <row r="333" spans="25:25">
      <c r="Y333" s="92"/>
    </row>
    <row r="334" spans="25:25">
      <c r="Y334" s="92"/>
    </row>
    <row r="335" spans="25:25">
      <c r="Y335" s="92"/>
    </row>
    <row r="336" spans="25:25">
      <c r="Y336" s="92"/>
    </row>
    <row r="337" spans="25:25">
      <c r="Y337" s="92"/>
    </row>
    <row r="338" spans="25:25">
      <c r="Y338" s="92"/>
    </row>
    <row r="339" spans="25:25">
      <c r="Y339" s="92"/>
    </row>
    <row r="340" spans="25:25">
      <c r="Y340" s="92"/>
    </row>
    <row r="341" spans="25:25">
      <c r="Y341" s="92"/>
    </row>
    <row r="342" spans="25:25">
      <c r="Y342" s="92"/>
    </row>
    <row r="343" spans="25:25">
      <c r="Y343" s="92"/>
    </row>
    <row r="344" spans="25:25">
      <c r="Y344" s="92"/>
    </row>
    <row r="345" spans="25:25">
      <c r="Y345" s="92"/>
    </row>
    <row r="346" spans="25:25">
      <c r="Y346" s="92"/>
    </row>
    <row r="347" spans="25:25">
      <c r="Y347" s="92"/>
    </row>
    <row r="348" spans="25:25">
      <c r="Y348" s="92"/>
    </row>
    <row r="349" spans="25:25">
      <c r="Y349" s="92"/>
    </row>
    <row r="350" spans="25:25">
      <c r="Y350" s="92"/>
    </row>
    <row r="351" spans="25:25">
      <c r="Y351" s="92"/>
    </row>
    <row r="352" spans="25:25">
      <c r="Y352" s="92"/>
    </row>
    <row r="353" spans="25:25">
      <c r="Y353" s="92"/>
    </row>
    <row r="354" spans="25:25">
      <c r="Y354" s="92"/>
    </row>
    <row r="355" spans="25:25">
      <c r="Y355" s="92"/>
    </row>
    <row r="356" spans="25:25">
      <c r="Y356" s="92"/>
    </row>
    <row r="357" spans="25:25">
      <c r="Y357" s="92"/>
    </row>
    <row r="358" spans="25:25">
      <c r="Y358" s="92"/>
    </row>
    <row r="359" spans="25:25">
      <c r="Y359" s="92"/>
    </row>
    <row r="360" spans="25:25">
      <c r="Y360" s="92"/>
    </row>
    <row r="361" spans="25:25">
      <c r="Y361" s="92"/>
    </row>
    <row r="362" spans="25:25">
      <c r="Y362" s="92"/>
    </row>
    <row r="363" spans="25:25">
      <c r="Y363" s="92"/>
    </row>
    <row r="364" spans="25:25">
      <c r="Y364" s="92"/>
    </row>
    <row r="365" spans="25:25">
      <c r="Y365" s="92"/>
    </row>
    <row r="366" spans="25:25">
      <c r="Y366" s="92"/>
    </row>
    <row r="367" spans="25:25">
      <c r="Y367" s="92"/>
    </row>
    <row r="368" spans="25:25">
      <c r="Y368" s="92"/>
    </row>
    <row r="369" spans="25:25">
      <c r="Y369" s="92"/>
    </row>
    <row r="370" spans="25:25">
      <c r="Y370" s="92"/>
    </row>
    <row r="371" spans="25:25">
      <c r="Y371" s="92"/>
    </row>
    <row r="372" spans="25:25">
      <c r="Y372" s="92"/>
    </row>
    <row r="373" spans="25:25">
      <c r="Y373" s="92"/>
    </row>
    <row r="374" spans="25:25">
      <c r="Y374" s="92"/>
    </row>
    <row r="375" spans="25:25">
      <c r="Y375" s="92"/>
    </row>
    <row r="376" spans="25:25">
      <c r="Y376" s="92"/>
    </row>
    <row r="377" spans="25:25">
      <c r="Y377" s="92"/>
    </row>
    <row r="378" spans="25:25">
      <c r="Y378" s="92"/>
    </row>
    <row r="379" spans="25:25">
      <c r="Y379" s="92"/>
    </row>
    <row r="380" spans="25:25">
      <c r="Y380" s="92"/>
    </row>
    <row r="381" spans="25:25">
      <c r="Y381" s="92"/>
    </row>
    <row r="382" spans="25:25">
      <c r="Y382" s="92"/>
    </row>
    <row r="383" spans="25:25">
      <c r="Y383" s="92"/>
    </row>
    <row r="384" spans="25:25">
      <c r="Y384" s="92"/>
    </row>
    <row r="385" spans="25:25">
      <c r="Y385" s="92"/>
    </row>
    <row r="386" spans="25:25">
      <c r="Y386" s="92"/>
    </row>
    <row r="387" spans="25:25">
      <c r="Y387" s="92"/>
    </row>
    <row r="388" spans="25:25">
      <c r="Y388" s="92"/>
    </row>
    <row r="389" spans="25:25">
      <c r="Y389" s="92"/>
    </row>
    <row r="390" spans="25:25">
      <c r="Y390" s="92"/>
    </row>
    <row r="391" spans="25:25">
      <c r="Y391" s="92"/>
    </row>
    <row r="392" spans="25:25">
      <c r="Y392" s="92"/>
    </row>
    <row r="393" spans="25:25">
      <c r="Y393" s="92"/>
    </row>
    <row r="394" spans="25:25">
      <c r="Y394" s="92"/>
    </row>
    <row r="395" spans="25:25">
      <c r="Y395" s="92"/>
    </row>
    <row r="396" spans="25:25">
      <c r="Y396" s="92"/>
    </row>
    <row r="397" spans="25:25">
      <c r="Y397" s="92"/>
    </row>
    <row r="398" spans="25:25">
      <c r="Y398" s="92"/>
    </row>
    <row r="399" spans="25:25">
      <c r="Y399" s="92"/>
    </row>
    <row r="400" spans="25:25">
      <c r="Y400" s="92"/>
    </row>
    <row r="401" spans="25:25">
      <c r="Y401" s="92"/>
    </row>
    <row r="402" spans="25:25">
      <c r="Y402" s="92"/>
    </row>
    <row r="403" spans="25:25">
      <c r="Y403" s="92"/>
    </row>
    <row r="404" spans="25:25">
      <c r="Y404" s="92"/>
    </row>
    <row r="405" spans="25:25">
      <c r="Y405" s="92"/>
    </row>
    <row r="406" spans="25:25">
      <c r="Y406" s="92"/>
    </row>
    <row r="407" spans="25:25">
      <c r="Y407" s="92"/>
    </row>
    <row r="408" spans="25:25">
      <c r="Y408" s="92"/>
    </row>
    <row r="409" spans="25:25">
      <c r="Y409" s="92"/>
    </row>
    <row r="410" spans="25:25">
      <c r="Y410" s="92"/>
    </row>
    <row r="411" spans="25:25">
      <c r="Y411" s="92"/>
    </row>
    <row r="412" spans="25:25">
      <c r="Y412" s="92"/>
    </row>
    <row r="413" spans="25:25">
      <c r="Y413" s="92"/>
    </row>
    <row r="414" spans="25:25">
      <c r="Y414" s="92"/>
    </row>
    <row r="415" spans="25:25">
      <c r="Y415" s="92"/>
    </row>
    <row r="416" spans="25:25">
      <c r="Y416" s="92"/>
    </row>
    <row r="417" spans="25:25">
      <c r="Y417" s="92"/>
    </row>
    <row r="418" spans="25:25">
      <c r="Y418" s="92"/>
    </row>
    <row r="419" spans="25:25">
      <c r="Y419" s="92"/>
    </row>
    <row r="420" spans="25:25">
      <c r="Y420" s="92"/>
    </row>
    <row r="421" spans="25:25">
      <c r="Y421" s="92"/>
    </row>
    <row r="422" spans="25:25">
      <c r="Y422" s="92"/>
    </row>
    <row r="423" spans="25:25">
      <c r="Y423" s="92"/>
    </row>
    <row r="424" spans="25:25">
      <c r="Y424" s="92"/>
    </row>
    <row r="425" spans="25:25">
      <c r="Y425" s="92"/>
    </row>
    <row r="426" spans="25:25">
      <c r="Y426" s="92"/>
    </row>
    <row r="427" spans="25:25">
      <c r="Y427" s="92"/>
    </row>
    <row r="428" spans="25:25">
      <c r="Y428" s="92"/>
    </row>
    <row r="429" spans="25:25">
      <c r="Y429" s="92"/>
    </row>
    <row r="430" spans="25:25">
      <c r="Y430" s="92"/>
    </row>
    <row r="431" spans="25:25">
      <c r="Y431" s="92"/>
    </row>
    <row r="432" spans="25:25">
      <c r="Y432" s="92"/>
    </row>
    <row r="433" spans="25:25">
      <c r="Y433" s="92"/>
    </row>
    <row r="434" spans="25:25">
      <c r="Y434" s="92"/>
    </row>
    <row r="435" spans="25:25">
      <c r="Y435" s="92"/>
    </row>
    <row r="436" spans="25:25">
      <c r="Y436" s="92"/>
    </row>
    <row r="437" spans="25:25">
      <c r="Y437" s="92"/>
    </row>
    <row r="438" spans="25:25">
      <c r="Y438" s="92"/>
    </row>
    <row r="439" spans="25:25">
      <c r="Y439" s="92"/>
    </row>
    <row r="440" spans="25:25">
      <c r="Y440" s="92"/>
    </row>
    <row r="441" spans="25:25">
      <c r="Y441" s="92"/>
    </row>
    <row r="442" spans="25:25">
      <c r="Y442" s="92"/>
    </row>
    <row r="443" spans="25:25">
      <c r="Y443" s="92"/>
    </row>
    <row r="444" spans="25:25">
      <c r="Y444" s="92"/>
    </row>
    <row r="445" spans="25:25">
      <c r="Y445" s="92"/>
    </row>
    <row r="446" spans="25:25">
      <c r="Y446" s="92"/>
    </row>
    <row r="447" spans="25:25">
      <c r="Y447" s="92"/>
    </row>
    <row r="448" spans="25:25">
      <c r="Y448" s="92"/>
    </row>
    <row r="449" spans="25:25">
      <c r="Y449" s="92"/>
    </row>
    <row r="450" spans="25:25">
      <c r="Y450" s="92"/>
    </row>
    <row r="451" spans="25:25">
      <c r="Y451" s="92"/>
    </row>
    <row r="452" spans="25:25">
      <c r="Y452" s="92"/>
    </row>
    <row r="453" spans="25:25">
      <c r="Y453" s="92"/>
    </row>
    <row r="454" spans="25:25">
      <c r="Y454" s="92"/>
    </row>
    <row r="455" spans="25:25">
      <c r="Y455" s="92"/>
    </row>
    <row r="456" spans="25:25">
      <c r="Y456" s="92"/>
    </row>
    <row r="457" spans="25:25">
      <c r="Y457" s="92"/>
    </row>
    <row r="458" spans="25:25">
      <c r="Y458" s="92"/>
    </row>
    <row r="459" spans="25:25">
      <c r="Y459" s="92"/>
    </row>
    <row r="460" spans="25:25">
      <c r="Y460" s="92"/>
    </row>
    <row r="461" spans="25:25">
      <c r="Y461" s="92"/>
    </row>
    <row r="462" spans="25:25">
      <c r="Y462" s="92"/>
    </row>
    <row r="463" spans="25:25">
      <c r="Y463" s="92"/>
    </row>
    <row r="464" spans="25:25">
      <c r="Y464" s="92"/>
    </row>
    <row r="465" spans="25:25">
      <c r="Y465" s="92"/>
    </row>
    <row r="466" spans="25:25">
      <c r="Y466" s="92"/>
    </row>
    <row r="467" spans="25:25">
      <c r="Y467" s="92"/>
    </row>
    <row r="468" spans="25:25">
      <c r="Y468" s="92"/>
    </row>
    <row r="469" spans="25:25">
      <c r="Y469" s="92"/>
    </row>
    <row r="470" spans="25:25">
      <c r="Y470" s="92"/>
    </row>
    <row r="471" spans="25:25">
      <c r="Y471" s="92"/>
    </row>
    <row r="472" spans="25:25">
      <c r="Y472" s="92"/>
    </row>
    <row r="473" spans="25:25">
      <c r="Y473" s="92"/>
    </row>
    <row r="474" spans="25:25">
      <c r="Y474" s="92"/>
    </row>
    <row r="475" spans="25:25">
      <c r="Y475" s="92"/>
    </row>
    <row r="476" spans="25:25">
      <c r="Y476" s="92"/>
    </row>
    <row r="477" spans="25:25">
      <c r="Y477" s="92"/>
    </row>
    <row r="478" spans="25:25">
      <c r="Y478" s="92"/>
    </row>
    <row r="479" spans="25:25">
      <c r="Y479" s="92"/>
    </row>
    <row r="480" spans="25:25">
      <c r="Y480" s="92"/>
    </row>
    <row r="481" spans="25:25">
      <c r="Y481" s="92"/>
    </row>
    <row r="482" spans="25:25">
      <c r="Y482" s="92"/>
    </row>
    <row r="483" spans="25:25">
      <c r="Y483" s="92"/>
    </row>
    <row r="484" spans="25:25">
      <c r="Y484" s="92"/>
    </row>
    <row r="485" spans="25:25">
      <c r="Y485" s="92"/>
    </row>
    <row r="486" spans="25:25">
      <c r="Y486" s="92"/>
    </row>
    <row r="487" spans="25:25">
      <c r="Y487" s="92"/>
    </row>
    <row r="488" spans="25:25">
      <c r="Y488" s="92"/>
    </row>
    <row r="489" spans="25:25">
      <c r="Y489" s="92"/>
    </row>
    <row r="490" spans="25:25">
      <c r="Y490" s="92"/>
    </row>
    <row r="491" spans="25:25">
      <c r="Y491" s="92"/>
    </row>
    <row r="492" spans="25:25">
      <c r="Y492" s="92"/>
    </row>
    <row r="493" spans="25:25">
      <c r="Y493" s="92"/>
    </row>
    <row r="494" spans="25:25">
      <c r="Y494" s="92"/>
    </row>
    <row r="495" spans="25:25">
      <c r="Y495" s="92"/>
    </row>
    <row r="496" spans="25:25">
      <c r="Y496" s="92"/>
    </row>
    <row r="497" spans="25:25">
      <c r="Y497" s="92"/>
    </row>
    <row r="498" spans="25:25">
      <c r="Y498" s="92"/>
    </row>
    <row r="499" spans="25:25">
      <c r="Y499" s="92"/>
    </row>
    <row r="500" spans="25:25">
      <c r="Y500" s="92"/>
    </row>
    <row r="501" spans="25:25">
      <c r="Y501" s="92"/>
    </row>
    <row r="502" spans="25:25">
      <c r="Y502" s="92"/>
    </row>
    <row r="503" spans="25:25">
      <c r="Y503" s="92"/>
    </row>
    <row r="504" spans="25:25">
      <c r="Y504" s="92"/>
    </row>
    <row r="505" spans="25:25">
      <c r="Y505" s="92"/>
    </row>
    <row r="506" spans="25:25">
      <c r="Y506" s="92"/>
    </row>
    <row r="507" spans="25:25">
      <c r="Y507" s="92"/>
    </row>
    <row r="508" spans="25:25">
      <c r="Y508" s="92"/>
    </row>
    <row r="509" spans="25:25">
      <c r="Y509" s="92"/>
    </row>
    <row r="510" spans="25:25">
      <c r="Y510" s="92"/>
    </row>
    <row r="511" spans="25:25">
      <c r="Y511" s="92"/>
    </row>
    <row r="512" spans="25:25">
      <c r="Y512" s="92"/>
    </row>
    <row r="513" spans="25:25">
      <c r="Y513" s="92"/>
    </row>
    <row r="514" spans="25:25">
      <c r="Y514" s="92"/>
    </row>
    <row r="515" spans="25:25">
      <c r="Y515" s="92"/>
    </row>
    <row r="516" spans="25:25">
      <c r="Y516" s="92"/>
    </row>
    <row r="517" spans="25:25">
      <c r="Y517" s="92"/>
    </row>
    <row r="518" spans="25:25">
      <c r="Y518" s="92"/>
    </row>
    <row r="519" spans="25:25">
      <c r="Y519" s="92"/>
    </row>
    <row r="520" spans="25:25">
      <c r="Y520" s="92"/>
    </row>
    <row r="521" spans="25:25">
      <c r="Y521" s="92"/>
    </row>
    <row r="522" spans="25:25">
      <c r="Y522" s="92"/>
    </row>
    <row r="523" spans="25:25">
      <c r="Y523" s="92"/>
    </row>
    <row r="524" spans="25:25">
      <c r="Y524" s="92"/>
    </row>
    <row r="525" spans="25:25">
      <c r="Y525" s="92"/>
    </row>
    <row r="526" spans="25:25">
      <c r="Y526" s="92"/>
    </row>
    <row r="527" spans="25:25">
      <c r="Y527" s="92"/>
    </row>
    <row r="528" spans="25:25">
      <c r="Y528" s="92"/>
    </row>
    <row r="529" spans="25:25">
      <c r="Y529" s="92"/>
    </row>
    <row r="530" spans="25:25">
      <c r="Y530" s="92"/>
    </row>
    <row r="531" spans="25:25">
      <c r="Y531" s="92"/>
    </row>
    <row r="532" spans="25:25">
      <c r="Y532" s="92"/>
    </row>
    <row r="533" spans="25:25">
      <c r="Y533" s="92"/>
    </row>
    <row r="534" spans="25:25">
      <c r="Y534" s="92"/>
    </row>
    <row r="535" spans="25:25">
      <c r="Y535" s="92"/>
    </row>
    <row r="536" spans="25:25">
      <c r="Y536" s="92"/>
    </row>
    <row r="537" spans="25:25">
      <c r="Y537" s="92"/>
    </row>
    <row r="538" spans="25:25">
      <c r="Y538" s="92"/>
    </row>
    <row r="539" spans="25:25">
      <c r="Y539" s="92"/>
    </row>
    <row r="540" spans="25:25">
      <c r="Y540" s="92"/>
    </row>
    <row r="541" spans="25:25">
      <c r="Y541" s="92"/>
    </row>
    <row r="542" spans="25:25">
      <c r="Y542" s="92"/>
    </row>
    <row r="543" spans="25:25">
      <c r="Y543" s="92"/>
    </row>
    <row r="544" spans="25:25">
      <c r="Y544" s="92"/>
    </row>
    <row r="545" spans="25:25">
      <c r="Y545" s="92"/>
    </row>
    <row r="546" spans="25:25">
      <c r="Y546" s="92"/>
    </row>
    <row r="547" spans="25:25">
      <c r="Y547" s="92"/>
    </row>
    <row r="548" spans="25:25">
      <c r="Y548" s="92"/>
    </row>
    <row r="549" spans="25:25">
      <c r="Y549" s="92"/>
    </row>
    <row r="550" spans="25:25">
      <c r="Y550" s="92"/>
    </row>
    <row r="551" spans="25:25">
      <c r="Y551" s="92"/>
    </row>
    <row r="552" spans="25:25">
      <c r="Y552" s="92"/>
    </row>
    <row r="553" spans="25:25">
      <c r="Y553" s="92"/>
    </row>
    <row r="554" spans="25:25">
      <c r="Y554" s="92"/>
    </row>
    <row r="555" spans="25:25">
      <c r="Y555" s="92"/>
    </row>
    <row r="556" spans="25:25">
      <c r="Y556" s="92"/>
    </row>
    <row r="557" spans="25:25">
      <c r="Y557" s="92"/>
    </row>
    <row r="558" spans="25:25">
      <c r="Y558" s="92"/>
    </row>
    <row r="559" spans="25:25">
      <c r="Y559" s="92"/>
    </row>
    <row r="560" spans="25:25">
      <c r="Y560" s="92"/>
    </row>
    <row r="561" spans="25:25">
      <c r="Y561" s="92"/>
    </row>
    <row r="562" spans="25:25">
      <c r="Y562" s="92"/>
    </row>
    <row r="563" spans="25:25">
      <c r="Y563" s="92"/>
    </row>
    <row r="564" spans="25:25">
      <c r="Y564" s="92"/>
    </row>
    <row r="565" spans="25:25">
      <c r="Y565" s="92"/>
    </row>
    <row r="566" spans="25:25">
      <c r="Y566" s="92"/>
    </row>
    <row r="567" spans="25:25">
      <c r="Y567" s="92"/>
    </row>
    <row r="568" spans="25:25">
      <c r="Y568" s="92"/>
    </row>
    <row r="569" spans="25:25">
      <c r="Y569" s="92"/>
    </row>
    <row r="570" spans="25:25">
      <c r="Y570" s="92"/>
    </row>
    <row r="571" spans="25:25">
      <c r="Y571" s="92"/>
    </row>
    <row r="572" spans="25:25">
      <c r="Y572" s="92"/>
    </row>
    <row r="573" spans="25:25">
      <c r="Y573" s="92"/>
    </row>
    <row r="574" spans="25:25">
      <c r="Y574" s="92"/>
    </row>
    <row r="575" spans="25:25">
      <c r="Y575" s="92"/>
    </row>
    <row r="576" spans="25:25">
      <c r="Y576" s="92"/>
    </row>
    <row r="577" spans="25:25">
      <c r="Y577" s="92"/>
    </row>
    <row r="578" spans="25:25">
      <c r="Y578" s="92"/>
    </row>
    <row r="579" spans="25:25">
      <c r="Y579" s="92"/>
    </row>
    <row r="580" spans="25:25">
      <c r="Y580" s="92"/>
    </row>
    <row r="581" spans="25:25">
      <c r="Y581" s="92"/>
    </row>
    <row r="582" spans="25:25">
      <c r="Y582" s="92"/>
    </row>
    <row r="583" spans="25:25">
      <c r="Y583" s="92"/>
    </row>
    <row r="584" spans="25:25">
      <c r="Y584" s="92"/>
    </row>
    <row r="585" spans="25:25">
      <c r="Y585" s="92"/>
    </row>
    <row r="586" spans="25:25">
      <c r="Y586" s="92"/>
    </row>
    <row r="587" spans="25:25">
      <c r="Y587" s="92"/>
    </row>
    <row r="588" spans="25:25">
      <c r="Y588" s="92"/>
    </row>
    <row r="589" spans="25:25">
      <c r="Y589" s="92"/>
    </row>
    <row r="590" spans="25:25">
      <c r="Y590" s="92"/>
    </row>
    <row r="591" spans="25:25">
      <c r="Y591" s="92"/>
    </row>
    <row r="592" spans="25:25">
      <c r="Y592" s="92"/>
    </row>
    <row r="593" spans="25:25">
      <c r="Y593" s="92"/>
    </row>
    <row r="594" spans="25:25">
      <c r="Y594" s="92"/>
    </row>
    <row r="595" spans="25:25">
      <c r="Y595" s="92"/>
    </row>
    <row r="596" spans="25:25">
      <c r="Y596" s="92"/>
    </row>
    <row r="597" spans="25:25">
      <c r="Y597" s="92"/>
    </row>
    <row r="598" spans="25:25">
      <c r="Y598" s="92"/>
    </row>
    <row r="599" spans="25:25">
      <c r="Y599" s="92"/>
    </row>
    <row r="600" spans="25:25">
      <c r="Y600" s="92"/>
    </row>
    <row r="601" spans="25:25">
      <c r="Y601" s="92"/>
    </row>
    <row r="602" spans="25:25">
      <c r="Y602" s="92"/>
    </row>
    <row r="603" spans="25:25">
      <c r="Y603" s="92"/>
    </row>
    <row r="604" spans="25:25">
      <c r="Y604" s="92"/>
    </row>
    <row r="605" spans="25:25">
      <c r="Y605" s="92"/>
    </row>
    <row r="606" spans="25:25">
      <c r="Y606" s="92"/>
    </row>
    <row r="607" spans="25:25">
      <c r="Y607" s="92"/>
    </row>
    <row r="608" spans="25:25">
      <c r="Y608" s="92"/>
    </row>
    <row r="609" spans="25:25">
      <c r="Y609" s="92"/>
    </row>
    <row r="610" spans="25:25">
      <c r="Y610" s="92"/>
    </row>
    <row r="611" spans="25:25">
      <c r="Y611" s="92"/>
    </row>
    <row r="612" spans="25:25">
      <c r="Y612" s="92"/>
    </row>
    <row r="613" spans="25:25">
      <c r="Y613" s="92"/>
    </row>
    <row r="614" spans="25:25">
      <c r="Y614" s="92"/>
    </row>
    <row r="615" spans="25:25">
      <c r="Y615" s="92"/>
    </row>
    <row r="616" spans="25:25">
      <c r="Y616" s="92"/>
    </row>
    <row r="617" spans="25:25">
      <c r="Y617" s="92"/>
    </row>
    <row r="618" spans="25:25">
      <c r="Y618" s="92"/>
    </row>
    <row r="619" spans="25:25">
      <c r="Y619" s="92"/>
    </row>
    <row r="620" spans="25:25">
      <c r="Y620" s="92"/>
    </row>
    <row r="621" spans="25:25">
      <c r="Y621" s="92"/>
    </row>
    <row r="622" spans="25:25">
      <c r="Y622" s="92"/>
    </row>
    <row r="623" spans="25:25">
      <c r="Y623" s="92"/>
    </row>
    <row r="624" spans="25:25">
      <c r="Y624" s="92"/>
    </row>
    <row r="625" spans="25:25">
      <c r="Y625" s="92"/>
    </row>
    <row r="626" spans="25:25">
      <c r="Y626" s="92"/>
    </row>
    <row r="627" spans="25:25">
      <c r="Y627" s="92"/>
    </row>
    <row r="628" spans="25:25">
      <c r="Y628" s="92"/>
    </row>
    <row r="629" spans="25:25">
      <c r="Y629" s="92"/>
    </row>
    <row r="630" spans="25:25">
      <c r="Y630" s="92"/>
    </row>
    <row r="631" spans="25:25">
      <c r="Y631" s="92"/>
    </row>
    <row r="632" spans="25:25">
      <c r="Y632" s="92"/>
    </row>
    <row r="633" spans="25:25">
      <c r="Y633" s="92"/>
    </row>
    <row r="634" spans="25:25">
      <c r="Y634" s="92"/>
    </row>
    <row r="635" spans="25:25">
      <c r="Y635" s="92"/>
    </row>
    <row r="636" spans="25:25">
      <c r="Y636" s="92"/>
    </row>
    <row r="637" spans="25:25">
      <c r="Y637" s="92"/>
    </row>
    <row r="638" spans="25:25">
      <c r="Y638" s="92"/>
    </row>
    <row r="639" spans="25:25">
      <c r="Y639" s="92"/>
    </row>
    <row r="640" spans="25:25">
      <c r="Y640" s="92"/>
    </row>
    <row r="641" spans="25:25">
      <c r="Y641" s="92"/>
    </row>
    <row r="642" spans="25:25">
      <c r="Y642" s="92"/>
    </row>
    <row r="643" spans="25:25">
      <c r="Y643" s="92"/>
    </row>
    <row r="644" spans="25:25">
      <c r="Y644" s="92"/>
    </row>
    <row r="645" spans="25:25">
      <c r="Y645" s="92"/>
    </row>
    <row r="646" spans="25:25">
      <c r="Y646" s="92"/>
    </row>
    <row r="647" spans="25:25">
      <c r="Y647" s="92"/>
    </row>
    <row r="648" spans="25:25">
      <c r="Y648" s="92"/>
    </row>
    <row r="649" spans="25:25">
      <c r="Y649" s="92"/>
    </row>
    <row r="650" spans="25:25">
      <c r="Y650" s="92"/>
    </row>
    <row r="651" spans="25:25">
      <c r="Y651" s="92"/>
    </row>
    <row r="652" spans="25:25">
      <c r="Y652" s="92"/>
    </row>
    <row r="653" spans="25:25">
      <c r="Y653" s="92"/>
    </row>
    <row r="654" spans="25:25">
      <c r="Y654" s="92"/>
    </row>
    <row r="655" spans="25:25">
      <c r="Y655" s="92"/>
    </row>
    <row r="656" spans="25:25">
      <c r="Y656" s="92"/>
    </row>
    <row r="657" spans="25:25">
      <c r="Y657" s="92"/>
    </row>
    <row r="658" spans="25:25">
      <c r="Y658" s="92"/>
    </row>
    <row r="659" spans="25:25">
      <c r="Y659" s="92"/>
    </row>
    <row r="660" spans="25:25">
      <c r="Y660" s="92"/>
    </row>
    <row r="661" spans="25:25">
      <c r="Y661" s="92"/>
    </row>
    <row r="662" spans="25:25">
      <c r="Y662" s="92"/>
    </row>
    <row r="663" spans="25:25">
      <c r="Y663" s="92"/>
    </row>
    <row r="664" spans="25:25">
      <c r="Y664" s="92"/>
    </row>
    <row r="665" spans="25:25">
      <c r="Y665" s="92"/>
    </row>
    <row r="666" spans="25:25">
      <c r="Y666" s="92"/>
    </row>
    <row r="667" spans="25:25">
      <c r="Y667" s="92"/>
    </row>
    <row r="668" spans="25:25">
      <c r="Y668" s="92"/>
    </row>
    <row r="669" spans="25:25">
      <c r="Y669" s="92"/>
    </row>
    <row r="670" spans="25:25">
      <c r="Y670" s="92"/>
    </row>
    <row r="671" spans="25:25">
      <c r="Y671" s="92"/>
    </row>
    <row r="672" spans="25:25">
      <c r="Y672" s="92"/>
    </row>
    <row r="673" spans="25:25">
      <c r="Y673" s="92"/>
    </row>
    <row r="674" spans="25:25">
      <c r="Y674" s="92"/>
    </row>
    <row r="675" spans="25:25">
      <c r="Y675" s="92"/>
    </row>
    <row r="676" spans="25:25">
      <c r="Y676" s="92"/>
    </row>
    <row r="677" spans="25:25">
      <c r="Y677" s="92"/>
    </row>
    <row r="678" spans="25:25">
      <c r="Y678" s="92"/>
    </row>
    <row r="679" spans="25:25">
      <c r="Y679" s="92"/>
    </row>
    <row r="680" spans="25:25">
      <c r="Y680" s="92"/>
    </row>
    <row r="681" spans="25:25">
      <c r="Y681" s="92"/>
    </row>
    <row r="682" spans="25:25">
      <c r="Y682" s="92"/>
    </row>
    <row r="683" spans="25:25">
      <c r="Y683" s="92"/>
    </row>
    <row r="684" spans="25:25">
      <c r="Y684" s="92"/>
    </row>
    <row r="685" spans="25:25">
      <c r="Y685" s="92"/>
    </row>
    <row r="686" spans="25:25">
      <c r="Y686" s="92"/>
    </row>
    <row r="687" spans="25:25">
      <c r="Y687" s="92"/>
    </row>
    <row r="688" spans="25:25">
      <c r="Y688" s="92"/>
    </row>
    <row r="689" spans="25:25">
      <c r="Y689" s="92"/>
    </row>
    <row r="690" spans="25:25">
      <c r="Y690" s="92"/>
    </row>
    <row r="691" spans="25:25">
      <c r="Y691" s="92"/>
    </row>
    <row r="692" spans="25:25">
      <c r="Y692" s="92"/>
    </row>
    <row r="693" spans="25:25">
      <c r="Y693" s="92"/>
    </row>
    <row r="694" spans="25:25">
      <c r="Y694" s="92"/>
    </row>
    <row r="695" spans="25:25">
      <c r="Y695" s="92"/>
    </row>
    <row r="696" spans="25:25">
      <c r="Y696" s="92"/>
    </row>
    <row r="697" spans="25:25">
      <c r="Y697" s="92"/>
    </row>
    <row r="698" spans="25:25">
      <c r="Y698" s="92"/>
    </row>
    <row r="699" spans="25:25">
      <c r="Y699" s="92"/>
    </row>
    <row r="700" spans="25:25">
      <c r="Y700" s="92"/>
    </row>
    <row r="701" spans="25:25">
      <c r="Y701" s="92"/>
    </row>
    <row r="702" spans="25:25">
      <c r="Y702" s="92"/>
    </row>
    <row r="703" spans="25:25">
      <c r="Y703" s="92"/>
    </row>
    <row r="704" spans="25:25">
      <c r="Y704" s="92"/>
    </row>
    <row r="705" spans="25:25">
      <c r="Y705" s="92"/>
    </row>
    <row r="706" spans="25:25">
      <c r="Y706" s="92"/>
    </row>
    <row r="707" spans="25:25">
      <c r="Y707" s="92"/>
    </row>
    <row r="708" spans="25:25">
      <c r="Y708" s="92"/>
    </row>
    <row r="709" spans="25:25">
      <c r="Y709" s="92"/>
    </row>
    <row r="710" spans="25:25">
      <c r="Y710" s="92"/>
    </row>
    <row r="711" spans="25:25">
      <c r="Y711" s="92"/>
    </row>
    <row r="712" spans="25:25">
      <c r="Y712" s="92"/>
    </row>
    <row r="713" spans="25:25">
      <c r="Y713" s="92"/>
    </row>
    <row r="714" spans="25:25">
      <c r="Y714" s="92"/>
    </row>
    <row r="715" spans="25:25">
      <c r="Y715" s="92"/>
    </row>
    <row r="716" spans="25:25">
      <c r="Y716" s="92"/>
    </row>
    <row r="717" spans="25:25">
      <c r="Y717" s="92"/>
    </row>
    <row r="718" spans="25:25">
      <c r="Y718" s="92"/>
    </row>
    <row r="719" spans="25:25">
      <c r="Y719" s="92"/>
    </row>
    <row r="720" spans="25:25">
      <c r="Y720" s="92"/>
    </row>
    <row r="721" spans="25:25">
      <c r="Y721" s="92"/>
    </row>
    <row r="722" spans="25:25">
      <c r="Y722" s="92"/>
    </row>
    <row r="723" spans="25:25">
      <c r="Y723" s="92"/>
    </row>
    <row r="724" spans="25:25">
      <c r="Y724" s="92"/>
    </row>
    <row r="725" spans="25:25">
      <c r="Y725" s="92"/>
    </row>
    <row r="726" spans="25:25">
      <c r="Y726" s="92"/>
    </row>
    <row r="727" spans="25:25">
      <c r="Y727" s="92"/>
    </row>
    <row r="728" spans="25:25">
      <c r="Y728" s="92"/>
    </row>
    <row r="729" spans="25:25">
      <c r="Y729" s="92"/>
    </row>
    <row r="730" spans="25:25">
      <c r="Y730" s="92"/>
    </row>
    <row r="731" spans="25:25">
      <c r="Y731" s="92"/>
    </row>
    <row r="732" spans="25:25">
      <c r="Y732" s="92"/>
    </row>
    <row r="733" spans="25:25">
      <c r="Y733" s="92"/>
    </row>
    <row r="734" spans="25:25">
      <c r="Y734" s="92"/>
    </row>
    <row r="735" spans="25:25">
      <c r="Y735" s="92"/>
    </row>
    <row r="736" spans="25:25">
      <c r="Y736" s="92"/>
    </row>
    <row r="737" spans="25:25">
      <c r="Y737" s="92"/>
    </row>
    <row r="738" spans="25:25">
      <c r="Y738" s="92"/>
    </row>
    <row r="739" spans="25:25">
      <c r="Y739" s="92"/>
    </row>
    <row r="740" spans="25:25">
      <c r="Y740" s="92"/>
    </row>
    <row r="741" spans="25:25">
      <c r="Y741" s="92"/>
    </row>
    <row r="742" spans="25:25">
      <c r="Y742" s="92"/>
    </row>
    <row r="743" spans="25:25">
      <c r="Y743" s="92"/>
    </row>
    <row r="744" spans="25:25">
      <c r="Y744" s="92"/>
    </row>
    <row r="745" spans="25:25">
      <c r="Y745" s="92"/>
    </row>
    <row r="746" spans="25:25">
      <c r="Y746" s="92"/>
    </row>
    <row r="747" spans="25:25">
      <c r="Y747" s="92"/>
    </row>
    <row r="748" spans="25:25">
      <c r="Y748" s="92"/>
    </row>
    <row r="749" spans="25:25">
      <c r="Y749" s="92"/>
    </row>
    <row r="750" spans="25:25">
      <c r="Y750" s="92"/>
    </row>
    <row r="751" spans="25:25">
      <c r="Y751" s="92"/>
    </row>
    <row r="752" spans="25:25">
      <c r="Y752" s="92"/>
    </row>
    <row r="753" spans="25:25">
      <c r="Y753" s="92"/>
    </row>
    <row r="754" spans="25:25">
      <c r="Y754" s="92"/>
    </row>
    <row r="755" spans="25:25">
      <c r="Y755" s="92"/>
    </row>
    <row r="756" spans="25:25">
      <c r="Y756" s="92"/>
    </row>
    <row r="757" spans="25:25">
      <c r="Y757" s="92"/>
    </row>
    <row r="758" spans="25:25">
      <c r="Y758" s="92"/>
    </row>
    <row r="759" spans="25:25">
      <c r="Y759" s="92"/>
    </row>
    <row r="760" spans="25:25">
      <c r="Y760" s="92"/>
    </row>
    <row r="761" spans="25:25">
      <c r="Y761" s="92"/>
    </row>
    <row r="762" spans="25:25">
      <c r="Y762" s="92"/>
    </row>
    <row r="763" spans="25:25">
      <c r="Y763" s="92"/>
    </row>
    <row r="764" spans="25:25">
      <c r="Y764" s="92"/>
    </row>
    <row r="765" spans="25:25">
      <c r="Y765" s="92"/>
    </row>
    <row r="766" spans="25:25">
      <c r="Y766" s="92"/>
    </row>
    <row r="767" spans="25:25">
      <c r="Y767" s="92"/>
    </row>
    <row r="768" spans="25:25">
      <c r="Y768" s="92"/>
    </row>
    <row r="769" spans="25:25">
      <c r="Y769" s="92"/>
    </row>
    <row r="770" spans="25:25">
      <c r="Y770" s="92"/>
    </row>
    <row r="771" spans="25:25">
      <c r="Y771" s="92"/>
    </row>
    <row r="772" spans="25:25">
      <c r="Y772" s="92"/>
    </row>
    <row r="773" spans="25:25">
      <c r="Y773" s="92"/>
    </row>
    <row r="774" spans="25:25">
      <c r="Y774" s="92"/>
    </row>
    <row r="775" spans="25:25">
      <c r="Y775" s="92"/>
    </row>
    <row r="776" spans="25:25">
      <c r="Y776" s="92"/>
    </row>
    <row r="777" spans="25:25">
      <c r="Y777" s="92"/>
    </row>
    <row r="778" spans="25:25">
      <c r="Y778" s="92"/>
    </row>
    <row r="779" spans="25:25">
      <c r="Y779" s="92"/>
    </row>
    <row r="780" spans="25:25">
      <c r="Y780" s="92"/>
    </row>
    <row r="781" spans="25:25">
      <c r="Y781" s="92"/>
    </row>
    <row r="782" spans="25:25">
      <c r="Y782" s="92"/>
    </row>
    <row r="783" spans="25:25">
      <c r="Y783" s="92"/>
    </row>
    <row r="784" spans="25:25">
      <c r="Y784" s="92"/>
    </row>
    <row r="785" spans="25:25">
      <c r="Y785" s="92"/>
    </row>
    <row r="786" spans="25:25">
      <c r="Y786" s="92"/>
    </row>
    <row r="787" spans="25:25">
      <c r="Y787" s="92"/>
    </row>
    <row r="788" spans="25:25">
      <c r="Y788" s="92"/>
    </row>
    <row r="789" spans="25:25">
      <c r="Y789" s="92"/>
    </row>
    <row r="790" spans="25:25">
      <c r="Y790" s="92"/>
    </row>
    <row r="791" spans="25:25">
      <c r="Y791" s="92"/>
    </row>
    <row r="792" spans="25:25">
      <c r="Y792" s="92"/>
    </row>
    <row r="793" spans="25:25">
      <c r="Y793" s="92"/>
    </row>
    <row r="794" spans="25:25">
      <c r="Y794" s="92"/>
    </row>
    <row r="795" spans="25:25">
      <c r="Y795" s="92"/>
    </row>
    <row r="796" spans="25:25">
      <c r="Y796" s="92"/>
    </row>
    <row r="797" spans="25:25">
      <c r="Y797" s="92"/>
    </row>
    <row r="798" spans="25:25">
      <c r="Y798" s="92"/>
    </row>
    <row r="799" spans="25:25">
      <c r="Y799" s="92"/>
    </row>
    <row r="800" spans="25:25">
      <c r="Y800" s="92"/>
    </row>
    <row r="801" spans="25:25">
      <c r="Y801" s="92"/>
    </row>
    <row r="802" spans="25:25">
      <c r="Y802" s="92"/>
    </row>
    <row r="803" spans="25:25">
      <c r="Y803" s="92"/>
    </row>
    <row r="804" spans="25:25">
      <c r="Y804" s="92"/>
    </row>
    <row r="805" spans="25:25">
      <c r="Y805" s="92"/>
    </row>
    <row r="806" spans="25:25">
      <c r="Y806" s="92"/>
    </row>
    <row r="807" spans="25:25">
      <c r="Y807" s="92"/>
    </row>
    <row r="808" spans="25:25">
      <c r="Y808" s="92"/>
    </row>
    <row r="809" spans="25:25">
      <c r="Y809" s="92"/>
    </row>
    <row r="810" spans="25:25">
      <c r="Y810" s="92"/>
    </row>
    <row r="811" spans="25:25">
      <c r="Y811" s="92"/>
    </row>
    <row r="812" spans="25:25">
      <c r="Y812" s="92"/>
    </row>
    <row r="813" spans="25:25">
      <c r="Y813" s="92"/>
    </row>
    <row r="814" spans="25:25">
      <c r="Y814" s="92"/>
    </row>
    <row r="815" spans="25:25">
      <c r="Y815" s="92"/>
    </row>
    <row r="816" spans="25:25">
      <c r="Y816" s="92"/>
    </row>
    <row r="817" spans="25:25">
      <c r="Y817" s="92"/>
    </row>
    <row r="818" spans="25:25">
      <c r="Y818" s="92"/>
    </row>
    <row r="819" spans="25:25">
      <c r="Y819" s="92"/>
    </row>
    <row r="820" spans="25:25">
      <c r="Y820" s="92"/>
    </row>
    <row r="821" spans="25:25">
      <c r="Y821" s="92"/>
    </row>
    <row r="822" spans="25:25">
      <c r="Y822" s="92"/>
    </row>
    <row r="823" spans="25:25">
      <c r="Y823" s="92"/>
    </row>
    <row r="824" spans="25:25">
      <c r="Y824" s="92"/>
    </row>
    <row r="825" spans="25:25">
      <c r="Y825" s="92"/>
    </row>
    <row r="826" spans="25:25">
      <c r="Y826" s="92"/>
    </row>
    <row r="827" spans="25:25">
      <c r="Y827" s="92"/>
    </row>
    <row r="828" spans="25:25">
      <c r="Y828" s="92"/>
    </row>
    <row r="829" spans="25:25">
      <c r="Y829" s="92"/>
    </row>
    <row r="830" spans="25:25">
      <c r="Y830" s="92"/>
    </row>
    <row r="831" spans="25:25">
      <c r="Y831" s="92"/>
    </row>
    <row r="832" spans="25:25">
      <c r="Y832" s="92"/>
    </row>
    <row r="833" spans="25:25">
      <c r="Y833" s="92"/>
    </row>
    <row r="834" spans="25:25">
      <c r="Y834" s="92"/>
    </row>
    <row r="835" spans="25:25">
      <c r="Y835" s="92"/>
    </row>
    <row r="836" spans="25:25">
      <c r="Y836" s="92"/>
    </row>
    <row r="837" spans="25:25">
      <c r="Y837" s="92"/>
    </row>
    <row r="838" spans="25:25">
      <c r="Y838" s="92"/>
    </row>
    <row r="839" spans="25:25">
      <c r="Y839" s="92"/>
    </row>
    <row r="840" spans="25:25">
      <c r="Y840" s="92"/>
    </row>
    <row r="841" spans="25:25">
      <c r="Y841" s="92"/>
    </row>
    <row r="842" spans="25:25">
      <c r="Y842" s="92"/>
    </row>
    <row r="843" spans="25:25">
      <c r="Y843" s="92"/>
    </row>
    <row r="844" spans="25:25">
      <c r="Y844" s="92"/>
    </row>
    <row r="845" spans="25:25">
      <c r="Y845" s="92"/>
    </row>
    <row r="846" spans="25:25">
      <c r="Y846" s="92"/>
    </row>
    <row r="847" spans="25:25">
      <c r="Y847" s="92"/>
    </row>
    <row r="848" spans="25:25">
      <c r="Y848" s="92"/>
    </row>
    <row r="849" spans="25:25">
      <c r="Y849" s="92"/>
    </row>
    <row r="850" spans="25:25">
      <c r="Y850" s="92"/>
    </row>
    <row r="851" spans="25:25">
      <c r="Y851" s="92"/>
    </row>
    <row r="852" spans="25:25">
      <c r="Y852" s="92"/>
    </row>
    <row r="853" spans="25:25">
      <c r="Y853" s="92"/>
    </row>
    <row r="854" spans="25:25">
      <c r="Y854" s="92"/>
    </row>
    <row r="855" spans="25:25">
      <c r="Y855" s="92"/>
    </row>
    <row r="856" spans="25:25">
      <c r="Y856" s="92"/>
    </row>
    <row r="857" spans="25:25">
      <c r="Y857" s="92"/>
    </row>
    <row r="858" spans="25:25">
      <c r="Y858" s="92"/>
    </row>
    <row r="859" spans="25:25">
      <c r="Y859" s="92"/>
    </row>
    <row r="860" spans="25:25">
      <c r="Y860" s="92"/>
    </row>
    <row r="861" spans="25:25">
      <c r="Y861" s="92"/>
    </row>
    <row r="862" spans="25:25">
      <c r="Y862" s="92"/>
    </row>
    <row r="863" spans="25:25">
      <c r="Y863" s="92"/>
    </row>
    <row r="864" spans="25:25">
      <c r="Y864" s="92"/>
    </row>
    <row r="865" spans="25:25">
      <c r="Y865" s="92"/>
    </row>
    <row r="866" spans="25:25">
      <c r="Y866" s="92"/>
    </row>
    <row r="867" spans="25:25">
      <c r="Y867" s="92"/>
    </row>
    <row r="868" spans="25:25">
      <c r="Y868" s="92"/>
    </row>
    <row r="869" spans="25:25">
      <c r="Y869" s="92"/>
    </row>
    <row r="870" spans="25:25">
      <c r="Y870" s="92"/>
    </row>
    <row r="871" spans="25:25">
      <c r="Y871" s="92"/>
    </row>
    <row r="872" spans="25:25">
      <c r="Y872" s="92"/>
    </row>
    <row r="873" spans="25:25">
      <c r="Y873" s="92"/>
    </row>
    <row r="874" spans="25:25">
      <c r="Y874" s="92"/>
    </row>
    <row r="875" spans="25:25">
      <c r="Y875" s="92"/>
    </row>
    <row r="876" spans="25:25">
      <c r="Y876" s="92"/>
    </row>
    <row r="877" spans="25:25">
      <c r="Y877" s="92"/>
    </row>
    <row r="878" spans="25:25">
      <c r="Y878" s="92"/>
    </row>
    <row r="879" spans="25:25">
      <c r="Y879" s="92"/>
    </row>
    <row r="880" spans="25:25">
      <c r="Y880" s="92"/>
    </row>
    <row r="881" spans="25:25">
      <c r="Y881" s="92"/>
    </row>
    <row r="882" spans="25:25">
      <c r="Y882" s="92"/>
    </row>
    <row r="883" spans="25:25">
      <c r="Y883" s="92"/>
    </row>
    <row r="884" spans="25:25">
      <c r="Y884" s="92"/>
    </row>
    <row r="885" spans="25:25">
      <c r="Y885" s="92"/>
    </row>
    <row r="886" spans="25:25">
      <c r="Y886" s="92"/>
    </row>
    <row r="887" spans="25:25">
      <c r="Y887" s="92"/>
    </row>
    <row r="888" spans="25:25">
      <c r="Y888" s="92"/>
    </row>
    <row r="889" spans="25:25">
      <c r="Y889" s="92"/>
    </row>
    <row r="890" spans="25:25">
      <c r="Y890" s="92"/>
    </row>
    <row r="891" spans="25:25">
      <c r="Y891" s="92"/>
    </row>
    <row r="892" spans="25:25">
      <c r="Y892" s="92"/>
    </row>
    <row r="893" spans="25:25">
      <c r="Y893" s="92"/>
    </row>
    <row r="894" spans="25:25">
      <c r="Y894" s="92"/>
    </row>
    <row r="895" spans="25:25">
      <c r="Y895" s="92"/>
    </row>
    <row r="896" spans="25:25">
      <c r="Y896" s="92"/>
    </row>
    <row r="897" spans="25:25">
      <c r="Y897" s="92"/>
    </row>
    <row r="898" spans="25:25">
      <c r="Y898" s="92"/>
    </row>
    <row r="899" spans="25:25">
      <c r="Y899" s="92"/>
    </row>
    <row r="900" spans="25:25">
      <c r="Y900" s="92"/>
    </row>
    <row r="901" spans="25:25">
      <c r="Y901" s="92"/>
    </row>
    <row r="902" spans="25:25">
      <c r="Y902" s="92"/>
    </row>
    <row r="903" spans="25:25">
      <c r="Y903" s="92"/>
    </row>
    <row r="904" spans="25:25">
      <c r="Y904" s="92"/>
    </row>
    <row r="905" spans="25:25">
      <c r="Y905" s="92"/>
    </row>
    <row r="906" spans="25:25">
      <c r="Y906" s="92"/>
    </row>
    <row r="907" spans="25:25">
      <c r="Y907" s="92"/>
    </row>
    <row r="908" spans="25:25">
      <c r="Y908" s="92"/>
    </row>
    <row r="909" spans="25:25">
      <c r="Y909" s="92"/>
    </row>
    <row r="910" spans="25:25">
      <c r="Y910" s="92"/>
    </row>
    <row r="911" spans="25:25">
      <c r="Y911" s="92"/>
    </row>
    <row r="912" spans="25:25">
      <c r="Y912" s="92"/>
    </row>
    <row r="913" spans="25:25">
      <c r="Y913" s="92"/>
    </row>
    <row r="914" spans="25:25">
      <c r="Y914" s="92"/>
    </row>
    <row r="915" spans="25:25">
      <c r="Y915" s="92"/>
    </row>
    <row r="916" spans="25:25">
      <c r="Y916" s="92"/>
    </row>
    <row r="917" spans="25:25">
      <c r="Y917" s="92"/>
    </row>
    <row r="918" spans="25:25">
      <c r="Y918" s="92"/>
    </row>
    <row r="919" spans="25:25">
      <c r="Y919" s="92"/>
    </row>
    <row r="920" spans="25:25">
      <c r="Y920" s="92"/>
    </row>
    <row r="921" spans="25:25">
      <c r="Y921" s="92"/>
    </row>
    <row r="922" spans="25:25">
      <c r="Y922" s="92"/>
    </row>
    <row r="923" spans="25:25">
      <c r="Y923" s="92"/>
    </row>
    <row r="924" spans="25:25">
      <c r="Y924" s="92"/>
    </row>
    <row r="925" spans="25:25">
      <c r="Y925" s="92"/>
    </row>
    <row r="926" spans="25:25">
      <c r="Y926" s="92"/>
    </row>
    <row r="927" spans="25:25">
      <c r="Y927" s="92"/>
    </row>
    <row r="928" spans="25:25">
      <c r="Y928" s="92"/>
    </row>
    <row r="929" spans="25:25">
      <c r="Y929" s="92"/>
    </row>
    <row r="930" spans="25:25">
      <c r="Y930" s="92"/>
    </row>
    <row r="931" spans="25:25">
      <c r="Y931" s="92"/>
    </row>
    <row r="932" spans="25:25">
      <c r="Y932" s="92"/>
    </row>
    <row r="933" spans="25:25">
      <c r="Y933" s="92"/>
    </row>
    <row r="934" spans="25:25">
      <c r="Y934" s="92"/>
    </row>
    <row r="935" spans="25:25">
      <c r="Y935" s="92"/>
    </row>
    <row r="936" spans="25:25">
      <c r="Y936" s="92"/>
    </row>
    <row r="937" spans="25:25">
      <c r="Y937" s="92"/>
    </row>
    <row r="938" spans="25:25">
      <c r="Y938" s="92"/>
    </row>
    <row r="939" spans="25:25">
      <c r="Y939" s="92"/>
    </row>
    <row r="940" spans="25:25">
      <c r="Y940" s="92"/>
    </row>
    <row r="941" spans="25:25">
      <c r="Y941" s="92"/>
    </row>
    <row r="942" spans="25:25">
      <c r="Y942" s="92"/>
    </row>
    <row r="943" spans="25:25">
      <c r="Y943" s="92"/>
    </row>
    <row r="944" spans="25:25">
      <c r="Y944" s="92"/>
    </row>
    <row r="945" spans="25:25">
      <c r="Y945" s="92"/>
    </row>
    <row r="946" spans="25:25">
      <c r="Y946" s="92"/>
    </row>
    <row r="947" spans="25:25">
      <c r="Y947" s="92"/>
    </row>
    <row r="948" spans="25:25">
      <c r="Y948" s="92"/>
    </row>
    <row r="949" spans="25:25">
      <c r="Y949" s="92"/>
    </row>
    <row r="950" spans="25:25">
      <c r="Y950" s="92"/>
    </row>
    <row r="951" spans="25:25">
      <c r="Y951" s="92"/>
    </row>
    <row r="952" spans="25:25">
      <c r="Y952" s="92"/>
    </row>
    <row r="953" spans="25:25">
      <c r="Y953" s="92"/>
    </row>
    <row r="954" spans="25:25">
      <c r="Y954" s="92"/>
    </row>
    <row r="955" spans="25:25">
      <c r="Y955" s="92"/>
    </row>
    <row r="956" spans="25:25">
      <c r="Y956" s="92"/>
    </row>
    <row r="957" spans="25:25">
      <c r="Y957" s="92"/>
    </row>
    <row r="958" spans="25:25">
      <c r="Y958" s="92"/>
    </row>
    <row r="959" spans="25:25">
      <c r="Y959" s="92"/>
    </row>
    <row r="960" spans="25:25">
      <c r="Y960" s="92"/>
    </row>
    <row r="961" spans="25:25">
      <c r="Y961" s="92"/>
    </row>
    <row r="962" spans="25:25">
      <c r="Y962" s="92"/>
    </row>
    <row r="963" spans="25:25">
      <c r="Y963" s="92"/>
    </row>
    <row r="964" spans="25:25">
      <c r="Y964" s="92"/>
    </row>
    <row r="965" spans="25:25">
      <c r="Y965" s="92"/>
    </row>
    <row r="966" spans="25:25">
      <c r="Y966" s="92"/>
    </row>
    <row r="967" spans="25:25">
      <c r="Y967" s="92"/>
    </row>
    <row r="968" spans="25:25">
      <c r="Y968" s="92"/>
    </row>
    <row r="969" spans="25:25">
      <c r="Y969" s="92"/>
    </row>
    <row r="970" spans="25:25">
      <c r="Y970" s="92"/>
    </row>
    <row r="971" spans="25:25">
      <c r="Y971" s="92"/>
    </row>
    <row r="972" spans="25:25">
      <c r="Y972" s="92"/>
    </row>
    <row r="973" spans="25:25">
      <c r="Y973" s="92"/>
    </row>
    <row r="974" spans="25:25">
      <c r="Y974" s="92"/>
    </row>
    <row r="975" spans="25:25">
      <c r="Y975" s="92"/>
    </row>
    <row r="976" spans="25:25">
      <c r="Y976" s="92"/>
    </row>
    <row r="977" spans="25:25">
      <c r="Y977" s="92"/>
    </row>
    <row r="978" spans="25:25">
      <c r="Y978" s="92"/>
    </row>
    <row r="979" spans="25:25">
      <c r="Y979" s="92"/>
    </row>
    <row r="980" spans="25:25">
      <c r="Y980" s="92"/>
    </row>
    <row r="981" spans="25:25">
      <c r="Y981" s="92"/>
    </row>
    <row r="982" spans="25:25">
      <c r="Y982" s="92"/>
    </row>
    <row r="983" spans="25:25">
      <c r="Y983" s="92"/>
    </row>
    <row r="984" spans="25:25">
      <c r="Y984" s="92"/>
    </row>
    <row r="985" spans="25:25">
      <c r="Y985" s="92"/>
    </row>
    <row r="986" spans="25:25">
      <c r="Y986" s="92"/>
    </row>
    <row r="987" spans="25:25">
      <c r="Y987" s="92"/>
    </row>
    <row r="988" spans="25:25">
      <c r="Y988" s="92"/>
    </row>
    <row r="989" spans="25:25">
      <c r="Y989" s="92"/>
    </row>
    <row r="990" spans="25:25">
      <c r="Y990" s="92"/>
    </row>
    <row r="991" spans="25:25">
      <c r="Y991" s="92"/>
    </row>
    <row r="992" spans="25:25">
      <c r="Y992" s="92"/>
    </row>
    <row r="993" spans="25:25">
      <c r="Y993" s="92"/>
    </row>
    <row r="994" spans="25:25">
      <c r="Y994" s="92"/>
    </row>
    <row r="995" spans="25:25">
      <c r="Y995" s="92"/>
    </row>
    <row r="996" spans="25:25">
      <c r="Y996" s="92"/>
    </row>
    <row r="997" spans="25:25">
      <c r="Y997" s="92"/>
    </row>
    <row r="998" spans="25:25">
      <c r="Y998" s="92"/>
    </row>
    <row r="999" spans="25:25">
      <c r="Y999" s="92"/>
    </row>
    <row r="1000" spans="25:25">
      <c r="Y1000" s="92"/>
    </row>
  </sheetData>
  <autoFilter ref="E1:E1000" xr:uid="{00000000-0009-0000-0000-000002000000}"/>
  <phoneticPr fontId="4" type="noConversion"/>
  <pageMargins left="0.75" right="0.75" top="1" bottom="1" header="0.5" footer="0.5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zoomScale="85" zoomScaleNormal="85" workbookViewId="0">
      <pane xSplit="5" ySplit="2" topLeftCell="F406" activePane="bottomRight" state="frozen"/>
      <selection pane="topRight" activeCell="F1" sqref="F1"/>
      <selection pane="bottomLeft" activeCell="A3" sqref="A3"/>
      <selection pane="bottomRight" activeCell="K416" sqref="K416"/>
    </sheetView>
  </sheetViews>
  <sheetFormatPr defaultColWidth="10" defaultRowHeight="15.6"/>
  <cols>
    <col min="1" max="1" width="11.21875" style="13" customWidth="1"/>
    <col min="2" max="2" width="14.21875" style="13" customWidth="1"/>
    <col min="3" max="3" width="6.88671875" style="13" bestFit="1" customWidth="1"/>
    <col min="4" max="4" width="10.1093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7.21875" style="18" customWidth="1"/>
    <col min="24" max="24" width="8.88671875" style="19" customWidth="1"/>
    <col min="25" max="25" width="21.88671875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149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150</v>
      </c>
      <c r="V1" s="8" t="s">
        <v>12</v>
      </c>
      <c r="W1" s="8" t="s">
        <v>11</v>
      </c>
      <c r="X1" s="1" t="s">
        <v>143</v>
      </c>
      <c r="Y1" s="90" t="s">
        <v>13</v>
      </c>
      <c r="Z1" s="1" t="s">
        <v>14</v>
      </c>
      <c r="AA1" s="1" t="s">
        <v>141</v>
      </c>
      <c r="AB1" s="1" t="s">
        <v>140</v>
      </c>
      <c r="AC1" s="1" t="s">
        <v>140</v>
      </c>
      <c r="AD1" s="1" t="s">
        <v>140</v>
      </c>
      <c r="AE1" s="1" t="s">
        <v>140</v>
      </c>
      <c r="AF1" s="1" t="s">
        <v>140</v>
      </c>
      <c r="AG1" s="1" t="s">
        <v>140</v>
      </c>
      <c r="AH1" s="1" t="s">
        <v>140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198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91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139</v>
      </c>
    </row>
    <row r="3" spans="1:36">
      <c r="A3" s="13" t="s">
        <v>158</v>
      </c>
      <c r="B3" s="13" t="s">
        <v>72</v>
      </c>
      <c r="C3" s="13">
        <v>1</v>
      </c>
      <c r="E3" s="14">
        <v>44600</v>
      </c>
      <c r="K3" s="17">
        <v>6.7096390809429183</v>
      </c>
      <c r="P3" s="18">
        <v>4.8099999999999997E-2</v>
      </c>
      <c r="Q3" s="18">
        <v>2.4881952748203768</v>
      </c>
      <c r="R3" s="18" t="s">
        <v>50</v>
      </c>
      <c r="S3" s="18">
        <v>2.2109559704195898</v>
      </c>
      <c r="T3" s="18">
        <v>4.2039251124271608</v>
      </c>
      <c r="U3" s="18"/>
      <c r="V3" s="18" t="s">
        <v>69</v>
      </c>
      <c r="W3" s="18">
        <v>0.16689999999999999</v>
      </c>
      <c r="Y3" s="92">
        <v>0.6353160034210843</v>
      </c>
      <c r="Z3" s="20">
        <v>-6.4949346792448974</v>
      </c>
      <c r="AA3" s="10">
        <v>-31.43619056795681</v>
      </c>
      <c r="AB3" s="21">
        <v>3.3099213990764209</v>
      </c>
      <c r="AC3" s="18">
        <v>1.032441582947996</v>
      </c>
      <c r="AD3" s="21">
        <v>0.22230897236710981</v>
      </c>
      <c r="AE3" s="18">
        <v>3.8764018472996109</v>
      </c>
      <c r="AF3" s="18">
        <v>2.4275818589104589E-2</v>
      </c>
      <c r="AG3" s="21"/>
      <c r="AH3" s="21">
        <v>5.1669397683690006</v>
      </c>
      <c r="AI3" s="19"/>
      <c r="AJ3" s="19"/>
    </row>
    <row r="4" spans="1:36">
      <c r="A4" s="13" t="s">
        <v>159</v>
      </c>
      <c r="B4" s="13" t="s">
        <v>74</v>
      </c>
      <c r="C4" s="13">
        <v>1</v>
      </c>
      <c r="E4" s="14">
        <v>44600</v>
      </c>
      <c r="K4" s="17">
        <v>6.8706387215168601</v>
      </c>
      <c r="P4" s="18">
        <v>5.1400000000000001E-2</v>
      </c>
      <c r="Q4" s="18">
        <v>2.4921700040131349</v>
      </c>
      <c r="R4" s="18" t="s">
        <v>50</v>
      </c>
      <c r="S4" s="18">
        <v>1.909520696683545</v>
      </c>
      <c r="T4" s="18">
        <v>5.0293031414225631</v>
      </c>
      <c r="U4" s="18"/>
      <c r="V4" s="18"/>
      <c r="W4" s="18">
        <v>0.28410000000000002</v>
      </c>
      <c r="Y4" s="92">
        <v>0.54920797455643755</v>
      </c>
      <c r="Z4" s="20">
        <v>-6.482476046789488</v>
      </c>
      <c r="AA4" s="10">
        <v>-31.06785661703293</v>
      </c>
      <c r="AB4" s="17">
        <v>3.2832110670514321</v>
      </c>
      <c r="AC4" s="18">
        <v>1.108106038634884</v>
      </c>
      <c r="AD4" s="21">
        <v>0.20912236850322169</v>
      </c>
      <c r="AE4" s="21">
        <v>4.0518740711203636</v>
      </c>
      <c r="AF4" s="21">
        <v>2.7654312000958321E-2</v>
      </c>
      <c r="AG4" s="21"/>
      <c r="AH4" s="21">
        <v>4.8289115113169681</v>
      </c>
    </row>
    <row r="5" spans="1:36">
      <c r="A5" s="13" t="s">
        <v>158</v>
      </c>
      <c r="B5" s="13" t="s">
        <v>72</v>
      </c>
      <c r="C5" s="13">
        <v>2</v>
      </c>
      <c r="E5" s="14">
        <v>44607</v>
      </c>
      <c r="H5" s="16">
        <v>14.8</v>
      </c>
      <c r="I5" s="16">
        <v>6.74</v>
      </c>
      <c r="J5" s="16">
        <v>45.17</v>
      </c>
      <c r="K5" s="17">
        <v>6.8439824599352708</v>
      </c>
      <c r="P5" s="18" t="s">
        <v>50</v>
      </c>
      <c r="Q5" s="18">
        <v>2.4465852849947831</v>
      </c>
      <c r="R5" s="18" t="s">
        <v>50</v>
      </c>
      <c r="S5" s="18">
        <v>2.2421265626439402</v>
      </c>
      <c r="T5" s="18">
        <v>4.3233145752544431</v>
      </c>
      <c r="U5" s="18"/>
      <c r="V5" s="18"/>
      <c r="W5" s="18">
        <v>0.12889999999999999</v>
      </c>
      <c r="Y5" s="92">
        <v>0.61298674573660439</v>
      </c>
      <c r="Z5" s="20">
        <v>-6.466083109348161</v>
      </c>
      <c r="AA5" s="10">
        <v>-30.88254777369832</v>
      </c>
      <c r="AB5" s="17">
        <v>3.358219724203189</v>
      </c>
      <c r="AC5" s="18">
        <v>1.05847268382362</v>
      </c>
      <c r="AD5" s="21">
        <v>0.21489233159741991</v>
      </c>
      <c r="AE5" s="21">
        <v>3.967647877273234</v>
      </c>
      <c r="AF5" s="21">
        <v>2.5041603544041949E-2</v>
      </c>
      <c r="AG5" s="21"/>
      <c r="AH5" s="21">
        <v>5.2104264289709592</v>
      </c>
    </row>
    <row r="6" spans="1:36">
      <c r="A6" s="13" t="s">
        <v>73</v>
      </c>
      <c r="B6" s="13" t="s">
        <v>74</v>
      </c>
      <c r="C6" s="13">
        <v>2</v>
      </c>
      <c r="E6" s="14">
        <v>44607</v>
      </c>
      <c r="H6" s="16">
        <v>14.5</v>
      </c>
      <c r="I6" s="16">
        <v>6.7</v>
      </c>
      <c r="J6" s="16">
        <v>51.64</v>
      </c>
      <c r="K6" s="17">
        <v>7.3450383161075914</v>
      </c>
      <c r="P6" s="18" t="s">
        <v>50</v>
      </c>
      <c r="Q6" s="18">
        <v>3.956236231681471</v>
      </c>
      <c r="R6" s="18" t="s">
        <v>50</v>
      </c>
      <c r="S6" s="18">
        <v>1.8058604969424661</v>
      </c>
      <c r="T6" s="18">
        <v>4.8820339341879144</v>
      </c>
      <c r="U6" s="18"/>
      <c r="V6" s="18"/>
      <c r="W6" s="18">
        <v>0.10299999999999999</v>
      </c>
      <c r="Y6" s="92">
        <v>0.49066363206827063</v>
      </c>
      <c r="Z6" s="20">
        <v>-6.4319857994702021</v>
      </c>
      <c r="AA6" s="10">
        <v>-30.247669236499149</v>
      </c>
      <c r="AB6" s="17">
        <v>4.213617344539017</v>
      </c>
      <c r="AC6" s="18">
        <v>1.15321479825038</v>
      </c>
      <c r="AD6" s="21">
        <v>0.20274229569538221</v>
      </c>
      <c r="AE6" s="21">
        <v>4.2490894397675776</v>
      </c>
      <c r="AF6" s="21">
        <v>2.9304608512650251E-2</v>
      </c>
      <c r="AG6" s="21"/>
      <c r="AH6" s="21">
        <v>4.8618388047730274</v>
      </c>
    </row>
    <row r="7" spans="1:36" s="25" customFormat="1" ht="16.2">
      <c r="A7" s="22" t="s">
        <v>71</v>
      </c>
      <c r="B7" s="22" t="s">
        <v>72</v>
      </c>
      <c r="C7" s="22">
        <v>3</v>
      </c>
      <c r="D7" s="23"/>
      <c r="E7" s="23">
        <v>44614</v>
      </c>
      <c r="F7" s="24"/>
      <c r="H7" s="25">
        <v>14.3</v>
      </c>
      <c r="I7" s="25">
        <v>7.11</v>
      </c>
      <c r="J7" s="25">
        <v>32.11</v>
      </c>
      <c r="K7" s="26">
        <v>4.1605480397825492</v>
      </c>
      <c r="M7" s="22"/>
      <c r="N7" s="22"/>
      <c r="O7" s="22"/>
      <c r="P7" s="27">
        <v>5.0299999999999997E-2</v>
      </c>
      <c r="Q7" s="27">
        <v>1.9801548048901969</v>
      </c>
      <c r="R7" s="27" t="s">
        <v>50</v>
      </c>
      <c r="S7" s="27">
        <v>2.4139495333663561</v>
      </c>
      <c r="T7" s="27">
        <v>2.786872454122888</v>
      </c>
      <c r="U7" s="27"/>
      <c r="V7" s="27"/>
      <c r="W7" s="27">
        <v>0.26500000000000001</v>
      </c>
      <c r="X7" s="28"/>
      <c r="Y7" s="93">
        <v>0.69193316346325817</v>
      </c>
      <c r="Z7" s="26">
        <v>-6.0516696508314221</v>
      </c>
      <c r="AA7" s="29">
        <v>-23.93183490883268</v>
      </c>
      <c r="AB7" s="26">
        <v>2.4489322106265972</v>
      </c>
      <c r="AC7" s="30">
        <v>0.66514065728457195</v>
      </c>
      <c r="AD7" s="30">
        <v>0.22000794601068319</v>
      </c>
      <c r="AE7" s="30">
        <v>2.5643578227429029</v>
      </c>
      <c r="AF7" s="30">
        <v>1.3811160076621771E-2</v>
      </c>
      <c r="AG7" s="30"/>
      <c r="AH7" s="30">
        <v>3.8274011558522241</v>
      </c>
      <c r="AI7" s="31" t="s">
        <v>160</v>
      </c>
      <c r="AJ7" s="26"/>
    </row>
    <row r="8" spans="1:36">
      <c r="A8" s="13" t="s">
        <v>161</v>
      </c>
      <c r="B8" s="13" t="s">
        <v>74</v>
      </c>
      <c r="C8" s="13">
        <v>3</v>
      </c>
      <c r="E8" s="14">
        <v>44614</v>
      </c>
      <c r="R8" s="18"/>
      <c r="S8" s="18"/>
      <c r="T8" s="18"/>
      <c r="U8" s="18"/>
      <c r="V8" s="18"/>
      <c r="Y8" s="92"/>
      <c r="AC8" s="18"/>
      <c r="AD8" s="21"/>
      <c r="AE8" s="21"/>
      <c r="AF8" s="21"/>
      <c r="AG8" s="21"/>
      <c r="AH8" s="21"/>
    </row>
    <row r="9" spans="1:36" ht="16.2">
      <c r="A9" s="13" t="s">
        <v>162</v>
      </c>
      <c r="B9" s="32" t="s">
        <v>163</v>
      </c>
      <c r="C9" s="13">
        <v>4</v>
      </c>
      <c r="E9" s="14">
        <v>44621</v>
      </c>
      <c r="H9" s="16">
        <v>19.3</v>
      </c>
      <c r="I9" s="16">
        <v>6.76</v>
      </c>
      <c r="J9" s="16">
        <v>42.74</v>
      </c>
      <c r="K9" s="17">
        <v>6.5438956015004637</v>
      </c>
      <c r="P9" s="18">
        <v>4.7E-2</v>
      </c>
      <c r="Q9" s="18">
        <v>2.51528336599559</v>
      </c>
      <c r="R9" s="18" t="s">
        <v>50</v>
      </c>
      <c r="S9" s="18">
        <v>2.0492663236483368</v>
      </c>
      <c r="T9" s="18">
        <v>3.8315872693129212</v>
      </c>
      <c r="U9" s="18"/>
      <c r="V9" s="18"/>
      <c r="W9" s="18">
        <v>0.17580000000000001</v>
      </c>
      <c r="Y9" s="92">
        <v>0.59620409185133483</v>
      </c>
      <c r="Z9" s="20">
        <v>-6.5614900052566822</v>
      </c>
      <c r="AA9" s="10">
        <v>-31.941548663599932</v>
      </c>
      <c r="AB9" s="17">
        <v>3.3349965927112151</v>
      </c>
      <c r="AC9" s="18">
        <v>0.97126042345011177</v>
      </c>
      <c r="AD9" s="21">
        <v>0.24462108758099341</v>
      </c>
      <c r="AE9" s="21">
        <v>3.606500084390452</v>
      </c>
      <c r="AF9" s="21">
        <v>2.2587890588595741E-2</v>
      </c>
      <c r="AG9" s="21"/>
      <c r="AH9" s="21">
        <v>5.3526809384290992</v>
      </c>
    </row>
    <row r="10" spans="1:36">
      <c r="A10" s="13" t="s">
        <v>73</v>
      </c>
      <c r="B10" s="13" t="s">
        <v>74</v>
      </c>
      <c r="C10" s="13">
        <v>4</v>
      </c>
      <c r="E10" s="14">
        <v>44621</v>
      </c>
      <c r="H10" s="16">
        <v>19.100000000000001</v>
      </c>
      <c r="I10" s="16">
        <v>6.56</v>
      </c>
      <c r="J10" s="16">
        <v>44.2</v>
      </c>
      <c r="K10" s="17">
        <v>6.5136541084041779</v>
      </c>
      <c r="P10" s="18">
        <v>6.6199999999999995E-2</v>
      </c>
      <c r="Q10" s="18">
        <v>2.4960598926098498</v>
      </c>
      <c r="R10" s="18" t="s">
        <v>50</v>
      </c>
      <c r="S10" s="18">
        <v>1.770115215149481</v>
      </c>
      <c r="T10" s="18">
        <v>4.7119307263417962</v>
      </c>
      <c r="U10" s="18"/>
      <c r="V10" s="18"/>
      <c r="W10" s="18">
        <v>0.12920000000000001</v>
      </c>
      <c r="Y10" s="92">
        <v>0.48703377024451189</v>
      </c>
      <c r="Z10" s="20">
        <v>-6.5739486377120908</v>
      </c>
      <c r="AA10" s="10">
        <v>-32.14349615307902</v>
      </c>
      <c r="AB10" s="17">
        <v>3.2743576482365788</v>
      </c>
      <c r="AC10" s="18">
        <v>1.03451008946761</v>
      </c>
      <c r="AD10" s="21">
        <v>0.2311843858824206</v>
      </c>
      <c r="AE10" s="21">
        <v>3.7645674773789941</v>
      </c>
      <c r="AF10" s="21">
        <v>2.6002042263683869E-2</v>
      </c>
      <c r="AG10" s="21"/>
      <c r="AH10" s="21">
        <v>5.0593203505090738</v>
      </c>
    </row>
    <row r="11" spans="1:36">
      <c r="A11" s="13" t="s">
        <v>71</v>
      </c>
      <c r="B11" s="13" t="s">
        <v>72</v>
      </c>
      <c r="C11" s="13">
        <v>5</v>
      </c>
      <c r="E11" s="14">
        <v>44628</v>
      </c>
      <c r="H11" s="16">
        <v>18</v>
      </c>
      <c r="I11" s="16">
        <v>7.25</v>
      </c>
      <c r="J11" s="16">
        <v>46.97</v>
      </c>
      <c r="K11" s="17">
        <v>6.9512066941987429</v>
      </c>
      <c r="P11" s="18">
        <v>4.6199999999999998E-2</v>
      </c>
      <c r="Q11" s="18">
        <v>2.4840490302458562</v>
      </c>
      <c r="R11" s="18" t="s">
        <v>50</v>
      </c>
      <c r="S11" s="18">
        <v>2.0504556100355931</v>
      </c>
      <c r="T11" s="18">
        <v>4.3335833091491356</v>
      </c>
      <c r="U11" s="18"/>
      <c r="V11" s="18"/>
      <c r="W11" s="18">
        <v>0.1749</v>
      </c>
      <c r="Y11" s="92">
        <v>0.60629854739639899</v>
      </c>
      <c r="Z11" s="20">
        <v>-6.4844431992824472</v>
      </c>
      <c r="AA11" s="10">
        <v>-31.86031292065924</v>
      </c>
      <c r="AB11" s="17">
        <v>3.3579450716429351</v>
      </c>
      <c r="AC11" s="18">
        <v>1.070791158843116</v>
      </c>
      <c r="AD11" s="21">
        <v>0.23106173259222371</v>
      </c>
      <c r="AE11" s="21">
        <v>3.9071711289861022</v>
      </c>
      <c r="AF11" s="21">
        <v>2.5118231507645E-2</v>
      </c>
      <c r="AG11" s="21"/>
      <c r="AH11" s="21">
        <v>5.328113952394979</v>
      </c>
    </row>
    <row r="12" spans="1:36">
      <c r="A12" s="13" t="s">
        <v>73</v>
      </c>
      <c r="B12" s="13" t="s">
        <v>74</v>
      </c>
      <c r="C12" s="13">
        <v>5</v>
      </c>
      <c r="E12" s="14">
        <v>44628</v>
      </c>
      <c r="H12" s="16">
        <v>18</v>
      </c>
      <c r="I12" s="16">
        <v>6.93</v>
      </c>
      <c r="J12" s="16">
        <v>49.13</v>
      </c>
      <c r="K12" s="17">
        <v>7.2468177818587707</v>
      </c>
      <c r="P12" s="18" t="s">
        <v>50</v>
      </c>
      <c r="Q12" s="18">
        <v>2.4846060978229079</v>
      </c>
      <c r="R12" s="18" t="s">
        <v>50</v>
      </c>
      <c r="S12" s="18">
        <v>1.732764459338455</v>
      </c>
      <c r="T12" s="18">
        <v>5.283014460888066</v>
      </c>
      <c r="U12" s="18"/>
      <c r="V12" s="18"/>
      <c r="W12" s="18">
        <v>0.1244</v>
      </c>
      <c r="Y12" s="92">
        <v>0.51725948700769431</v>
      </c>
      <c r="Z12" s="20">
        <v>-6.570997908972652</v>
      </c>
      <c r="AA12" s="10">
        <v>-32.277584066125698</v>
      </c>
      <c r="AB12" s="17">
        <v>3.3998695264371599</v>
      </c>
      <c r="AC12" s="21">
        <v>1.175696005510497</v>
      </c>
      <c r="AD12" s="33">
        <v>0.18739382723957959</v>
      </c>
      <c r="AE12" s="33">
        <v>4.2150901530520821</v>
      </c>
      <c r="AF12" s="33">
        <v>2.8769440657895391E-2</v>
      </c>
      <c r="AH12" s="33">
        <v>5.0748570430510611</v>
      </c>
    </row>
    <row r="13" spans="1:36">
      <c r="A13" s="13" t="s">
        <v>71</v>
      </c>
      <c r="B13" s="13" t="s">
        <v>72</v>
      </c>
      <c r="C13" s="13">
        <v>6</v>
      </c>
      <c r="E13" s="14">
        <v>44635</v>
      </c>
      <c r="H13" s="16">
        <v>16.600000000000001</v>
      </c>
      <c r="I13" s="16">
        <v>7.05</v>
      </c>
      <c r="J13" s="16">
        <v>49.72</v>
      </c>
      <c r="K13" s="17">
        <v>7.7352123688590826</v>
      </c>
      <c r="P13" s="18" t="s">
        <v>50</v>
      </c>
      <c r="Q13" s="18">
        <v>2.502179888635597</v>
      </c>
      <c r="R13" s="18" t="s">
        <v>50</v>
      </c>
      <c r="S13" s="18">
        <v>1.9931290572795139</v>
      </c>
      <c r="T13" s="18">
        <v>4.7583608473137371</v>
      </c>
      <c r="U13" s="18"/>
      <c r="V13" s="18"/>
      <c r="W13" s="18">
        <v>0.2671</v>
      </c>
      <c r="Y13" s="92">
        <v>0.57489334843408779</v>
      </c>
      <c r="Z13" s="20">
        <v>-6.5287041303740292</v>
      </c>
      <c r="AA13" s="10">
        <v>-32.486709010804383</v>
      </c>
      <c r="AB13" s="17">
        <v>3.6132029169111051</v>
      </c>
      <c r="AC13" s="18">
        <v>1.154924372239388</v>
      </c>
      <c r="AD13" s="21">
        <v>0.30234854094835317</v>
      </c>
      <c r="AE13" s="21">
        <v>4.2216180278139506</v>
      </c>
      <c r="AF13" s="21">
        <v>2.7781016303292369E-2</v>
      </c>
      <c r="AG13" s="21"/>
      <c r="AH13" s="21">
        <v>5.4835868132321224</v>
      </c>
    </row>
    <row r="14" spans="1:36">
      <c r="A14" s="13" t="s">
        <v>73</v>
      </c>
      <c r="B14" s="13" t="s">
        <v>74</v>
      </c>
      <c r="C14" s="13">
        <v>6</v>
      </c>
      <c r="E14" s="14">
        <v>44635</v>
      </c>
      <c r="H14" s="16">
        <v>16.7</v>
      </c>
      <c r="I14" s="16">
        <v>6.72</v>
      </c>
      <c r="J14" s="16">
        <v>51.57</v>
      </c>
      <c r="K14" s="17">
        <v>7.9098523066702331</v>
      </c>
      <c r="P14" s="18" t="s">
        <v>50</v>
      </c>
      <c r="Q14" s="18">
        <v>2.494867312344252</v>
      </c>
      <c r="R14" s="18" t="s">
        <v>50</v>
      </c>
      <c r="S14" s="18">
        <v>1.73293672035992</v>
      </c>
      <c r="T14" s="18">
        <v>5.7009778818412986</v>
      </c>
      <c r="U14" s="18"/>
      <c r="V14" s="18"/>
      <c r="W14" s="18">
        <v>0.1066</v>
      </c>
      <c r="Y14" s="92">
        <v>0.48416230054532178</v>
      </c>
      <c r="Z14" s="20">
        <v>-6.5801779539397947</v>
      </c>
      <c r="AA14" s="10">
        <v>-32.765651019697117</v>
      </c>
      <c r="AB14" s="17">
        <v>3.539720319963974</v>
      </c>
      <c r="AC14" s="18">
        <v>1.238418229288814</v>
      </c>
      <c r="AD14" s="21">
        <v>0.2066277539540135</v>
      </c>
      <c r="AE14" s="21">
        <v>4.3739311495380901</v>
      </c>
      <c r="AF14" s="21">
        <v>3.0929600193653411E-2</v>
      </c>
      <c r="AG14" s="21"/>
      <c r="AH14" s="21">
        <v>5.2015928159546991</v>
      </c>
    </row>
    <row r="15" spans="1:36">
      <c r="A15" s="13" t="s">
        <v>71</v>
      </c>
      <c r="B15" s="13" t="s">
        <v>72</v>
      </c>
      <c r="C15" s="13">
        <v>7</v>
      </c>
      <c r="E15" s="14">
        <v>44642</v>
      </c>
      <c r="H15" s="16">
        <v>15.7</v>
      </c>
      <c r="I15" s="16">
        <v>6.94</v>
      </c>
      <c r="J15" s="16">
        <v>50.91</v>
      </c>
      <c r="K15" s="17">
        <v>8.7878369078492717</v>
      </c>
      <c r="P15" s="18" t="s">
        <v>50</v>
      </c>
      <c r="Q15" s="18">
        <v>2.5917922329970571</v>
      </c>
      <c r="R15" s="18" t="s">
        <v>50</v>
      </c>
      <c r="S15" s="18">
        <v>2.1351877415947689</v>
      </c>
      <c r="T15" s="18">
        <v>5.1705822381809794</v>
      </c>
      <c r="U15" s="18"/>
      <c r="V15" s="18"/>
      <c r="W15" s="18">
        <v>0.2379</v>
      </c>
      <c r="X15" s="19">
        <v>3.6555</v>
      </c>
      <c r="Y15" s="92">
        <v>0.59861056942550905</v>
      </c>
      <c r="Z15" s="20">
        <v>-6.5126390516815276</v>
      </c>
      <c r="AA15" s="10">
        <v>-32.434835584589223</v>
      </c>
      <c r="AB15" s="17">
        <v>3.7183596428976999</v>
      </c>
      <c r="AC15" s="18">
        <v>1.2239143782031841</v>
      </c>
      <c r="AD15" s="21">
        <v>0.26031003184023388</v>
      </c>
      <c r="AE15" s="21">
        <v>4.4933581760916779</v>
      </c>
      <c r="AF15" s="21">
        <v>2.9863593137236931E-2</v>
      </c>
      <c r="AG15" s="21"/>
      <c r="AH15" s="21">
        <v>5.4374105545078359</v>
      </c>
    </row>
    <row r="16" spans="1:36">
      <c r="A16" s="13" t="s">
        <v>73</v>
      </c>
      <c r="B16" s="13" t="s">
        <v>74</v>
      </c>
      <c r="C16" s="13">
        <v>7</v>
      </c>
      <c r="E16" s="14">
        <v>44642</v>
      </c>
      <c r="H16" s="16">
        <v>16.3</v>
      </c>
      <c r="I16" s="16">
        <v>6.71</v>
      </c>
      <c r="J16" s="16">
        <v>52.49</v>
      </c>
      <c r="K16" s="17">
        <v>8.574853588750825</v>
      </c>
      <c r="P16" s="18" t="s">
        <v>50</v>
      </c>
      <c r="Q16" s="18">
        <v>2.5467736710941979</v>
      </c>
      <c r="R16" s="18" t="s">
        <v>50</v>
      </c>
      <c r="S16" s="18">
        <v>1.8303540220425909</v>
      </c>
      <c r="T16" s="18">
        <v>5.8326745800917754</v>
      </c>
      <c r="U16" s="18"/>
      <c r="V16" s="18"/>
      <c r="W16" s="18">
        <v>0.1636</v>
      </c>
      <c r="X16" s="19">
        <v>4.2469999999999999</v>
      </c>
      <c r="Y16" s="92">
        <v>0.49581589296057899</v>
      </c>
      <c r="Z16" s="20">
        <v>-6.5857515526698469</v>
      </c>
      <c r="AA16" s="10">
        <v>-32.757168572643081</v>
      </c>
      <c r="AB16" s="17">
        <v>3.7017845593630652</v>
      </c>
      <c r="AC16" s="18">
        <v>1.3105628126254281</v>
      </c>
      <c r="AD16" s="21">
        <v>0.22681945385019989</v>
      </c>
      <c r="AE16" s="21">
        <v>4.6953551347041644</v>
      </c>
      <c r="AF16" s="21">
        <v>3.2640489517453422E-2</v>
      </c>
      <c r="AG16" s="21"/>
      <c r="AH16" s="21">
        <v>5.266283399228449</v>
      </c>
    </row>
    <row r="17" spans="1:34">
      <c r="A17" s="13" t="s">
        <v>71</v>
      </c>
      <c r="B17" s="13" t="s">
        <v>72</v>
      </c>
      <c r="C17" s="13">
        <v>8</v>
      </c>
      <c r="E17" s="14">
        <v>44649</v>
      </c>
      <c r="H17" s="16">
        <v>14</v>
      </c>
      <c r="I17" s="16">
        <v>7.14</v>
      </c>
      <c r="J17" s="16">
        <v>42.59</v>
      </c>
      <c r="K17" s="17">
        <v>6.1857372654512357</v>
      </c>
      <c r="P17" s="18" t="s">
        <v>50</v>
      </c>
      <c r="Q17" s="18">
        <v>2.0338315741508941</v>
      </c>
      <c r="R17" s="18" t="s">
        <v>50</v>
      </c>
      <c r="S17" s="18">
        <v>2.4970718865672992</v>
      </c>
      <c r="T17" s="18">
        <v>3.8735481265694709</v>
      </c>
      <c r="U17" s="18"/>
      <c r="V17" s="18"/>
      <c r="W17" s="18">
        <v>0.22259999999999999</v>
      </c>
      <c r="X17" s="19">
        <v>2.7948</v>
      </c>
      <c r="Y17" s="92">
        <v>0.85659737081743625</v>
      </c>
      <c r="Z17" s="20">
        <v>-6.389364162122753</v>
      </c>
      <c r="AA17" s="10">
        <v>-29.027828100534229</v>
      </c>
      <c r="AB17" s="17">
        <v>3.0618662418602689</v>
      </c>
      <c r="AC17" s="18">
        <v>0.98753088216846785</v>
      </c>
      <c r="AD17" s="21">
        <v>0.23498805955091831</v>
      </c>
      <c r="AE17" s="21">
        <v>3.6663881720203708</v>
      </c>
      <c r="AF17" s="21">
        <v>2.2979267926777871E-2</v>
      </c>
      <c r="AG17" s="21"/>
      <c r="AH17" s="21">
        <v>4.6177464775124646</v>
      </c>
    </row>
    <row r="18" spans="1:34">
      <c r="A18" s="13" t="s">
        <v>73</v>
      </c>
      <c r="B18" s="13" t="s">
        <v>74</v>
      </c>
      <c r="C18" s="13">
        <v>8</v>
      </c>
      <c r="E18" s="14">
        <v>44649</v>
      </c>
      <c r="H18" s="16">
        <v>14</v>
      </c>
      <c r="I18" s="16">
        <v>6.39</v>
      </c>
      <c r="J18" s="16">
        <v>41.88</v>
      </c>
      <c r="K18" s="17">
        <v>6.4503130825112516</v>
      </c>
      <c r="P18" s="18" t="s">
        <v>50</v>
      </c>
      <c r="Q18" s="18">
        <v>1.9694265509880879</v>
      </c>
      <c r="R18" s="18" t="s">
        <v>50</v>
      </c>
      <c r="S18" s="18">
        <v>2.0108971435225431</v>
      </c>
      <c r="T18" s="18">
        <v>3.7649030780615789</v>
      </c>
      <c r="U18" s="18"/>
      <c r="V18" s="18"/>
      <c r="W18" s="18">
        <v>0.2079</v>
      </c>
      <c r="X18" s="19">
        <v>5.0278999999999998</v>
      </c>
      <c r="Y18" s="92">
        <v>0.6193552949483343</v>
      </c>
      <c r="Z18" s="20">
        <v>-6.1277328805591784</v>
      </c>
      <c r="AA18" s="10">
        <v>-25.70499259109247</v>
      </c>
      <c r="AB18" s="17">
        <v>2.8114204326089909</v>
      </c>
      <c r="AC18" s="18">
        <v>1.018088615124215</v>
      </c>
      <c r="AD18" s="21">
        <v>0.23370326392765281</v>
      </c>
      <c r="AE18" s="21">
        <v>3.68584925668014</v>
      </c>
      <c r="AF18" s="21">
        <v>2.5712381352008241E-2</v>
      </c>
      <c r="AG18" s="21"/>
      <c r="AH18" s="21">
        <v>4.1395538216063379</v>
      </c>
    </row>
    <row r="19" spans="1:34">
      <c r="A19" s="13" t="s">
        <v>71</v>
      </c>
      <c r="B19" s="13" t="s">
        <v>72</v>
      </c>
      <c r="C19" s="13">
        <v>9</v>
      </c>
      <c r="E19" s="14">
        <v>44658</v>
      </c>
      <c r="H19" s="16">
        <v>14.9</v>
      </c>
      <c r="I19" s="16">
        <v>6.89</v>
      </c>
      <c r="J19" s="16">
        <v>42.74</v>
      </c>
      <c r="K19" s="17">
        <v>6.7203553723589158</v>
      </c>
      <c r="P19" s="18" t="s">
        <v>50</v>
      </c>
      <c r="Q19" s="18">
        <v>2.620357070907271</v>
      </c>
      <c r="R19" s="18" t="s">
        <v>50</v>
      </c>
      <c r="S19" s="18">
        <v>2.320034702856399</v>
      </c>
      <c r="T19" s="18">
        <v>4.4104803247834461</v>
      </c>
      <c r="U19" s="18"/>
      <c r="V19" s="18"/>
      <c r="W19" s="18">
        <v>0.2407</v>
      </c>
      <c r="X19" s="19">
        <v>2.9615999999999998</v>
      </c>
      <c r="Y19" s="92">
        <v>0.6714040020605716</v>
      </c>
      <c r="Z19" s="20">
        <v>-6.4287072119819362</v>
      </c>
      <c r="AA19" s="10">
        <v>-30.39317582827244</v>
      </c>
      <c r="AB19" s="17">
        <v>3.3744112299373201</v>
      </c>
      <c r="AC19" s="18">
        <v>1.042746628644089</v>
      </c>
      <c r="AD19" s="21">
        <v>0.24804262362099469</v>
      </c>
      <c r="AE19" s="21">
        <v>3.867638583280836</v>
      </c>
      <c r="AF19" s="21">
        <v>2.4430065724762421E-2</v>
      </c>
      <c r="AG19" s="21"/>
      <c r="AH19" s="21">
        <v>5.2086261930826501</v>
      </c>
    </row>
    <row r="20" spans="1:34">
      <c r="A20" s="13" t="s">
        <v>73</v>
      </c>
      <c r="B20" s="13" t="s">
        <v>74</v>
      </c>
      <c r="C20" s="13">
        <v>9</v>
      </c>
      <c r="E20" s="14">
        <v>44658</v>
      </c>
      <c r="H20" s="16">
        <v>13.7</v>
      </c>
      <c r="I20" s="16">
        <v>6.6</v>
      </c>
      <c r="J20" s="16">
        <v>45.72</v>
      </c>
      <c r="K20" s="17">
        <v>6.7916090005642156</v>
      </c>
      <c r="P20" s="18" t="s">
        <v>50</v>
      </c>
      <c r="Q20" s="18">
        <v>2.5396360775990452</v>
      </c>
      <c r="R20" s="18" t="s">
        <v>50</v>
      </c>
      <c r="S20" s="18">
        <v>1.906159071464677</v>
      </c>
      <c r="T20" s="18">
        <v>5.158966993237569</v>
      </c>
      <c r="U20" s="18"/>
      <c r="V20" s="18"/>
      <c r="W20" s="18">
        <v>0.16589999999999999</v>
      </c>
      <c r="X20" s="19">
        <v>3.6036000000000001</v>
      </c>
      <c r="Y20" s="92">
        <v>0.53497864336303647</v>
      </c>
      <c r="Z20" s="20">
        <v>-6.3942820433551502</v>
      </c>
      <c r="AA20" s="10">
        <v>-29.61507443504529</v>
      </c>
      <c r="AB20" s="17">
        <v>3.1884960014118828</v>
      </c>
      <c r="AC20" s="18">
        <v>1.112436247069029</v>
      </c>
      <c r="AD20" s="21">
        <v>0.22074443575232419</v>
      </c>
      <c r="AE20" s="21">
        <v>4.0109702896855479</v>
      </c>
      <c r="AF20" s="21">
        <v>2.7857625377180679E-2</v>
      </c>
      <c r="AG20" s="21"/>
      <c r="AH20" s="21">
        <v>4.7907858148475899</v>
      </c>
    </row>
    <row r="21" spans="1:34">
      <c r="A21" s="13" t="s">
        <v>71</v>
      </c>
      <c r="B21" s="13" t="s">
        <v>72</v>
      </c>
      <c r="C21" s="13">
        <v>10</v>
      </c>
      <c r="E21" s="14">
        <v>44663</v>
      </c>
      <c r="H21" s="16">
        <v>15</v>
      </c>
      <c r="I21" s="16">
        <v>6.83</v>
      </c>
      <c r="J21" s="16">
        <v>43.71</v>
      </c>
      <c r="K21" s="17">
        <v>7.2497535787369989</v>
      </c>
      <c r="P21" s="18">
        <v>8.9296081092866894E-3</v>
      </c>
      <c r="Q21" s="18">
        <v>2.5071503077221489</v>
      </c>
      <c r="R21" s="18" t="s">
        <v>50</v>
      </c>
      <c r="S21" s="18">
        <v>1.973595980160088</v>
      </c>
      <c r="T21" s="18">
        <v>4.4957700771118843</v>
      </c>
      <c r="U21" s="18"/>
      <c r="V21" s="18"/>
      <c r="W21" s="18">
        <v>0.1883</v>
      </c>
      <c r="X21" s="19">
        <v>3.2633999999999999</v>
      </c>
      <c r="Y21" s="92">
        <v>0.53319165537213309</v>
      </c>
      <c r="Z21" s="20">
        <v>-6.5391956103364777</v>
      </c>
      <c r="AA21" s="10">
        <v>-31.53080247740581</v>
      </c>
      <c r="AB21" s="17">
        <v>3.463491509342246</v>
      </c>
      <c r="AC21" s="18">
        <v>1.109067571498157</v>
      </c>
      <c r="AD21" s="21">
        <v>0.2394130028802175</v>
      </c>
      <c r="AE21" s="21">
        <v>4.1440002595934784</v>
      </c>
      <c r="AF21" s="21">
        <v>2.7119629178910028E-2</v>
      </c>
      <c r="AG21" s="21"/>
      <c r="AH21" s="21">
        <v>5.5120057784662606</v>
      </c>
    </row>
    <row r="22" spans="1:34">
      <c r="A22" s="13" t="s">
        <v>73</v>
      </c>
      <c r="B22" s="13" t="s">
        <v>74</v>
      </c>
      <c r="C22" s="13">
        <v>10</v>
      </c>
      <c r="E22" s="14">
        <v>44663</v>
      </c>
      <c r="H22" s="16">
        <v>15.2</v>
      </c>
      <c r="I22" s="16">
        <v>6.6</v>
      </c>
      <c r="J22" s="16">
        <v>48.27</v>
      </c>
      <c r="K22" s="17">
        <v>7.272370279897471</v>
      </c>
      <c r="P22" s="18" t="s">
        <v>50</v>
      </c>
      <c r="Q22" s="18">
        <v>2.49103947099402</v>
      </c>
      <c r="R22" s="18" t="s">
        <v>50</v>
      </c>
      <c r="S22" s="18">
        <v>1.7798470666818771</v>
      </c>
      <c r="T22" s="18">
        <v>5.4079660328546444</v>
      </c>
      <c r="U22" s="18"/>
      <c r="V22" s="18"/>
      <c r="W22" s="18">
        <v>0.1142</v>
      </c>
      <c r="X22" s="19">
        <v>3.9853000000000001</v>
      </c>
      <c r="Y22" s="92">
        <v>0.41662016662292578</v>
      </c>
      <c r="Z22" s="20">
        <v>-6.5575557002707647</v>
      </c>
      <c r="AA22" s="10">
        <v>-31.570278481003509</v>
      </c>
      <c r="AB22" s="17">
        <v>3.4230746134003178</v>
      </c>
      <c r="AC22" s="18">
        <v>1.196049090888204</v>
      </c>
      <c r="AD22" s="21">
        <v>0.22800673054052339</v>
      </c>
      <c r="AE22" s="21">
        <v>4.3312944012829826</v>
      </c>
      <c r="AF22" s="21">
        <v>3.0005110747468481E-2</v>
      </c>
      <c r="AG22" s="21"/>
      <c r="AH22" s="21">
        <v>5.1140756239840073</v>
      </c>
    </row>
    <row r="23" spans="1:34">
      <c r="A23" s="13" t="s">
        <v>162</v>
      </c>
      <c r="B23" s="13" t="s">
        <v>72</v>
      </c>
      <c r="C23" s="13">
        <v>11</v>
      </c>
      <c r="E23" s="14">
        <v>44670</v>
      </c>
      <c r="H23" s="16">
        <v>16.8</v>
      </c>
      <c r="I23" s="16">
        <v>7.23</v>
      </c>
      <c r="J23" s="16">
        <v>49.12</v>
      </c>
      <c r="K23" s="17">
        <v>7.5577726075573501</v>
      </c>
      <c r="P23" s="18">
        <v>8.7052130633331753E-3</v>
      </c>
      <c r="Q23" s="18">
        <v>2.5528860784469858</v>
      </c>
      <c r="R23" s="18" t="s">
        <v>50</v>
      </c>
      <c r="S23" s="18">
        <v>2.066739727697926</v>
      </c>
      <c r="T23" s="18">
        <v>4.8111741468365166</v>
      </c>
      <c r="U23" s="18"/>
      <c r="V23" s="18"/>
      <c r="W23" s="18">
        <v>0.18579999999999999</v>
      </c>
      <c r="X23" s="19">
        <v>3.5026000000000002</v>
      </c>
      <c r="Y23" s="92">
        <v>0.52240014685230562</v>
      </c>
      <c r="Z23" s="20">
        <v>-6.6680793709118031</v>
      </c>
      <c r="AA23" s="10">
        <v>-33.320404735027452</v>
      </c>
      <c r="AB23" s="17">
        <v>3.5981821647782608</v>
      </c>
      <c r="AC23" s="18">
        <v>1.134970568757671</v>
      </c>
      <c r="AD23" s="21">
        <v>0.20030023373427949</v>
      </c>
      <c r="AE23" s="21">
        <v>4.2655036379998332</v>
      </c>
      <c r="AF23" s="21">
        <v>2.70287472364714E-2</v>
      </c>
      <c r="AG23" s="21"/>
      <c r="AH23" s="21">
        <v>5.4651894130081748</v>
      </c>
    </row>
    <row r="24" spans="1:34">
      <c r="A24" s="13" t="s">
        <v>161</v>
      </c>
      <c r="B24" s="13" t="s">
        <v>74</v>
      </c>
      <c r="C24" s="13">
        <v>11</v>
      </c>
      <c r="E24" s="14">
        <v>44670</v>
      </c>
      <c r="H24" s="16">
        <v>16</v>
      </c>
      <c r="I24" s="16">
        <v>7.04</v>
      </c>
      <c r="J24" s="16">
        <v>52.09</v>
      </c>
      <c r="K24" s="17">
        <v>7.6462231557513904</v>
      </c>
      <c r="P24" s="18">
        <v>2.267227863860851E-2</v>
      </c>
      <c r="Q24" s="18">
        <v>2.578211189714577</v>
      </c>
      <c r="R24" s="18" t="s">
        <v>50</v>
      </c>
      <c r="S24" s="18">
        <v>1.796342110401393</v>
      </c>
      <c r="T24" s="18">
        <v>5.916860632442221</v>
      </c>
      <c r="U24" s="18"/>
      <c r="V24" s="18"/>
      <c r="W24" s="18">
        <v>0.1231</v>
      </c>
      <c r="X24" s="19">
        <v>4.1288</v>
      </c>
      <c r="Y24" s="92">
        <v>0.4221671488233501</v>
      </c>
      <c r="Z24" s="20">
        <v>-6.708450938562815</v>
      </c>
      <c r="AA24" s="10">
        <v>-33.600638391615952</v>
      </c>
      <c r="AB24" s="17">
        <v>3.7016278546729442</v>
      </c>
      <c r="AC24" s="18">
        <v>1.2412132457841141</v>
      </c>
      <c r="AD24" s="21">
        <v>0.16855355787068241</v>
      </c>
      <c r="AE24" s="21">
        <v>4.5554567049957759</v>
      </c>
      <c r="AF24" s="21">
        <v>2.9225449583002581E-2</v>
      </c>
      <c r="AG24" s="21"/>
      <c r="AH24" s="21">
        <v>5.2340059554396277</v>
      </c>
    </row>
    <row r="25" spans="1:34">
      <c r="A25" s="13" t="s">
        <v>162</v>
      </c>
      <c r="B25" s="13" t="s">
        <v>72</v>
      </c>
      <c r="C25" s="13">
        <v>12</v>
      </c>
      <c r="E25" s="14">
        <v>44677</v>
      </c>
      <c r="H25" s="16">
        <v>13.7</v>
      </c>
      <c r="I25" s="16">
        <v>7.22</v>
      </c>
      <c r="J25" s="16">
        <v>51.24</v>
      </c>
      <c r="P25" s="18">
        <v>2.4610968251917859E-2</v>
      </c>
      <c r="Q25" s="18">
        <v>2.5386451579248308</v>
      </c>
      <c r="R25" s="18" t="s">
        <v>50</v>
      </c>
      <c r="S25" s="18">
        <v>2.0324473564294552</v>
      </c>
      <c r="T25" s="18">
        <v>5.2064994595951504</v>
      </c>
      <c r="U25" s="18"/>
      <c r="V25" s="18"/>
      <c r="W25" s="18">
        <v>0.19719999999999999</v>
      </c>
      <c r="X25" s="19">
        <v>3.8631000000000002</v>
      </c>
      <c r="Y25" s="92">
        <v>0.52426090071535814</v>
      </c>
      <c r="Z25" s="20">
        <v>-6.72179691134001</v>
      </c>
      <c r="AA25" s="10">
        <v>-33.793092002109937</v>
      </c>
      <c r="AB25" s="17">
        <v>3.870515423904489</v>
      </c>
      <c r="AC25" s="18">
        <v>1.2387404344672579</v>
      </c>
      <c r="AD25" s="21">
        <v>0.2133580393871603</v>
      </c>
      <c r="AE25" s="21">
        <v>4.6354809523606253</v>
      </c>
      <c r="AF25" s="21">
        <v>2.8825688613098189E-2</v>
      </c>
      <c r="AG25" s="21"/>
      <c r="AH25" s="21">
        <v>5.7214351468229179</v>
      </c>
    </row>
    <row r="26" spans="1:34">
      <c r="A26" s="13" t="s">
        <v>161</v>
      </c>
      <c r="B26" s="13" t="s">
        <v>74</v>
      </c>
      <c r="C26" s="13">
        <v>12</v>
      </c>
      <c r="E26" s="14">
        <v>44677</v>
      </c>
      <c r="H26" s="16">
        <v>14.5</v>
      </c>
      <c r="I26" s="16">
        <v>6.95</v>
      </c>
      <c r="J26" s="16">
        <v>53.03</v>
      </c>
      <c r="K26" s="17">
        <v>8.2637843014302792</v>
      </c>
      <c r="P26" s="18">
        <v>2.818799961047869E-2</v>
      </c>
      <c r="Q26" s="18">
        <v>2.561143725346251</v>
      </c>
      <c r="R26" s="18" t="s">
        <v>50</v>
      </c>
      <c r="S26" s="18">
        <v>1.84767113158816</v>
      </c>
      <c r="T26" s="18">
        <v>6.0361312477188784</v>
      </c>
      <c r="U26" s="18"/>
      <c r="V26" s="18"/>
      <c r="W26" s="18">
        <v>0.1744</v>
      </c>
      <c r="X26" s="19">
        <v>4.5933999999999999</v>
      </c>
      <c r="Y26" s="92">
        <v>0.47618985931085778</v>
      </c>
      <c r="Z26" s="20">
        <v>-6.7261343524925978</v>
      </c>
      <c r="AA26" s="10">
        <v>-33.976601985266008</v>
      </c>
      <c r="AB26" s="17">
        <v>3.8438774295050742</v>
      </c>
      <c r="AC26" s="18">
        <v>1.320962566900822</v>
      </c>
      <c r="AD26" s="21">
        <v>0.19508916884106289</v>
      </c>
      <c r="AE26" s="21">
        <v>4.7400379183903274</v>
      </c>
      <c r="AF26" s="21">
        <v>3.1171726510562599E-2</v>
      </c>
      <c r="AG26" s="21"/>
      <c r="AH26" s="21">
        <v>5.3304670598241231</v>
      </c>
    </row>
    <row r="27" spans="1:34">
      <c r="A27" s="13" t="s">
        <v>162</v>
      </c>
      <c r="B27" s="13" t="s">
        <v>72</v>
      </c>
      <c r="C27" s="13">
        <v>13</v>
      </c>
      <c r="E27" s="14">
        <v>44684</v>
      </c>
      <c r="H27" s="16">
        <v>15.3</v>
      </c>
      <c r="I27" s="16">
        <v>7.25</v>
      </c>
      <c r="J27" s="16">
        <v>49.41</v>
      </c>
      <c r="K27" s="17">
        <v>7.6420763237153428</v>
      </c>
      <c r="P27" s="18" t="s">
        <v>50</v>
      </c>
      <c r="Q27" s="18">
        <v>2.4387067450727682</v>
      </c>
      <c r="R27" s="18" t="s">
        <v>50</v>
      </c>
      <c r="S27" s="18">
        <v>2.7650711842043521</v>
      </c>
      <c r="T27" s="18">
        <v>4.8411754734742116</v>
      </c>
      <c r="U27" s="18"/>
      <c r="V27" s="18"/>
      <c r="W27" s="18">
        <v>0.2314781012562124</v>
      </c>
      <c r="Y27" s="92">
        <v>0.72101545773730946</v>
      </c>
      <c r="Z27" s="20">
        <v>-6.5015883605163074</v>
      </c>
      <c r="AA27" s="10">
        <v>-32.248494436303609</v>
      </c>
      <c r="AB27" s="17">
        <v>3.6148555108883529</v>
      </c>
      <c r="AC27" s="18">
        <v>1.1770305263387499</v>
      </c>
      <c r="AD27" s="21">
        <v>0.2031951885447518</v>
      </c>
      <c r="AE27" s="21">
        <v>4.3573528911149886</v>
      </c>
      <c r="AF27" s="21">
        <v>2.7207836063968541E-2</v>
      </c>
      <c r="AG27" s="21"/>
      <c r="AH27" s="21">
        <v>5.1769921366839879</v>
      </c>
    </row>
    <row r="28" spans="1:34">
      <c r="A28" s="13" t="s">
        <v>161</v>
      </c>
      <c r="B28" s="13" t="s">
        <v>74</v>
      </c>
      <c r="C28" s="13">
        <v>13</v>
      </c>
      <c r="E28" s="14">
        <v>44684</v>
      </c>
      <c r="H28" s="16">
        <v>14.6</v>
      </c>
      <c r="I28" s="16">
        <v>7.16</v>
      </c>
      <c r="J28" s="16">
        <v>55.46</v>
      </c>
      <c r="K28" s="17">
        <v>8.7298812541680011</v>
      </c>
      <c r="P28" s="18" t="s">
        <v>50</v>
      </c>
      <c r="Q28" s="18">
        <v>2.478529553049198</v>
      </c>
      <c r="R28" s="18" t="s">
        <v>50</v>
      </c>
      <c r="S28" s="18">
        <v>1.9660973231996819</v>
      </c>
      <c r="T28" s="18">
        <v>6.1263261855617461</v>
      </c>
      <c r="U28" s="18"/>
      <c r="V28" s="18"/>
      <c r="W28" s="18">
        <v>0.15749175391901851</v>
      </c>
      <c r="Y28" s="92">
        <v>0.50418521771248759</v>
      </c>
      <c r="Z28" s="20">
        <v>-6.6253722580247816</v>
      </c>
      <c r="AA28" s="10">
        <v>-33.260449307317622</v>
      </c>
      <c r="AB28" s="17">
        <v>3.9115817133278048</v>
      </c>
      <c r="AC28" s="18">
        <v>1.381692759974954</v>
      </c>
      <c r="AD28" s="21">
        <v>0.20238727250409291</v>
      </c>
      <c r="AE28" s="21">
        <v>4.9694961094877801</v>
      </c>
      <c r="AF28" s="21">
        <v>3.2168377761634448E-2</v>
      </c>
      <c r="AG28" s="21"/>
      <c r="AH28" s="21">
        <v>5.2351170990811626</v>
      </c>
    </row>
    <row r="29" spans="1:34">
      <c r="A29" s="13" t="s">
        <v>71</v>
      </c>
      <c r="B29" s="13" t="s">
        <v>72</v>
      </c>
      <c r="C29" s="13">
        <v>14</v>
      </c>
      <c r="E29" s="14">
        <v>44691</v>
      </c>
      <c r="H29" s="16">
        <v>18.7</v>
      </c>
      <c r="I29" s="16">
        <v>7.32</v>
      </c>
      <c r="J29" s="16">
        <v>55.28</v>
      </c>
      <c r="K29" s="17">
        <v>8.1306925663115095</v>
      </c>
      <c r="P29" s="18">
        <v>4.5400000000000003E-2</v>
      </c>
      <c r="Q29" s="18">
        <v>2.4570789420813912</v>
      </c>
      <c r="R29" s="18" t="s">
        <v>50</v>
      </c>
      <c r="S29" s="18">
        <v>2.200068828342979</v>
      </c>
      <c r="T29" s="18">
        <v>5.2318486275137799</v>
      </c>
      <c r="U29" s="18"/>
      <c r="V29" s="18"/>
      <c r="W29" s="18">
        <v>0.21837586059194419</v>
      </c>
      <c r="Y29" s="92">
        <v>0.7677400606762026</v>
      </c>
      <c r="Z29" s="20">
        <v>-6.6543997488151794</v>
      </c>
      <c r="AA29" s="10">
        <v>-33.187575306786343</v>
      </c>
      <c r="AB29" s="17">
        <v>3.772930179594951</v>
      </c>
      <c r="AC29" s="18">
        <v>1.2500729922374081</v>
      </c>
      <c r="AD29" s="21">
        <v>0.21922262153056571</v>
      </c>
      <c r="AE29" s="21">
        <v>4.6441536894037183</v>
      </c>
      <c r="AF29" s="21">
        <v>2.9311668157200019E-2</v>
      </c>
      <c r="AG29" s="21"/>
      <c r="AH29" s="21">
        <v>5.5088640574251597</v>
      </c>
    </row>
    <row r="30" spans="1:34">
      <c r="A30" s="13" t="s">
        <v>73</v>
      </c>
      <c r="B30" s="13" t="s">
        <v>74</v>
      </c>
      <c r="C30" s="13">
        <v>14</v>
      </c>
      <c r="E30" s="14">
        <v>44691</v>
      </c>
      <c r="H30" s="16">
        <v>18.3</v>
      </c>
      <c r="I30" s="16">
        <v>6.98</v>
      </c>
      <c r="J30" s="16">
        <v>56.79</v>
      </c>
      <c r="K30" s="17">
        <v>8.3717948054793343</v>
      </c>
      <c r="P30" s="18">
        <v>4.7500000000000001E-2</v>
      </c>
      <c r="Q30" s="18">
        <v>2.4581437344613568</v>
      </c>
      <c r="R30" s="18" t="s">
        <v>50</v>
      </c>
      <c r="S30" s="18">
        <v>1.7919024117680089</v>
      </c>
      <c r="T30" s="18">
        <v>6.2002552184869826</v>
      </c>
      <c r="U30" s="18"/>
      <c r="V30" s="18"/>
      <c r="W30" s="18">
        <v>0.34455145425958622</v>
      </c>
      <c r="Y30" s="92">
        <v>0.69754958140651002</v>
      </c>
      <c r="Z30" s="20">
        <v>-6.6830935902861466</v>
      </c>
      <c r="AA30" s="10">
        <v>-33.018971369193487</v>
      </c>
      <c r="AB30" s="17">
        <v>3.8368823724348089</v>
      </c>
      <c r="AC30" s="18">
        <v>1.356249862323039</v>
      </c>
      <c r="AD30" s="21">
        <v>0.21532361978922199</v>
      </c>
      <c r="AE30" s="21">
        <v>4.9103202384705398</v>
      </c>
      <c r="AF30" s="21">
        <v>3.2094610705545867E-2</v>
      </c>
      <c r="AG30" s="21"/>
      <c r="AH30" s="21">
        <v>5.3214038732069948</v>
      </c>
    </row>
    <row r="31" spans="1:34">
      <c r="A31" s="13" t="s">
        <v>71</v>
      </c>
      <c r="B31" s="13" t="s">
        <v>72</v>
      </c>
      <c r="C31" s="13">
        <v>15</v>
      </c>
      <c r="E31" s="14">
        <v>44698</v>
      </c>
      <c r="H31" s="16">
        <v>14.1</v>
      </c>
      <c r="I31" s="16">
        <v>7.26</v>
      </c>
      <c r="J31" s="16">
        <v>44.07</v>
      </c>
      <c r="K31" s="17">
        <v>6.2708067196627164</v>
      </c>
      <c r="P31" s="18">
        <v>4.53E-2</v>
      </c>
      <c r="Q31" s="18">
        <v>2.2118908315432901</v>
      </c>
      <c r="R31" s="18" t="s">
        <v>50</v>
      </c>
      <c r="S31" s="18">
        <v>2.6392232526925321</v>
      </c>
      <c r="T31" s="18">
        <v>3.9576477058062332</v>
      </c>
      <c r="U31" s="18"/>
      <c r="V31" s="18"/>
      <c r="W31" s="18">
        <v>0.23709793136244819</v>
      </c>
      <c r="Y31" s="92">
        <v>0.70736039169441456</v>
      </c>
      <c r="Z31" s="20">
        <v>-6.5920073260817951</v>
      </c>
      <c r="AA31" s="10">
        <v>-31.342206866059971</v>
      </c>
      <c r="AB31" s="17">
        <v>3.1328798593817102</v>
      </c>
      <c r="AC31" s="18">
        <v>0.96963965000201735</v>
      </c>
      <c r="AD31" s="21">
        <v>0.2086291273069617</v>
      </c>
      <c r="AE31" s="18">
        <v>3.6785234149188879</v>
      </c>
      <c r="AF31" s="21">
        <v>2.266377471662194E-2</v>
      </c>
      <c r="AG31" s="21"/>
      <c r="AH31" s="21">
        <v>4.7819965591384026</v>
      </c>
    </row>
    <row r="32" spans="1:34">
      <c r="A32" s="13" t="s">
        <v>73</v>
      </c>
      <c r="B32" s="13" t="s">
        <v>74</v>
      </c>
      <c r="C32" s="13">
        <v>15</v>
      </c>
      <c r="E32" s="14">
        <v>44698</v>
      </c>
      <c r="H32" s="16">
        <v>14.5</v>
      </c>
      <c r="I32" s="16">
        <v>6.91</v>
      </c>
      <c r="J32" s="16">
        <v>42.1</v>
      </c>
      <c r="K32" s="17">
        <v>6.2764676114235991</v>
      </c>
      <c r="P32" s="18">
        <v>3.2800000000000003E-2</v>
      </c>
      <c r="Q32" s="18">
        <v>2.0666530261751741</v>
      </c>
      <c r="R32" s="18" t="s">
        <v>50</v>
      </c>
      <c r="S32" s="18">
        <v>2.051394000207114</v>
      </c>
      <c r="T32" s="18">
        <v>3.8728660067277731</v>
      </c>
      <c r="U32" s="18"/>
      <c r="V32" s="18"/>
      <c r="W32" s="18">
        <v>0.13338999389087791</v>
      </c>
      <c r="Y32" s="92">
        <v>0.51984711588226984</v>
      </c>
      <c r="Z32" s="20">
        <v>-6.4638859874207313</v>
      </c>
      <c r="AA32" s="10">
        <v>-29.67405474480741</v>
      </c>
      <c r="AB32" s="17">
        <v>2.8757149889170739</v>
      </c>
      <c r="AC32" s="18">
        <v>0.96131312024119453</v>
      </c>
      <c r="AD32" s="21">
        <v>0.18612941844049671</v>
      </c>
      <c r="AE32" s="21">
        <v>3.608699145329862</v>
      </c>
      <c r="AF32" s="21">
        <v>2.4398951792524649E-2</v>
      </c>
      <c r="AG32" s="21"/>
      <c r="AH32" s="21">
        <v>4.3156411882702592</v>
      </c>
    </row>
    <row r="33" spans="1:34">
      <c r="A33" s="13" t="s">
        <v>71</v>
      </c>
      <c r="B33" s="13" t="s">
        <v>72</v>
      </c>
      <c r="C33" s="13">
        <v>16</v>
      </c>
      <c r="E33" s="14">
        <v>44705</v>
      </c>
      <c r="H33" s="16">
        <v>17.600000000000001</v>
      </c>
      <c r="I33" s="16">
        <v>7.27</v>
      </c>
      <c r="J33" s="16">
        <v>47.98</v>
      </c>
      <c r="K33" s="17">
        <v>7.7208864185148567</v>
      </c>
      <c r="P33" s="18">
        <v>4.48E-2</v>
      </c>
      <c r="Q33" s="18">
        <v>2.396293992268391</v>
      </c>
      <c r="R33" s="18" t="s">
        <v>50</v>
      </c>
      <c r="S33" s="18">
        <v>2.052260086626037</v>
      </c>
      <c r="T33" s="18">
        <v>3.9696709248918092</v>
      </c>
      <c r="U33" s="18"/>
      <c r="V33" s="18"/>
      <c r="W33" s="18">
        <v>0.1378210519340784</v>
      </c>
      <c r="Y33" s="92">
        <v>0.56763491981820924</v>
      </c>
      <c r="Z33" s="20">
        <v>-6.7374784293532137</v>
      </c>
      <c r="AA33" s="10">
        <v>-32.802005594884427</v>
      </c>
      <c r="AB33" s="17">
        <v>3.5577207254964631</v>
      </c>
      <c r="AC33" s="18">
        <v>1.097363167563989</v>
      </c>
      <c r="AD33" s="21">
        <v>0.22799232649649301</v>
      </c>
      <c r="AE33" s="21">
        <v>4.1115670079454221</v>
      </c>
      <c r="AF33" s="21">
        <v>2.6064514975690969E-2</v>
      </c>
      <c r="AG33" s="21"/>
      <c r="AH33" s="21">
        <v>5.5315783529668101</v>
      </c>
    </row>
    <row r="34" spans="1:34">
      <c r="A34" s="13" t="s">
        <v>73</v>
      </c>
      <c r="B34" s="13" t="s">
        <v>74</v>
      </c>
      <c r="C34" s="13">
        <v>16</v>
      </c>
      <c r="E34" s="14">
        <v>44705</v>
      </c>
      <c r="H34" s="16">
        <v>17.600000000000001</v>
      </c>
      <c r="I34" s="16">
        <v>7.08</v>
      </c>
      <c r="J34" s="16">
        <v>49.23</v>
      </c>
      <c r="K34" s="17">
        <v>7.5914005849075528</v>
      </c>
      <c r="P34" s="18">
        <v>4.7399999999999998E-2</v>
      </c>
      <c r="Q34" s="18">
        <v>2.442734943233237</v>
      </c>
      <c r="R34" s="18" t="s">
        <v>50</v>
      </c>
      <c r="S34" s="18">
        <v>1.757061719860497</v>
      </c>
      <c r="T34" s="18">
        <v>4.8531286038645503</v>
      </c>
      <c r="U34" s="18"/>
      <c r="V34" s="18"/>
      <c r="W34" s="18">
        <v>0.13205224670997939</v>
      </c>
      <c r="Y34" s="92">
        <v>0.47506583747236741</v>
      </c>
      <c r="Z34" s="20">
        <v>-6.6957722644244813</v>
      </c>
      <c r="AA34" s="10">
        <v>-32.786768303864257</v>
      </c>
      <c r="AB34" s="17">
        <v>3.4979374481167902</v>
      </c>
      <c r="AC34" s="18">
        <v>1.1777876247543071</v>
      </c>
      <c r="AD34" s="21">
        <v>0.20073720219465691</v>
      </c>
      <c r="AE34" s="21">
        <v>4.3382011207107638</v>
      </c>
      <c r="AF34" s="21">
        <v>2.8516603362354929E-2</v>
      </c>
      <c r="AG34" s="21"/>
      <c r="AH34" s="21">
        <v>5.2525318441202877</v>
      </c>
    </row>
    <row r="35" spans="1:34">
      <c r="A35" s="13" t="s">
        <v>71</v>
      </c>
      <c r="B35" s="13" t="s">
        <v>72</v>
      </c>
      <c r="C35" s="13">
        <v>17</v>
      </c>
      <c r="E35" s="14">
        <v>44712</v>
      </c>
      <c r="H35" s="16">
        <v>13.6</v>
      </c>
      <c r="I35" s="16">
        <v>7.02</v>
      </c>
      <c r="J35" s="16">
        <v>45.12</v>
      </c>
      <c r="K35" s="17">
        <v>7.2301425522733984</v>
      </c>
      <c r="P35" s="18">
        <v>4.07E-2</v>
      </c>
      <c r="Q35" s="18">
        <v>2.4668219557985842</v>
      </c>
      <c r="R35" s="18" t="s">
        <v>50</v>
      </c>
      <c r="S35" s="18">
        <v>2.0636883773558159</v>
      </c>
      <c r="T35" s="18">
        <v>4.2952855631182114</v>
      </c>
      <c r="U35" s="18"/>
      <c r="V35" s="18"/>
      <c r="W35" s="18">
        <v>0.16568051048908719</v>
      </c>
      <c r="Y35" s="92">
        <v>0.54856649237194266</v>
      </c>
      <c r="Z35" s="20">
        <v>-6.7121210810765444</v>
      </c>
      <c r="AA35" s="10">
        <v>-33.082901742386852</v>
      </c>
      <c r="AB35" s="17">
        <v>3.4189389588127281</v>
      </c>
      <c r="AC35" s="18">
        <v>0.99297207285576305</v>
      </c>
      <c r="AD35" s="21">
        <v>0.21823811834056081</v>
      </c>
      <c r="AE35" s="21">
        <v>3.8158501698374021</v>
      </c>
      <c r="AF35" s="21">
        <v>2.3798621632922679E-2</v>
      </c>
      <c r="AG35" s="21"/>
      <c r="AH35" s="21">
        <v>5.4021413725231344</v>
      </c>
    </row>
    <row r="36" spans="1:34">
      <c r="A36" s="13" t="s">
        <v>73</v>
      </c>
      <c r="B36" s="13" t="s">
        <v>74</v>
      </c>
      <c r="C36" s="13">
        <v>17</v>
      </c>
      <c r="E36" s="14">
        <v>44712</v>
      </c>
      <c r="H36" s="16">
        <v>15.2</v>
      </c>
      <c r="I36" s="16">
        <v>7.01</v>
      </c>
      <c r="J36" s="16">
        <v>47.03</v>
      </c>
      <c r="K36" s="17">
        <v>7.2743452494682384</v>
      </c>
      <c r="P36" s="18">
        <v>4.53E-2</v>
      </c>
      <c r="Q36" s="18">
        <v>2.455030968302744</v>
      </c>
      <c r="R36" s="18" t="s">
        <v>50</v>
      </c>
      <c r="S36" s="18">
        <v>1.739263347437771</v>
      </c>
      <c r="T36" s="18">
        <v>5.3137262030491446</v>
      </c>
      <c r="U36" s="18"/>
      <c r="V36" s="18"/>
      <c r="W36" s="18">
        <v>0.137898273655021</v>
      </c>
      <c r="Y36" s="92">
        <v>0.45865180168928787</v>
      </c>
      <c r="Z36" s="20">
        <v>-6.7288035470480381</v>
      </c>
      <c r="AA36" s="10">
        <v>-33.427065772168703</v>
      </c>
      <c r="AB36" s="17">
        <v>3.426991346519475</v>
      </c>
      <c r="AC36" s="18">
        <v>1.0642399350229139</v>
      </c>
      <c r="AD36" s="21">
        <v>0.21466900027043431</v>
      </c>
      <c r="AE36" s="21">
        <v>3.967228981687128</v>
      </c>
      <c r="AF36" s="21">
        <v>2.594641550064342E-2</v>
      </c>
      <c r="AG36" s="21"/>
      <c r="AH36" s="21">
        <v>5.1494480813307506</v>
      </c>
    </row>
    <row r="37" spans="1:34">
      <c r="A37" s="13" t="s">
        <v>71</v>
      </c>
      <c r="B37" s="13" t="s">
        <v>72</v>
      </c>
      <c r="C37" s="13">
        <v>18</v>
      </c>
      <c r="E37" s="14">
        <v>44719</v>
      </c>
      <c r="H37" s="16">
        <v>17.600000000000001</v>
      </c>
      <c r="I37" s="16">
        <v>7.31</v>
      </c>
      <c r="J37" s="16">
        <v>46.97</v>
      </c>
      <c r="K37" s="17">
        <v>7.7015039314596399</v>
      </c>
      <c r="P37" s="18">
        <v>4.4200000000000003E-2</v>
      </c>
      <c r="Q37" s="18">
        <v>2.4173609213943479</v>
      </c>
      <c r="R37" s="18" t="s">
        <v>50</v>
      </c>
      <c r="S37" s="18">
        <v>2.1462321676220411</v>
      </c>
      <c r="T37" s="18">
        <v>4.2696997121642326</v>
      </c>
      <c r="U37" s="18"/>
      <c r="V37" s="18"/>
      <c r="W37" s="18">
        <v>0.21317724481911429</v>
      </c>
      <c r="Y37" s="92">
        <v>0.57552564558759745</v>
      </c>
      <c r="Z37" s="20">
        <v>-6.7903639804644964</v>
      </c>
      <c r="AA37" s="10">
        <v>-33.852533005369963</v>
      </c>
      <c r="AB37" s="17">
        <v>3.5324043868511921</v>
      </c>
      <c r="AC37" s="18">
        <v>1.0448031738322121</v>
      </c>
      <c r="AD37" s="21">
        <v>0.22267441732339721</v>
      </c>
      <c r="AE37" s="21">
        <v>3.9885292400869501</v>
      </c>
      <c r="AF37" s="21">
        <v>2.4830179939630079E-2</v>
      </c>
      <c r="AG37" s="21"/>
      <c r="AH37" s="21">
        <v>5.4774612689106679</v>
      </c>
    </row>
    <row r="38" spans="1:34">
      <c r="A38" s="13" t="s">
        <v>73</v>
      </c>
      <c r="B38" s="13" t="s">
        <v>74</v>
      </c>
      <c r="C38" s="13">
        <v>18</v>
      </c>
      <c r="E38" s="14">
        <v>44719</v>
      </c>
      <c r="H38" s="16">
        <v>17</v>
      </c>
      <c r="I38" s="16">
        <v>7.06</v>
      </c>
      <c r="J38" s="16">
        <v>48.71</v>
      </c>
      <c r="K38" s="17">
        <v>7.9662651295668736</v>
      </c>
      <c r="P38" s="18">
        <v>4.4900000000000002E-2</v>
      </c>
      <c r="Q38" s="18">
        <v>2.390279139411486</v>
      </c>
      <c r="R38" s="18" t="s">
        <v>50</v>
      </c>
      <c r="S38" s="18">
        <v>1.7450805966758749</v>
      </c>
      <c r="T38" s="18">
        <v>5.2021418356250173</v>
      </c>
      <c r="U38" s="18"/>
      <c r="V38" s="18"/>
      <c r="W38" s="18">
        <v>0.11776183873270001</v>
      </c>
      <c r="Y38" s="92">
        <v>0.44751698855529382</v>
      </c>
      <c r="Z38" s="20">
        <v>-6.8140802906804243</v>
      </c>
      <c r="AA38" s="10">
        <v>-33.963414819218848</v>
      </c>
      <c r="AB38" s="17">
        <v>3.4843976173928639</v>
      </c>
      <c r="AC38" s="18">
        <v>1.1561617107350111</v>
      </c>
      <c r="AD38" s="21">
        <v>0.19855624956946241</v>
      </c>
      <c r="AE38" s="21">
        <v>4.2493698794979444</v>
      </c>
      <c r="AF38" s="21">
        <v>2.7897344366348501E-2</v>
      </c>
      <c r="AG38" s="21"/>
      <c r="AH38" s="21">
        <v>5.2345811366079236</v>
      </c>
    </row>
    <row r="39" spans="1:34">
      <c r="A39" s="13" t="s">
        <v>71</v>
      </c>
      <c r="B39" s="13" t="s">
        <v>72</v>
      </c>
      <c r="C39" s="13">
        <v>19</v>
      </c>
      <c r="E39" s="14">
        <v>44726</v>
      </c>
      <c r="H39" s="16">
        <v>14.6</v>
      </c>
      <c r="I39" s="16">
        <v>7.3</v>
      </c>
      <c r="J39" s="16">
        <v>46.64</v>
      </c>
      <c r="K39" s="17">
        <v>7.5942455698113172</v>
      </c>
      <c r="P39" s="18">
        <v>3.6920023914277192E-2</v>
      </c>
      <c r="Q39" s="18">
        <v>2.600169732924527</v>
      </c>
      <c r="R39" s="18" t="s">
        <v>50</v>
      </c>
      <c r="S39" s="18">
        <v>2.1654807169606669</v>
      </c>
      <c r="T39" s="18">
        <v>4.3189966794297154</v>
      </c>
      <c r="U39" s="18"/>
      <c r="V39" s="18"/>
      <c r="W39" s="18">
        <v>0.25473117634036818</v>
      </c>
      <c r="Y39" s="92">
        <v>0.64030098730800389</v>
      </c>
      <c r="Z39" s="20">
        <v>-6.7135436005610662</v>
      </c>
      <c r="AA39" s="10">
        <v>-32.43906048889378</v>
      </c>
      <c r="AB39" s="17">
        <v>3.6380357071033589</v>
      </c>
      <c r="AC39" s="18">
        <v>1.1065619376893221</v>
      </c>
      <c r="AD39" s="21">
        <v>0.21058315603765709</v>
      </c>
      <c r="AE39" s="21">
        <v>4.0754837884212449</v>
      </c>
      <c r="AF39" s="21">
        <v>3.2403561726663983E-2</v>
      </c>
      <c r="AG39" s="21"/>
      <c r="AH39" s="21">
        <v>5.5842928257287747</v>
      </c>
    </row>
    <row r="40" spans="1:34">
      <c r="A40" s="13" t="s">
        <v>159</v>
      </c>
      <c r="B40" s="13" t="s">
        <v>74</v>
      </c>
      <c r="C40" s="13">
        <v>19</v>
      </c>
      <c r="E40" s="14">
        <v>44726</v>
      </c>
      <c r="H40" s="16">
        <v>12.2</v>
      </c>
      <c r="I40" s="16">
        <v>6.9</v>
      </c>
      <c r="J40" s="16">
        <v>47.77</v>
      </c>
      <c r="K40" s="17">
        <v>7.7666957640565846</v>
      </c>
      <c r="P40" s="18">
        <v>2.184611964470853E-2</v>
      </c>
      <c r="Q40" s="18">
        <v>2.5670470442619822</v>
      </c>
      <c r="R40" s="18" t="s">
        <v>50</v>
      </c>
      <c r="S40" s="18">
        <v>1.8378838487994611</v>
      </c>
      <c r="T40" s="18">
        <v>5.1656849130804989</v>
      </c>
      <c r="U40" s="18"/>
      <c r="V40" s="18"/>
      <c r="W40" s="18">
        <v>0.16879266388084829</v>
      </c>
      <c r="Y40" s="92">
        <v>0.53008895577463566</v>
      </c>
      <c r="Z40" s="20">
        <v>-6.8004597661397614</v>
      </c>
      <c r="AA40" s="10">
        <v>-32.789544331290003</v>
      </c>
      <c r="AB40" s="17">
        <v>3.5370279602047798</v>
      </c>
      <c r="AC40" s="18">
        <v>1.1924971703089839</v>
      </c>
      <c r="AD40" s="21">
        <v>0.21055209719933049</v>
      </c>
      <c r="AE40" s="21">
        <v>4.3422876069736782</v>
      </c>
      <c r="AF40" s="21">
        <v>3.4394996426122468E-2</v>
      </c>
      <c r="AG40" s="21"/>
      <c r="AH40" s="21">
        <v>5.2671419864044253</v>
      </c>
    </row>
    <row r="41" spans="1:34">
      <c r="A41" s="13" t="s">
        <v>158</v>
      </c>
      <c r="B41" s="13" t="s">
        <v>72</v>
      </c>
      <c r="C41" s="13">
        <v>20</v>
      </c>
      <c r="E41" s="14">
        <v>44733</v>
      </c>
      <c r="H41" s="16">
        <v>15.4</v>
      </c>
      <c r="I41" s="16">
        <v>7.41</v>
      </c>
      <c r="J41" s="16">
        <v>48.85</v>
      </c>
      <c r="K41" s="17">
        <v>7.9878711390147616</v>
      </c>
      <c r="P41" s="18">
        <v>1.308453197734449E-2</v>
      </c>
      <c r="Q41" s="18">
        <v>2.5496257134814559</v>
      </c>
      <c r="R41" s="18" t="s">
        <v>50</v>
      </c>
      <c r="S41" s="18">
        <v>2.140829667474645</v>
      </c>
      <c r="T41" s="18">
        <v>4.6862953427150114</v>
      </c>
      <c r="U41" s="18"/>
      <c r="V41" s="18"/>
      <c r="W41" s="18">
        <v>0.2142</v>
      </c>
      <c r="Y41" s="92">
        <v>0.50553421267397292</v>
      </c>
      <c r="Z41" s="20">
        <v>-6.7663057979980517</v>
      </c>
      <c r="AA41" s="10">
        <v>-33.629155891925542</v>
      </c>
      <c r="AB41" s="17">
        <v>3.5928619855647459</v>
      </c>
      <c r="AC41" s="18">
        <v>1.1551285407744869</v>
      </c>
      <c r="AD41" s="21">
        <v>0.25514501250300498</v>
      </c>
      <c r="AE41" s="21">
        <v>4.2905358868956842</v>
      </c>
      <c r="AF41" s="21">
        <v>3.3505150391903687E-2</v>
      </c>
      <c r="AG41" s="21"/>
      <c r="AH41" s="21">
        <v>5.6822081201995882</v>
      </c>
    </row>
    <row r="42" spans="1:34">
      <c r="A42" s="13" t="s">
        <v>159</v>
      </c>
      <c r="B42" s="13" t="s">
        <v>74</v>
      </c>
      <c r="C42" s="13">
        <v>20</v>
      </c>
      <c r="E42" s="14">
        <v>44733</v>
      </c>
      <c r="H42" s="16">
        <v>15.1</v>
      </c>
      <c r="I42" s="16">
        <v>7.1</v>
      </c>
      <c r="J42" s="16">
        <v>41.22</v>
      </c>
      <c r="K42" s="17">
        <v>6.8763442853951444</v>
      </c>
      <c r="P42" s="18">
        <v>9.2281043184317055E-3</v>
      </c>
      <c r="Q42" s="18">
        <v>1.8612352977761659</v>
      </c>
      <c r="R42" s="18" t="s">
        <v>50</v>
      </c>
      <c r="S42" s="18">
        <v>1.867035310525534</v>
      </c>
      <c r="T42" s="18">
        <v>4.0902602410062796</v>
      </c>
      <c r="U42" s="18"/>
      <c r="V42" s="18"/>
      <c r="W42" s="18">
        <v>0.17419999999999999</v>
      </c>
      <c r="Y42" s="92">
        <v>0.87296035777403191</v>
      </c>
      <c r="Z42" s="20">
        <v>-7.826467361505177</v>
      </c>
      <c r="AA42" s="10">
        <v>-44.480340447057678</v>
      </c>
      <c r="AB42" s="17">
        <v>2.8265429380815541</v>
      </c>
      <c r="AC42" s="18">
        <v>1.0005405805368519</v>
      </c>
      <c r="AD42" s="21">
        <v>0.210552687555006</v>
      </c>
      <c r="AE42" s="21">
        <v>3.6771355013932538</v>
      </c>
      <c r="AF42" s="21">
        <v>3.07537438006695E-2</v>
      </c>
      <c r="AG42" s="21"/>
      <c r="AH42" s="21">
        <v>4.2193824076372701</v>
      </c>
    </row>
    <row r="43" spans="1:34">
      <c r="A43" s="13" t="s">
        <v>158</v>
      </c>
      <c r="B43" s="13" t="s">
        <v>72</v>
      </c>
      <c r="C43" s="13">
        <v>21</v>
      </c>
      <c r="E43" s="14">
        <v>44740</v>
      </c>
      <c r="H43" s="16">
        <v>16.399999999999999</v>
      </c>
      <c r="I43" s="16">
        <v>7.28</v>
      </c>
      <c r="J43" s="16">
        <v>48.84</v>
      </c>
      <c r="K43" s="17">
        <v>8.1978774191574395</v>
      </c>
      <c r="P43" s="18">
        <v>1.240417899513491E-2</v>
      </c>
      <c r="Q43" s="18">
        <v>2.5717228965514951</v>
      </c>
      <c r="R43" s="18" t="s">
        <v>50</v>
      </c>
      <c r="S43" s="18">
        <v>2.0474526595435312</v>
      </c>
      <c r="T43" s="18">
        <v>4.7596366821198064</v>
      </c>
      <c r="U43" s="18"/>
      <c r="V43" s="18"/>
      <c r="W43" s="18">
        <v>0.24060000000000001</v>
      </c>
      <c r="Y43" s="92">
        <v>0.59518745065728851</v>
      </c>
      <c r="Z43" s="20">
        <v>-6.7873647272045954</v>
      </c>
      <c r="AA43" s="10">
        <v>-33.416709753100747</v>
      </c>
      <c r="AB43" s="17">
        <v>3.7002380049522299</v>
      </c>
      <c r="AC43" s="18">
        <v>1.2445270523553711</v>
      </c>
      <c r="AD43" s="21">
        <v>0.30325328690382231</v>
      </c>
      <c r="AE43" s="21">
        <v>4.7187171105396759</v>
      </c>
      <c r="AF43" s="21">
        <v>3.5541095543797523E-2</v>
      </c>
      <c r="AG43" s="21"/>
      <c r="AH43" s="21">
        <v>6.0367805674071793</v>
      </c>
    </row>
    <row r="44" spans="1:34">
      <c r="A44" s="13" t="s">
        <v>159</v>
      </c>
      <c r="B44" s="13" t="s">
        <v>74</v>
      </c>
      <c r="C44" s="13">
        <v>21</v>
      </c>
      <c r="E44" s="14">
        <v>44740</v>
      </c>
      <c r="H44" s="16">
        <v>15.2</v>
      </c>
      <c r="I44" s="16">
        <v>6.93</v>
      </c>
      <c r="J44" s="16">
        <v>52.06</v>
      </c>
      <c r="K44" s="17">
        <v>8.142815184636472</v>
      </c>
      <c r="P44" s="18">
        <v>1.421826973317415E-2</v>
      </c>
      <c r="Q44" s="18">
        <v>2.5699047362839971</v>
      </c>
      <c r="R44" s="18" t="s">
        <v>50</v>
      </c>
      <c r="S44" s="18">
        <v>1.795141927153489</v>
      </c>
      <c r="T44" s="18">
        <v>5.8739458450943749</v>
      </c>
      <c r="U44" s="18"/>
      <c r="V44" s="18"/>
      <c r="W44" s="18">
        <v>0.10299999999999999</v>
      </c>
      <c r="Y44" s="92">
        <v>0.50711871270495779</v>
      </c>
      <c r="Z44" s="20">
        <v>-6.9483910615625906</v>
      </c>
      <c r="AA44" s="10">
        <v>-34.045018085351572</v>
      </c>
      <c r="AB44" s="17">
        <v>3.8100152940106762</v>
      </c>
      <c r="AC44" s="18">
        <v>1.364052956591352</v>
      </c>
      <c r="AD44" s="21">
        <v>0.22150709726794271</v>
      </c>
      <c r="AE44" s="21">
        <v>5.0382838009760018</v>
      </c>
      <c r="AF44" s="21">
        <v>3.8213574690095037E-2</v>
      </c>
      <c r="AG44" s="21"/>
      <c r="AH44" s="21">
        <v>5.8791621990998868</v>
      </c>
    </row>
    <row r="45" spans="1:34">
      <c r="A45" s="13" t="s">
        <v>158</v>
      </c>
      <c r="B45" s="13" t="s">
        <v>72</v>
      </c>
      <c r="C45" s="13">
        <v>22</v>
      </c>
      <c r="E45" s="14">
        <v>44747</v>
      </c>
      <c r="H45" s="16">
        <v>15.7</v>
      </c>
      <c r="I45" s="16">
        <v>7.08</v>
      </c>
      <c r="J45" s="16">
        <v>56.48</v>
      </c>
      <c r="K45" s="17">
        <v>8.5093685466385018</v>
      </c>
      <c r="P45" s="18">
        <v>1.195056437003195E-2</v>
      </c>
      <c r="Q45" s="18">
        <v>2.532612290805798</v>
      </c>
      <c r="R45" s="18" t="s">
        <v>50</v>
      </c>
      <c r="S45" s="18">
        <v>2.327240088561743</v>
      </c>
      <c r="T45" s="18">
        <v>5.0471553379556191</v>
      </c>
      <c r="U45" s="18"/>
      <c r="V45" s="18"/>
      <c r="W45" s="18">
        <v>0.1822</v>
      </c>
      <c r="X45" s="19">
        <v>3.8067000000000002</v>
      </c>
      <c r="Y45" s="92">
        <v>0.68360901166016419</v>
      </c>
      <c r="Z45" s="20">
        <v>-6.8526456735659433</v>
      </c>
      <c r="AA45" s="10">
        <v>-34.623328407078453</v>
      </c>
      <c r="AB45" s="17">
        <v>3.7186738669396968</v>
      </c>
      <c r="AC45" s="18">
        <v>1.255897869887419</v>
      </c>
      <c r="AD45" s="21">
        <v>0.23025664538512891</v>
      </c>
      <c r="AE45" s="21">
        <v>4.5680558097467108</v>
      </c>
      <c r="AF45" s="21">
        <v>3.5147074268605187E-2</v>
      </c>
      <c r="AG45" s="21"/>
      <c r="AH45" s="21">
        <v>5.7226217585678034</v>
      </c>
    </row>
    <row r="46" spans="1:34">
      <c r="A46" s="13" t="s">
        <v>159</v>
      </c>
      <c r="B46" s="13" t="s">
        <v>74</v>
      </c>
      <c r="C46" s="13">
        <v>22</v>
      </c>
      <c r="E46" s="14">
        <v>44747</v>
      </c>
      <c r="H46" s="16">
        <v>16.3</v>
      </c>
      <c r="I46" s="16">
        <v>6.7</v>
      </c>
      <c r="J46" s="16">
        <v>60</v>
      </c>
      <c r="K46" s="17">
        <v>8.6959716844290131</v>
      </c>
      <c r="P46" s="18">
        <v>1.1723743266391499E-2</v>
      </c>
      <c r="Q46" s="18">
        <v>2.5018202647259948</v>
      </c>
      <c r="R46" s="18" t="s">
        <v>50</v>
      </c>
      <c r="S46" s="18">
        <v>2.0689898939175442</v>
      </c>
      <c r="T46" s="18">
        <v>5.9044635070361524</v>
      </c>
      <c r="U46" s="18"/>
      <c r="V46" s="18"/>
      <c r="W46" s="18">
        <v>0.16550000000000001</v>
      </c>
      <c r="X46" s="19">
        <v>4.6802000000000001</v>
      </c>
      <c r="Y46" s="92">
        <v>0.59054368794796008</v>
      </c>
      <c r="Z46" s="20">
        <v>-6.9390173872132674</v>
      </c>
      <c r="AA46" s="10">
        <v>-35.291301827678268</v>
      </c>
      <c r="AB46" s="17">
        <v>3.734425476130657</v>
      </c>
      <c r="AC46" s="18">
        <v>1.335547152591291</v>
      </c>
      <c r="AD46" s="21">
        <v>0.23278605449159409</v>
      </c>
      <c r="AE46" s="21">
        <v>4.8382342189865657</v>
      </c>
      <c r="AF46" s="21">
        <v>3.7223559879870478E-2</v>
      </c>
      <c r="AG46" s="21"/>
      <c r="AH46" s="21">
        <v>5.611747149141233</v>
      </c>
    </row>
    <row r="47" spans="1:34">
      <c r="A47" s="13" t="s">
        <v>71</v>
      </c>
      <c r="B47" s="13" t="s">
        <v>72</v>
      </c>
      <c r="C47" s="13">
        <v>23</v>
      </c>
      <c r="E47" s="14">
        <v>44754</v>
      </c>
      <c r="H47" s="16">
        <v>19</v>
      </c>
      <c r="I47" s="16">
        <v>7.15</v>
      </c>
      <c r="J47" s="16">
        <v>56.88</v>
      </c>
      <c r="K47" s="17">
        <v>8.416268839292222</v>
      </c>
      <c r="P47" s="18">
        <v>1.021136761616153E-2</v>
      </c>
      <c r="Q47" s="18">
        <v>2.5396463957940769</v>
      </c>
      <c r="R47" s="18" t="s">
        <v>50</v>
      </c>
      <c r="S47" s="18">
        <v>2.2259651455529181</v>
      </c>
      <c r="T47" s="18">
        <v>5.1404900708281884</v>
      </c>
      <c r="U47" s="18"/>
      <c r="V47" s="18"/>
      <c r="W47" s="18">
        <v>9.5647253872781696E-2</v>
      </c>
      <c r="X47" s="19">
        <v>3.699617087684913</v>
      </c>
      <c r="Y47" s="92">
        <v>0.63329271833619416</v>
      </c>
      <c r="Z47" s="20">
        <v>-6.8543195439854658</v>
      </c>
      <c r="AA47" s="10">
        <v>-34.069683770543378</v>
      </c>
      <c r="AB47" s="17">
        <v>3.6179224315675209</v>
      </c>
      <c r="AC47" s="18">
        <v>1.233607665401578</v>
      </c>
      <c r="AD47" s="21">
        <v>0.26346765086861551</v>
      </c>
      <c r="AE47" s="21">
        <v>4.5750984379999613</v>
      </c>
      <c r="AF47" s="21">
        <v>3.5005668647119223E-2</v>
      </c>
      <c r="AG47" s="21"/>
      <c r="AH47" s="21">
        <v>5.7424684769416574</v>
      </c>
    </row>
    <row r="48" spans="1:34">
      <c r="A48" s="13" t="s">
        <v>73</v>
      </c>
      <c r="B48" s="13" t="s">
        <v>74</v>
      </c>
      <c r="C48" s="13">
        <v>23</v>
      </c>
      <c r="E48" s="14">
        <v>44754</v>
      </c>
      <c r="H48" s="16">
        <v>16.899999999999999</v>
      </c>
      <c r="I48" s="16">
        <v>6.75</v>
      </c>
      <c r="J48" s="16">
        <v>59.36</v>
      </c>
      <c r="K48" s="17">
        <v>8.5584000705556971</v>
      </c>
      <c r="P48" s="18">
        <v>1.255537569767206E-2</v>
      </c>
      <c r="Q48" s="18">
        <v>2.563149043111808</v>
      </c>
      <c r="R48" s="18" t="s">
        <v>50</v>
      </c>
      <c r="S48" s="18">
        <v>1.935300073731526</v>
      </c>
      <c r="T48" s="18">
        <v>6.0895936665200683</v>
      </c>
      <c r="U48" s="18"/>
      <c r="V48" s="18"/>
      <c r="W48" s="18">
        <v>7.701511134113509E-2</v>
      </c>
      <c r="X48" s="19">
        <v>4.3495140771234677</v>
      </c>
      <c r="Y48" s="92">
        <v>0.53445474521719383</v>
      </c>
      <c r="Z48" s="20">
        <v>-7.3819235002187327</v>
      </c>
      <c r="AA48" s="10">
        <v>-36.821574269780939</v>
      </c>
      <c r="AB48" s="17">
        <v>3.654406260854608</v>
      </c>
      <c r="AC48" s="18">
        <v>1.325528871390208</v>
      </c>
      <c r="AD48" s="21">
        <v>0.21435770159088699</v>
      </c>
      <c r="AE48" s="21">
        <v>4.768925397678923</v>
      </c>
      <c r="AF48" s="21">
        <v>3.7069626417003412E-2</v>
      </c>
      <c r="AG48" s="21"/>
      <c r="AH48" s="18">
        <v>5.5631455355295918</v>
      </c>
    </row>
    <row r="49" spans="1:34">
      <c r="A49" s="13" t="s">
        <v>71</v>
      </c>
      <c r="B49" s="13" t="s">
        <v>72</v>
      </c>
      <c r="C49" s="13">
        <v>24</v>
      </c>
      <c r="E49" s="14">
        <v>44761</v>
      </c>
      <c r="H49" s="16">
        <v>25.3</v>
      </c>
      <c r="I49" s="16">
        <v>6.99</v>
      </c>
      <c r="J49" s="16">
        <v>53.59</v>
      </c>
      <c r="K49" s="17">
        <v>8.662259976155303</v>
      </c>
      <c r="P49" s="18">
        <v>1.7500000000000002E-2</v>
      </c>
      <c r="Q49" s="18">
        <v>2.286061886566205</v>
      </c>
      <c r="R49" s="21" t="s">
        <v>50</v>
      </c>
      <c r="S49" s="21">
        <v>1.812089970167079</v>
      </c>
      <c r="T49" s="21">
        <v>4.991617038886071</v>
      </c>
      <c r="W49" s="18">
        <v>0.1543659660779724</v>
      </c>
      <c r="X49" s="19">
        <v>4.0202493347178017</v>
      </c>
      <c r="Y49" s="92">
        <v>0.58801292629143476</v>
      </c>
      <c r="Z49" s="20">
        <v>-6.8422676769649087</v>
      </c>
      <c r="AA49" s="10">
        <v>-34.242343566886042</v>
      </c>
      <c r="AB49" s="17">
        <v>3.7574235938608962</v>
      </c>
      <c r="AC49" s="18">
        <v>1.299034800215491</v>
      </c>
      <c r="AD49" s="21">
        <v>0.22362121009737729</v>
      </c>
      <c r="AE49" s="21">
        <v>4.775582888603962</v>
      </c>
      <c r="AF49" s="21">
        <v>3.635405319873871E-2</v>
      </c>
      <c r="AG49" s="21"/>
      <c r="AH49" s="21">
        <v>5.887943076357935</v>
      </c>
    </row>
    <row r="50" spans="1:34">
      <c r="A50" s="13" t="s">
        <v>73</v>
      </c>
      <c r="B50" s="13" t="s">
        <v>74</v>
      </c>
      <c r="C50" s="13">
        <v>24</v>
      </c>
      <c r="E50" s="14">
        <v>44761</v>
      </c>
      <c r="H50" s="16">
        <v>25</v>
      </c>
      <c r="I50" s="16">
        <v>6.63</v>
      </c>
      <c r="J50" s="16">
        <v>55.46</v>
      </c>
      <c r="K50" s="17">
        <v>8.6407044659295362</v>
      </c>
      <c r="P50" s="18">
        <v>1.77E-2</v>
      </c>
      <c r="Q50" s="18">
        <v>2.2966914280845581</v>
      </c>
      <c r="R50" s="21" t="s">
        <v>50</v>
      </c>
      <c r="S50" s="21">
        <v>1.6922055598672481</v>
      </c>
      <c r="T50" s="21">
        <v>5.6620536708445286</v>
      </c>
      <c r="W50" s="18">
        <v>8.6097857812262785E-2</v>
      </c>
      <c r="X50" s="19">
        <v>4.4772082744559452</v>
      </c>
      <c r="Y50" s="92">
        <v>0.54829067969947476</v>
      </c>
      <c r="Z50" s="20">
        <v>-6.8914794672988497</v>
      </c>
      <c r="AA50" s="10">
        <v>-34.41700328364967</v>
      </c>
      <c r="AB50" s="17">
        <v>3.74589755699412</v>
      </c>
      <c r="AC50" s="18">
        <v>1.339528027070364</v>
      </c>
      <c r="AD50" s="21">
        <v>0.2115236689058419</v>
      </c>
      <c r="AE50" s="21">
        <v>4.8465688896667736</v>
      </c>
      <c r="AF50" s="21">
        <v>3.7646050950538253E-2</v>
      </c>
      <c r="AG50" s="21"/>
      <c r="AH50" s="21">
        <v>5.6684172557273991</v>
      </c>
    </row>
    <row r="51" spans="1:34">
      <c r="A51" s="13" t="s">
        <v>71</v>
      </c>
      <c r="B51" s="13" t="s">
        <v>72</v>
      </c>
      <c r="C51" s="13">
        <v>25</v>
      </c>
      <c r="E51" s="14">
        <v>44768</v>
      </c>
      <c r="H51" s="16">
        <v>18.899999999999999</v>
      </c>
      <c r="I51" s="16">
        <v>7</v>
      </c>
      <c r="J51" s="16">
        <v>62.62</v>
      </c>
      <c r="K51" s="17">
        <v>9.0810633877846616</v>
      </c>
      <c r="P51" s="18">
        <v>2.41E-2</v>
      </c>
      <c r="Q51" s="18">
        <v>2.338267221789903</v>
      </c>
      <c r="R51" s="21" t="s">
        <v>50</v>
      </c>
      <c r="S51" s="21">
        <v>1.878916034564188</v>
      </c>
      <c r="T51" s="21">
        <v>5.2983395795092258</v>
      </c>
      <c r="W51" s="18">
        <v>8.9688743190909553E-2</v>
      </c>
      <c r="X51" s="19">
        <v>4.2939113467904999</v>
      </c>
      <c r="Y51" s="92">
        <v>0.56981014196330815</v>
      </c>
      <c r="Z51" s="20">
        <v>-6.7536573910560929</v>
      </c>
      <c r="AA51" s="10">
        <v>-33.836556797570083</v>
      </c>
      <c r="AB51" s="17">
        <v>3.9892519460961648</v>
      </c>
      <c r="AC51" s="18">
        <v>1.29772771269471</v>
      </c>
      <c r="AD51" s="21">
        <v>0.208724237722128</v>
      </c>
      <c r="AE51" s="21">
        <v>4.8911882665857043</v>
      </c>
      <c r="AF51" s="21">
        <v>3.6954881505756272E-2</v>
      </c>
      <c r="AG51" s="21"/>
      <c r="AH51" s="21">
        <v>5.9648568180976698</v>
      </c>
    </row>
    <row r="52" spans="1:34">
      <c r="A52" s="13" t="s">
        <v>73</v>
      </c>
      <c r="B52" s="13" t="s">
        <v>74</v>
      </c>
      <c r="C52" s="13">
        <v>25</v>
      </c>
      <c r="E52" s="14">
        <v>44768</v>
      </c>
      <c r="H52" s="16">
        <v>17.2</v>
      </c>
      <c r="I52" s="16">
        <v>7.06</v>
      </c>
      <c r="J52" s="16">
        <v>62.5</v>
      </c>
      <c r="K52" s="17">
        <v>8.7464871695994404</v>
      </c>
      <c r="P52" s="18">
        <v>1.34E-2</v>
      </c>
      <c r="Q52" s="18">
        <v>2.286221777920793</v>
      </c>
      <c r="R52" s="21" t="s">
        <v>50</v>
      </c>
      <c r="S52" s="21">
        <v>1.7766487093726251</v>
      </c>
      <c r="T52" s="21">
        <v>5.6482730660094411</v>
      </c>
      <c r="W52" s="18">
        <v>0.11984836827796699</v>
      </c>
      <c r="X52" s="19">
        <v>4.4849379973678047</v>
      </c>
      <c r="Y52" s="92">
        <v>0.61761355707775911</v>
      </c>
      <c r="Z52" s="20">
        <v>-6.722678193200279</v>
      </c>
      <c r="AA52" s="10">
        <v>-33.319014923784493</v>
      </c>
      <c r="AB52" s="17">
        <v>3.765761175266086</v>
      </c>
      <c r="AC52" s="18">
        <v>1.31320939231013</v>
      </c>
      <c r="AD52" s="21">
        <v>0.15910570526746981</v>
      </c>
      <c r="AE52" s="21">
        <v>4.828586146983465</v>
      </c>
      <c r="AF52" s="21">
        <v>3.7335475850547029E-2</v>
      </c>
      <c r="AG52" s="21"/>
      <c r="AH52" s="21">
        <v>5.7448240043618606</v>
      </c>
    </row>
    <row r="53" spans="1:34">
      <c r="A53" s="13" t="s">
        <v>71</v>
      </c>
      <c r="B53" s="13" t="s">
        <v>72</v>
      </c>
      <c r="C53" s="13">
        <v>26</v>
      </c>
      <c r="E53" s="14">
        <v>44775</v>
      </c>
      <c r="H53" s="16">
        <v>20.5</v>
      </c>
      <c r="I53" s="16">
        <v>7.14</v>
      </c>
      <c r="J53" s="16">
        <v>58.34</v>
      </c>
      <c r="K53" s="17">
        <v>8.183821097250604</v>
      </c>
      <c r="P53" s="18">
        <v>1.29E-2</v>
      </c>
      <c r="Q53" s="18">
        <v>2.0187576971993462</v>
      </c>
      <c r="R53" s="21" t="s">
        <v>50</v>
      </c>
      <c r="S53" s="21">
        <v>3.0234828976561108</v>
      </c>
      <c r="T53" s="21">
        <v>4.6226686704480109</v>
      </c>
      <c r="W53" s="18">
        <v>0.1390839691015181</v>
      </c>
      <c r="X53" s="19">
        <v>3.761542694572944</v>
      </c>
      <c r="Y53" s="92">
        <v>0.97554607417711769</v>
      </c>
      <c r="Z53" s="20">
        <v>-6.8832370466035346</v>
      </c>
      <c r="AA53" s="10">
        <v>-35.653909720095967</v>
      </c>
      <c r="AB53" s="17">
        <v>3.5679266150103821</v>
      </c>
      <c r="AC53" s="18">
        <v>1.219458834177888</v>
      </c>
      <c r="AD53" s="21">
        <v>0.19938687906727021</v>
      </c>
      <c r="AE53" s="21">
        <v>4.6962511150299324</v>
      </c>
      <c r="AF53" s="21">
        <v>3.5970083667780421E-2</v>
      </c>
      <c r="AG53" s="21"/>
      <c r="AH53" s="21">
        <v>5.4131214095032423</v>
      </c>
    </row>
    <row r="54" spans="1:34">
      <c r="A54" s="13" t="s">
        <v>73</v>
      </c>
      <c r="B54" s="13" t="s">
        <v>74</v>
      </c>
      <c r="C54" s="13">
        <v>26</v>
      </c>
      <c r="E54" s="14">
        <v>44775</v>
      </c>
      <c r="H54" s="16">
        <v>21.4</v>
      </c>
      <c r="I54" s="16">
        <v>6.85</v>
      </c>
      <c r="J54" s="16">
        <v>61.15</v>
      </c>
      <c r="K54" s="17">
        <v>8.7464871695994404</v>
      </c>
      <c r="P54" s="18">
        <v>1.5699999999999999E-2</v>
      </c>
      <c r="Q54" s="18">
        <v>1.9827595831423539</v>
      </c>
      <c r="R54" s="21" t="s">
        <v>50</v>
      </c>
      <c r="S54" s="21">
        <v>2.5515544723258312</v>
      </c>
      <c r="T54" s="21">
        <v>4.9192779625914511</v>
      </c>
      <c r="W54" s="18">
        <v>0.1306764614853527</v>
      </c>
      <c r="X54" s="19">
        <v>5.5783268226060638</v>
      </c>
      <c r="Y54" s="92">
        <v>0.81646977810942412</v>
      </c>
      <c r="Z54" s="20">
        <v>-6.8702457700833532</v>
      </c>
      <c r="AA54" s="10">
        <v>-36.4007716185193</v>
      </c>
      <c r="AB54" s="17">
        <v>3.6604736161950608</v>
      </c>
      <c r="AC54" s="18">
        <v>1.354658221726345</v>
      </c>
      <c r="AD54" s="21">
        <v>0.21397403391602979</v>
      </c>
      <c r="AE54" s="21">
        <v>5.1948558191784011</v>
      </c>
      <c r="AF54" s="21">
        <v>3.8709573268234918E-2</v>
      </c>
      <c r="AG54" s="21"/>
      <c r="AH54" s="21">
        <v>5.3594934233234017</v>
      </c>
    </row>
    <row r="55" spans="1:34">
      <c r="A55" s="13" t="s">
        <v>71</v>
      </c>
      <c r="B55" s="13" t="s">
        <v>72</v>
      </c>
      <c r="C55" s="13">
        <v>27</v>
      </c>
      <c r="E55" s="14">
        <v>44782</v>
      </c>
      <c r="H55" s="16">
        <v>16.7</v>
      </c>
      <c r="I55" s="16">
        <v>7.26</v>
      </c>
      <c r="J55" s="16">
        <v>61.59</v>
      </c>
      <c r="K55" s="17">
        <v>9.0233551390862701</v>
      </c>
      <c r="P55" s="18">
        <v>2.8400364547786081E-2</v>
      </c>
      <c r="Q55" s="18">
        <v>2.33790776689382</v>
      </c>
      <c r="R55" s="21" t="s">
        <v>50</v>
      </c>
      <c r="S55" s="21">
        <v>2.0816358600017559</v>
      </c>
      <c r="T55" s="21">
        <v>5.4343269741000464</v>
      </c>
      <c r="W55" s="18">
        <v>0.22779620501323131</v>
      </c>
      <c r="X55" s="19">
        <v>3.8951199148522551</v>
      </c>
      <c r="Y55" s="92">
        <v>0.37344138408566357</v>
      </c>
      <c r="Z55" s="20">
        <v>-6.7523249524386388</v>
      </c>
      <c r="AA55" s="10">
        <v>-33.740924060022742</v>
      </c>
      <c r="AB55" s="17">
        <v>3.8596638272109041</v>
      </c>
      <c r="AC55" s="18">
        <v>1.3050243895930651</v>
      </c>
      <c r="AD55" s="21">
        <v>0.21828171522160281</v>
      </c>
      <c r="AE55" s="21">
        <v>4.9486523433319478</v>
      </c>
      <c r="AF55" s="21">
        <v>3.7826515896106021E-2</v>
      </c>
      <c r="AG55" s="21"/>
      <c r="AH55" s="18">
        <v>5.7195718835936509</v>
      </c>
    </row>
    <row r="56" spans="1:34">
      <c r="A56" s="13" t="s">
        <v>73</v>
      </c>
      <c r="B56" s="13" t="s">
        <v>74</v>
      </c>
      <c r="C56" s="13">
        <v>27</v>
      </c>
      <c r="E56" s="14">
        <v>44782</v>
      </c>
      <c r="H56" s="16">
        <v>17</v>
      </c>
      <c r="I56" s="16">
        <v>6.83</v>
      </c>
      <c r="J56" s="16">
        <v>62.21</v>
      </c>
      <c r="K56" s="17">
        <v>8.7261884896688304</v>
      </c>
      <c r="P56" s="18">
        <v>6.7007968751808568E-3</v>
      </c>
      <c r="Q56" s="18">
        <v>2.3043171229069448</v>
      </c>
      <c r="R56" s="21" t="s">
        <v>50</v>
      </c>
      <c r="S56" s="21">
        <v>1.886814186125725</v>
      </c>
      <c r="T56" s="21">
        <v>5.8973709481787218</v>
      </c>
      <c r="W56" s="18">
        <v>0.1003140546374553</v>
      </c>
      <c r="X56" s="19">
        <v>4.3034537433794524</v>
      </c>
      <c r="Y56" s="92">
        <v>0.34466863427568439</v>
      </c>
      <c r="Z56" s="20">
        <v>-6.830272611559721</v>
      </c>
      <c r="AA56" s="10">
        <v>-34.40605140421011</v>
      </c>
      <c r="AB56" s="17">
        <v>3.712716133239379</v>
      </c>
      <c r="AC56" s="18">
        <v>1.3482088225271289</v>
      </c>
      <c r="AD56" s="21">
        <v>0.19965812266082331</v>
      </c>
      <c r="AE56" s="21">
        <v>4.9655591163460819</v>
      </c>
      <c r="AF56" s="21">
        <v>3.7994359796332311E-2</v>
      </c>
      <c r="AG56" s="21"/>
      <c r="AH56" s="18">
        <v>5.6105822005032691</v>
      </c>
    </row>
    <row r="57" spans="1:34">
      <c r="A57" s="13" t="s">
        <v>71</v>
      </c>
      <c r="B57" s="13" t="s">
        <v>72</v>
      </c>
      <c r="C57" s="13">
        <v>28</v>
      </c>
      <c r="E57" s="14">
        <v>44789</v>
      </c>
      <c r="H57" s="16">
        <v>16.899999999999999</v>
      </c>
      <c r="I57" s="16">
        <v>6.9</v>
      </c>
      <c r="J57" s="16">
        <v>64.05</v>
      </c>
      <c r="K57" s="17">
        <v>9.2864990460300412</v>
      </c>
      <c r="P57" s="18">
        <v>2.057949311211971E-2</v>
      </c>
      <c r="Q57" s="18">
        <v>2.366240047442405</v>
      </c>
      <c r="R57" s="21" t="s">
        <v>50</v>
      </c>
      <c r="S57" s="21">
        <v>1.899718032985934</v>
      </c>
      <c r="T57" s="21">
        <v>5.6876574037037191</v>
      </c>
      <c r="W57" s="18">
        <v>0.24537196911272979</v>
      </c>
      <c r="X57" s="19">
        <v>4.114636003231646</v>
      </c>
      <c r="Y57" s="92">
        <v>0.39241670315175697</v>
      </c>
      <c r="Z57" s="20">
        <v>-6.7666486675762743</v>
      </c>
      <c r="AA57" s="10">
        <v>-33.546349493663449</v>
      </c>
      <c r="AB57" s="17">
        <v>3.8773904149256309</v>
      </c>
      <c r="AC57" s="18">
        <v>1.341350740805342</v>
      </c>
      <c r="AD57" s="21">
        <v>0.2240647133128173</v>
      </c>
      <c r="AE57" s="21">
        <v>5.1686176476185857</v>
      </c>
      <c r="AF57" s="21">
        <v>3.7786386137346827E-2</v>
      </c>
      <c r="AG57" s="21"/>
      <c r="AH57" s="21">
        <v>5.8976471143057374</v>
      </c>
    </row>
    <row r="58" spans="1:34">
      <c r="A58" s="13" t="s">
        <v>73</v>
      </c>
      <c r="B58" s="13" t="s">
        <v>74</v>
      </c>
      <c r="C58" s="13">
        <v>28</v>
      </c>
      <c r="E58" s="14">
        <v>44789</v>
      </c>
      <c r="H58" s="16">
        <v>15.3</v>
      </c>
      <c r="I58" s="16">
        <v>6.86</v>
      </c>
      <c r="J58" s="16">
        <v>63.26</v>
      </c>
      <c r="K58" s="17">
        <v>8.9634732526840235</v>
      </c>
      <c r="P58" s="18">
        <v>5.3940158364074488E-3</v>
      </c>
      <c r="Q58" s="18">
        <v>2.3656912461634598</v>
      </c>
      <c r="R58" s="21" t="s">
        <v>50</v>
      </c>
      <c r="S58" s="21">
        <v>1.7884926028871859</v>
      </c>
      <c r="T58" s="21">
        <v>5.8379031486502218</v>
      </c>
      <c r="W58" s="18">
        <v>0.11854206771667671</v>
      </c>
      <c r="X58" s="19">
        <v>4.152139218144117</v>
      </c>
      <c r="Y58" s="92">
        <v>0.32824803273407149</v>
      </c>
      <c r="Z58" s="20">
        <v>-6.7516587331299114</v>
      </c>
      <c r="AA58" s="10">
        <v>-33.620142228864339</v>
      </c>
      <c r="AB58" s="17">
        <v>3.9111853251007229</v>
      </c>
      <c r="AC58" s="18">
        <v>1.3419078124240611</v>
      </c>
      <c r="AD58" s="21">
        <v>0.1917456269392632</v>
      </c>
      <c r="AE58" s="21">
        <v>5.0665801422930103</v>
      </c>
      <c r="AF58" s="21">
        <v>3.8443420633363583E-2</v>
      </c>
      <c r="AG58" s="21"/>
      <c r="AH58" s="21">
        <v>5.7803642191059401</v>
      </c>
    </row>
    <row r="59" spans="1:34">
      <c r="A59" s="13" t="s">
        <v>71</v>
      </c>
      <c r="B59" s="13" t="s">
        <v>72</v>
      </c>
      <c r="C59" s="13">
        <v>29</v>
      </c>
      <c r="E59" s="14">
        <v>44796</v>
      </c>
      <c r="H59" s="16">
        <v>20.2</v>
      </c>
      <c r="I59" s="16">
        <v>7.2</v>
      </c>
      <c r="J59" s="16">
        <v>64.63</v>
      </c>
      <c r="K59" s="17">
        <v>8.8962940710444798</v>
      </c>
      <c r="P59" s="18">
        <v>2.9861758594601768E-3</v>
      </c>
      <c r="Q59" s="18">
        <v>2.3839462035191321</v>
      </c>
      <c r="R59" s="21" t="s">
        <v>50</v>
      </c>
      <c r="S59" s="21">
        <v>1.8703366151804071</v>
      </c>
      <c r="T59" s="21">
        <v>5.943243144331789</v>
      </c>
      <c r="W59" s="18">
        <v>9.872538611882406E-2</v>
      </c>
      <c r="X59" s="19">
        <v>4.0542456528248563</v>
      </c>
      <c r="Y59" s="92">
        <v>0.28676516924547119</v>
      </c>
      <c r="Z59" s="20">
        <v>-6.7673148868850008</v>
      </c>
      <c r="AA59" s="10">
        <v>-33.446745846598567</v>
      </c>
      <c r="AB59" s="17">
        <v>3.9952380490640289</v>
      </c>
      <c r="AC59" s="18">
        <v>1.3884778854349631</v>
      </c>
      <c r="AD59" s="21">
        <v>0.2321766808592747</v>
      </c>
      <c r="AE59" s="21">
        <v>5.2714827853996127</v>
      </c>
      <c r="AF59" s="21">
        <v>3.8852055369746633E-2</v>
      </c>
      <c r="AG59" s="21"/>
      <c r="AH59" s="21">
        <v>5.9668636625420346</v>
      </c>
    </row>
    <row r="60" spans="1:34">
      <c r="A60" s="13" t="s">
        <v>73</v>
      </c>
      <c r="B60" s="13" t="s">
        <v>74</v>
      </c>
      <c r="C60" s="13">
        <v>29</v>
      </c>
      <c r="E60" s="14">
        <v>44796</v>
      </c>
      <c r="H60" s="16">
        <v>20.2</v>
      </c>
      <c r="I60" s="16">
        <v>7.07</v>
      </c>
      <c r="J60" s="16">
        <v>63.89</v>
      </c>
      <c r="K60" s="17">
        <v>8.7133621065847802</v>
      </c>
      <c r="P60" s="18">
        <v>1.49E-2</v>
      </c>
      <c r="Q60" s="18">
        <v>2.3644367573850311</v>
      </c>
      <c r="R60" s="21" t="s">
        <v>50</v>
      </c>
      <c r="S60" s="21">
        <v>1.7337476040733151</v>
      </c>
      <c r="T60" s="21">
        <v>5.9326905209826704</v>
      </c>
      <c r="W60" s="18">
        <v>8.2564906123002491E-2</v>
      </c>
      <c r="X60" s="19">
        <v>4.2847472492137886</v>
      </c>
      <c r="Y60" s="92">
        <v>0.31130319978518228</v>
      </c>
      <c r="Z60" s="20">
        <v>-6.7380012373010034</v>
      </c>
      <c r="AA60" s="10">
        <v>-33.544364038904689</v>
      </c>
      <c r="AB60" s="17">
        <v>3.8656450238324949</v>
      </c>
      <c r="AC60" s="18">
        <v>1.3788021769435781</v>
      </c>
      <c r="AD60" s="21">
        <v>0.20382826409346419</v>
      </c>
      <c r="AE60" s="21">
        <v>5.1755807018851474</v>
      </c>
      <c r="AF60" s="21">
        <v>3.8295826250403703E-2</v>
      </c>
      <c r="AG60" s="21"/>
      <c r="AH60" s="21">
        <v>5.7766358449544262</v>
      </c>
    </row>
    <row r="61" spans="1:34">
      <c r="A61" s="13" t="s">
        <v>71</v>
      </c>
      <c r="B61" s="13" t="s">
        <v>72</v>
      </c>
      <c r="C61" s="13">
        <v>30</v>
      </c>
      <c r="E61" s="14">
        <v>44803</v>
      </c>
      <c r="H61" s="16">
        <v>21</v>
      </c>
      <c r="I61" s="16">
        <v>6.95</v>
      </c>
      <c r="J61" s="16">
        <v>67.2</v>
      </c>
      <c r="K61" s="17">
        <v>8.6584685566102575</v>
      </c>
      <c r="P61" s="18">
        <v>1.52E-2</v>
      </c>
      <c r="Q61" s="18">
        <v>2.300772169963317</v>
      </c>
      <c r="R61" s="21" t="s">
        <v>50</v>
      </c>
      <c r="S61" s="21">
        <v>2.3726970785704018</v>
      </c>
      <c r="T61" s="21">
        <v>5.890208111908132</v>
      </c>
      <c r="W61" s="18">
        <v>0.115297906197194</v>
      </c>
      <c r="X61" s="19">
        <v>3.9865148200154139</v>
      </c>
      <c r="Y61" s="92">
        <v>0.66730324082386405</v>
      </c>
      <c r="Z61" s="20">
        <v>-6.8072583611422726</v>
      </c>
      <c r="AA61" s="10">
        <v>-33.832074865851823</v>
      </c>
      <c r="AB61" s="17">
        <v>3.7900661210606348</v>
      </c>
      <c r="AC61" s="18">
        <v>1.4149097173845719</v>
      </c>
      <c r="AD61" s="21">
        <v>0.19972098131100641</v>
      </c>
      <c r="AE61" s="21">
        <v>5.3976795078708308</v>
      </c>
      <c r="AF61" s="21">
        <v>3.8767910840737198E-2</v>
      </c>
      <c r="AG61" s="21"/>
      <c r="AH61" s="21">
        <v>5.7536911262570003</v>
      </c>
    </row>
    <row r="62" spans="1:34">
      <c r="A62" s="13" t="s">
        <v>73</v>
      </c>
      <c r="B62" s="13" t="s">
        <v>74</v>
      </c>
      <c r="C62" s="13">
        <v>30</v>
      </c>
      <c r="E62" s="14">
        <v>44803</v>
      </c>
      <c r="H62" s="16">
        <v>20.8</v>
      </c>
      <c r="I62" s="16">
        <v>6.84</v>
      </c>
      <c r="J62" s="16">
        <v>66.5</v>
      </c>
      <c r="K62" s="17">
        <v>8.7024957570381929</v>
      </c>
      <c r="P62" s="18">
        <v>7.8402820492104106E-4</v>
      </c>
      <c r="Q62" s="18">
        <v>2.329655660410308</v>
      </c>
      <c r="R62" s="21" t="s">
        <v>50</v>
      </c>
      <c r="S62" s="21">
        <v>2.2597434643359322</v>
      </c>
      <c r="T62" s="21">
        <v>5.8486065855803639</v>
      </c>
      <c r="W62" s="18">
        <v>0.1048425524421767</v>
      </c>
      <c r="X62" s="19">
        <v>4.1578784153940553</v>
      </c>
      <c r="Y62" s="92">
        <v>0.64202801637643947</v>
      </c>
      <c r="Z62" s="20">
        <v>-6.7780685969634167</v>
      </c>
      <c r="AA62" s="10">
        <v>-34.096579163082858</v>
      </c>
      <c r="AB62" s="17">
        <v>3.7194153152553322</v>
      </c>
      <c r="AC62" s="18">
        <v>1.445214827555328</v>
      </c>
      <c r="AD62" s="21">
        <v>0.1886248595027181</v>
      </c>
      <c r="AE62" s="21">
        <v>5.2780063338141954</v>
      </c>
      <c r="AF62" s="21">
        <v>3.8920827696855821E-2</v>
      </c>
      <c r="AG62" s="21"/>
      <c r="AH62" s="21">
        <v>5.6889954179115136</v>
      </c>
    </row>
    <row r="63" spans="1:34">
      <c r="A63" s="13" t="s">
        <v>71</v>
      </c>
      <c r="B63" s="13" t="s">
        <v>72</v>
      </c>
      <c r="C63" s="13">
        <v>31</v>
      </c>
      <c r="E63" s="14">
        <v>44810</v>
      </c>
      <c r="K63" s="17">
        <v>5.5306478113922433</v>
      </c>
      <c r="P63" s="18">
        <v>1.6199999999999999E-2</v>
      </c>
      <c r="Q63" s="18">
        <v>2.331427013598506</v>
      </c>
      <c r="R63" s="21" t="s">
        <v>50</v>
      </c>
      <c r="S63" s="21">
        <v>2.2588800615682518</v>
      </c>
      <c r="T63" s="21">
        <v>3.7015165170292401</v>
      </c>
      <c r="U63" s="21">
        <v>9.407012734073103E-2</v>
      </c>
      <c r="W63" s="18">
        <v>0.14011447623544271</v>
      </c>
      <c r="X63" s="19">
        <v>2.6864363129722291</v>
      </c>
      <c r="Y63" s="92">
        <v>0.61839288043455753</v>
      </c>
      <c r="Z63" s="20">
        <v>-6.8103131039051759</v>
      </c>
      <c r="AA63" s="10">
        <v>-33.690013734346657</v>
      </c>
      <c r="AB63" s="17">
        <v>2.9650894388403581</v>
      </c>
      <c r="AC63" s="18">
        <v>0.89007145697294532</v>
      </c>
      <c r="AD63" s="21">
        <v>0.22358363552144139</v>
      </c>
      <c r="AE63" s="21">
        <v>3.4647033080133931</v>
      </c>
      <c r="AF63" s="21">
        <v>3.1550659021094683E-2</v>
      </c>
      <c r="AG63" s="21"/>
      <c r="AH63" s="21">
        <v>5.0168079252971989</v>
      </c>
    </row>
    <row r="64" spans="1:34">
      <c r="A64" s="13" t="s">
        <v>73</v>
      </c>
      <c r="B64" s="13" t="s">
        <v>74</v>
      </c>
      <c r="C64" s="13">
        <v>31</v>
      </c>
      <c r="E64" s="14">
        <v>44810</v>
      </c>
      <c r="K64" s="17">
        <v>4.7455240139243413</v>
      </c>
      <c r="P64" s="18">
        <v>2.0799999999999999E-2</v>
      </c>
      <c r="Q64" s="18">
        <v>2.3256762435566221</v>
      </c>
      <c r="R64" s="21" t="s">
        <v>50</v>
      </c>
      <c r="S64" s="21">
        <v>2.0151509137293888</v>
      </c>
      <c r="T64" s="21">
        <v>4.3609128130209402</v>
      </c>
      <c r="U64" s="21">
        <v>5.1658965023166942E-2</v>
      </c>
      <c r="W64" s="18">
        <v>0.1122795519816854</v>
      </c>
      <c r="X64" s="19">
        <v>3.4129958630094852</v>
      </c>
      <c r="Y64" s="92">
        <v>0.57697861211127222</v>
      </c>
      <c r="Z64" s="20">
        <v>-6.8975429805791997</v>
      </c>
      <c r="AA64" s="10">
        <v>-34.765619444314318</v>
      </c>
      <c r="AB64" s="17">
        <v>2.7053741953207582</v>
      </c>
      <c r="AC64" s="18">
        <v>0.86840847401677024</v>
      </c>
      <c r="AD64" s="21">
        <v>0.22767540702919459</v>
      </c>
      <c r="AE64" s="21">
        <v>3.2698733068610761</v>
      </c>
      <c r="AF64" s="21">
        <v>3.18265637725276E-2</v>
      </c>
      <c r="AG64" s="21"/>
      <c r="AH64" s="21">
        <v>4.7284884631986879</v>
      </c>
    </row>
    <row r="65" spans="1:35">
      <c r="A65" s="13" t="s">
        <v>71</v>
      </c>
      <c r="B65" s="13" t="s">
        <v>72</v>
      </c>
      <c r="C65" s="13">
        <v>32</v>
      </c>
      <c r="E65" s="14">
        <v>44817</v>
      </c>
      <c r="H65" s="16">
        <v>14</v>
      </c>
      <c r="I65" s="16">
        <v>6.81</v>
      </c>
      <c r="J65" s="16">
        <v>36.270000000000003</v>
      </c>
      <c r="K65" s="17">
        <v>4.3519874466149924</v>
      </c>
      <c r="P65" s="18">
        <v>1.7899999999999999E-2</v>
      </c>
      <c r="Q65" s="18">
        <v>1.900741075990555</v>
      </c>
      <c r="R65" s="21" t="s">
        <v>50</v>
      </c>
      <c r="S65" s="21">
        <v>2.3908552055254462</v>
      </c>
      <c r="T65" s="21">
        <v>2.3088436472155278</v>
      </c>
      <c r="U65" s="21">
        <v>6.6833601081744923E-2</v>
      </c>
      <c r="W65" s="18">
        <v>0.12743462844091619</v>
      </c>
      <c r="X65" s="19">
        <v>0.12260124111363641</v>
      </c>
      <c r="Y65" s="92">
        <v>0.38335781605618341</v>
      </c>
      <c r="Z65" s="20">
        <v>-7.416509834410256</v>
      </c>
      <c r="AA65" s="10">
        <v>-41.193885644922993</v>
      </c>
      <c r="AB65" s="17">
        <v>2.140427498460336</v>
      </c>
      <c r="AC65" s="18">
        <v>0.65342176711058209</v>
      </c>
      <c r="AD65" s="21">
        <v>0.28891130681655508</v>
      </c>
      <c r="AE65" s="21">
        <v>2.7203021392192448</v>
      </c>
      <c r="AF65" s="21">
        <v>2.9036403928959269E-2</v>
      </c>
      <c r="AG65" s="21"/>
      <c r="AH65" s="21">
        <v>3.57691075733872</v>
      </c>
    </row>
    <row r="66" spans="1:35">
      <c r="A66" s="13" t="s">
        <v>73</v>
      </c>
      <c r="B66" s="13" t="s">
        <v>74</v>
      </c>
      <c r="C66" s="13">
        <v>32</v>
      </c>
      <c r="E66" s="14">
        <v>44817</v>
      </c>
      <c r="H66" s="16">
        <v>14.7</v>
      </c>
      <c r="I66" s="16">
        <v>6.2</v>
      </c>
      <c r="J66" s="16">
        <v>32.270000000000003</v>
      </c>
      <c r="K66" s="17">
        <v>3.3641828663398612</v>
      </c>
      <c r="P66" s="18">
        <v>1.72E-2</v>
      </c>
      <c r="Q66" s="18">
        <v>1.7260746928149671</v>
      </c>
      <c r="R66" s="21" t="s">
        <v>50</v>
      </c>
      <c r="S66" s="21">
        <v>1.9345574905422951</v>
      </c>
      <c r="T66" s="21">
        <v>2.9693857531366978</v>
      </c>
      <c r="U66" s="21">
        <v>4.0764354519572499E-2</v>
      </c>
      <c r="W66" s="18">
        <v>0.17733075562699241</v>
      </c>
      <c r="X66" s="19">
        <v>0.16523461964354491</v>
      </c>
      <c r="Y66" s="92">
        <v>0.33236535176775689</v>
      </c>
      <c r="Z66" s="20">
        <v>-7.5417542876893009</v>
      </c>
      <c r="AA66" s="10">
        <v>-43.181726763627402</v>
      </c>
      <c r="AB66" s="17">
        <v>2.206588107892467</v>
      </c>
      <c r="AC66" s="18">
        <v>0.53296420148778534</v>
      </c>
      <c r="AD66" s="21">
        <v>0.2060638879200388</v>
      </c>
      <c r="AE66" s="21">
        <v>2.1447649032574998</v>
      </c>
      <c r="AF66" s="21">
        <v>2.7770070573018241E-2</v>
      </c>
      <c r="AG66" s="21"/>
      <c r="AH66" s="21">
        <v>3.666104323222021</v>
      </c>
    </row>
    <row r="67" spans="1:35">
      <c r="A67" s="13" t="s">
        <v>71</v>
      </c>
      <c r="B67" s="13" t="s">
        <v>72</v>
      </c>
      <c r="C67" s="13">
        <v>33</v>
      </c>
      <c r="E67" s="14">
        <v>44824</v>
      </c>
      <c r="H67" s="16">
        <v>19.7</v>
      </c>
      <c r="I67" s="16">
        <v>7.01</v>
      </c>
      <c r="J67" s="16">
        <v>50.76</v>
      </c>
      <c r="K67" s="17">
        <v>5.4648906003207562</v>
      </c>
      <c r="P67" s="18">
        <v>2.2100000000000002E-2</v>
      </c>
      <c r="Q67" s="18">
        <v>2.4094119280807118</v>
      </c>
      <c r="R67" s="21" t="s">
        <v>50</v>
      </c>
      <c r="S67" s="21">
        <v>1.8958772757045259</v>
      </c>
      <c r="T67" s="21">
        <v>4.0918451895316936</v>
      </c>
      <c r="U67" s="21">
        <v>0.13648128965829509</v>
      </c>
      <c r="W67" s="18">
        <v>0.1999026298132148</v>
      </c>
      <c r="X67" s="19">
        <v>0.1136222654168107</v>
      </c>
      <c r="Y67" s="92">
        <v>0.55228708911036539</v>
      </c>
      <c r="Z67" s="20">
        <v>-6.7719591114376092</v>
      </c>
      <c r="AA67" s="10">
        <v>-33.430244808165789</v>
      </c>
      <c r="AB67" s="17">
        <v>3.218706048606558</v>
      </c>
      <c r="AC67" s="18">
        <v>0.94099437329120628</v>
      </c>
      <c r="AD67" s="21">
        <v>0.20016689780704119</v>
      </c>
      <c r="AE67" s="21">
        <v>3.7112509612211269</v>
      </c>
      <c r="AF67" s="21">
        <v>3.242388307953227E-2</v>
      </c>
      <c r="AG67" s="21"/>
      <c r="AH67" s="21">
        <v>5.4182429737119753</v>
      </c>
    </row>
    <row r="68" spans="1:35">
      <c r="A68" s="13" t="s">
        <v>73</v>
      </c>
      <c r="B68" s="13" t="s">
        <v>74</v>
      </c>
      <c r="C68" s="13">
        <v>33</v>
      </c>
      <c r="E68" s="14">
        <v>44824</v>
      </c>
      <c r="H68" s="16">
        <v>19.399999999999999</v>
      </c>
      <c r="I68" s="16">
        <v>6.64</v>
      </c>
      <c r="J68" s="16">
        <v>47.33</v>
      </c>
      <c r="K68" s="17">
        <v>4.5433886251376974</v>
      </c>
      <c r="P68" s="18">
        <v>2.4199999999999999E-2</v>
      </c>
      <c r="Q68" s="18">
        <v>2.4017964161994652</v>
      </c>
      <c r="R68" s="21" t="s">
        <v>50</v>
      </c>
      <c r="S68" s="21">
        <v>1.659216363977555</v>
      </c>
      <c r="T68" s="21">
        <v>4.990993277547652</v>
      </c>
      <c r="U68" s="21">
        <v>5.8662643204049091E-2</v>
      </c>
      <c r="W68" s="18">
        <v>0.1003054092258595</v>
      </c>
      <c r="X68" s="19">
        <v>0.1014846197224181</v>
      </c>
      <c r="Y68" s="92">
        <v>0.43874330212494977</v>
      </c>
      <c r="Z68" s="20">
        <v>-6.7811233397263209</v>
      </c>
      <c r="AA68" s="10">
        <v>-33.882134502667917</v>
      </c>
      <c r="AB68" s="17">
        <v>3.158443313609026</v>
      </c>
      <c r="AC68" s="18">
        <v>0.90189375320629173</v>
      </c>
      <c r="AD68" s="21">
        <v>0.17918772337676589</v>
      </c>
      <c r="AE68" s="21">
        <v>3.4100882546449669</v>
      </c>
      <c r="AF68" s="21">
        <v>3.2250789707199162E-2</v>
      </c>
      <c r="AG68" s="21"/>
      <c r="AH68" s="21">
        <v>5.0584796479071006</v>
      </c>
    </row>
    <row r="69" spans="1:35">
      <c r="A69" s="13" t="s">
        <v>71</v>
      </c>
      <c r="B69" s="13" t="s">
        <v>72</v>
      </c>
      <c r="C69" s="13">
        <v>34</v>
      </c>
      <c r="E69" s="14">
        <v>44831</v>
      </c>
      <c r="H69" s="16">
        <v>19.899999999999999</v>
      </c>
      <c r="I69" s="16">
        <v>6.75</v>
      </c>
      <c r="J69" s="16">
        <v>47.08</v>
      </c>
      <c r="K69" s="17">
        <v>6.4094424690167022</v>
      </c>
      <c r="P69" s="18">
        <v>1.9300000000000001E-2</v>
      </c>
      <c r="Q69" s="18">
        <v>2.2824526816510269</v>
      </c>
      <c r="R69" s="21" t="s">
        <v>50</v>
      </c>
      <c r="S69" s="21">
        <v>2.1634962845892418</v>
      </c>
      <c r="T69" s="21">
        <v>4.3364961297704427</v>
      </c>
      <c r="U69" s="21">
        <v>0.11041204309612269</v>
      </c>
      <c r="W69" s="18">
        <v>0.30441558826330828</v>
      </c>
      <c r="X69" s="19">
        <v>0.16094953846562179</v>
      </c>
      <c r="Y69" s="92">
        <v>0.66878864389897952</v>
      </c>
      <c r="Z69" s="20">
        <v>-6.9026342185173721</v>
      </c>
      <c r="AA69" s="10">
        <v>-34.865400477157237</v>
      </c>
      <c r="AB69" s="17">
        <v>3.1914079599902481</v>
      </c>
      <c r="AC69" s="18">
        <v>1.005545809671446</v>
      </c>
      <c r="AD69" s="21">
        <v>0.19591868113012301</v>
      </c>
      <c r="AE69" s="21">
        <v>3.7984310427035251</v>
      </c>
      <c r="AF69" s="21">
        <v>3.2957245035224438E-2</v>
      </c>
      <c r="AG69" s="21"/>
      <c r="AH69" s="21">
        <v>5.2423913682565004</v>
      </c>
    </row>
    <row r="70" spans="1:35">
      <c r="A70" s="13" t="s">
        <v>73</v>
      </c>
      <c r="B70" s="13" t="s">
        <v>74</v>
      </c>
      <c r="C70" s="13">
        <v>34</v>
      </c>
      <c r="E70" s="14">
        <v>44831</v>
      </c>
      <c r="H70" s="16">
        <v>20</v>
      </c>
      <c r="I70" s="16">
        <v>6.75</v>
      </c>
      <c r="J70" s="16">
        <v>45.4</v>
      </c>
      <c r="K70" s="17">
        <v>5.5512133468935314</v>
      </c>
      <c r="P70" s="18">
        <v>2.4500000000000001E-2</v>
      </c>
      <c r="Q70" s="18">
        <v>2.2089196791291088</v>
      </c>
      <c r="R70" s="21" t="s">
        <v>50</v>
      </c>
      <c r="S70" s="21">
        <v>1.8479505166878221</v>
      </c>
      <c r="T70" s="21">
        <v>4.9299694889965489</v>
      </c>
      <c r="U70" s="21">
        <v>7.9673677746695509E-2</v>
      </c>
      <c r="W70" s="18">
        <v>0.19978861045944679</v>
      </c>
      <c r="X70" s="19">
        <v>0.13126183538901459</v>
      </c>
      <c r="Y70" s="92">
        <v>0.53112663526785076</v>
      </c>
      <c r="Z70" s="20">
        <v>-7.0224480179956998</v>
      </c>
      <c r="AA70" s="10">
        <v>-36.166274552797383</v>
      </c>
      <c r="AB70" s="17">
        <v>3.179933552686288</v>
      </c>
      <c r="AC70" s="18">
        <v>0.93639536195368944</v>
      </c>
      <c r="AD70" s="21">
        <v>0.18469508752759481</v>
      </c>
      <c r="AE70" s="21">
        <v>3.532129589122321</v>
      </c>
      <c r="AF70" s="21">
        <v>3.2911465962077627E-2</v>
      </c>
      <c r="AG70" s="21"/>
      <c r="AH70" s="21">
        <v>4.8750314896189852</v>
      </c>
    </row>
    <row r="71" spans="1:35">
      <c r="A71" s="13" t="s">
        <v>71</v>
      </c>
      <c r="B71" s="13" t="s">
        <v>72</v>
      </c>
      <c r="C71" s="13">
        <v>35</v>
      </c>
      <c r="E71" s="14">
        <v>44838</v>
      </c>
      <c r="H71" s="16">
        <v>18.899999999999999</v>
      </c>
      <c r="I71" s="16">
        <v>6.89</v>
      </c>
      <c r="J71" s="16">
        <v>50.42</v>
      </c>
      <c r="K71" s="17">
        <v>8.0107705840635024</v>
      </c>
      <c r="P71" s="18">
        <v>1.41E-2</v>
      </c>
      <c r="Q71" s="18">
        <v>2.41567497818304</v>
      </c>
      <c r="R71" s="21" t="s">
        <v>50</v>
      </c>
      <c r="S71" s="21">
        <v>1.8113729923806601</v>
      </c>
      <c r="T71" s="21">
        <v>4.8622223519759036</v>
      </c>
      <c r="U71" s="21">
        <v>0.10457564461205419</v>
      </c>
      <c r="W71" s="18">
        <v>0.16572996635149859</v>
      </c>
      <c r="X71" s="19">
        <v>0.14747693951689289</v>
      </c>
      <c r="Y71" s="92">
        <v>0.4226197793007454</v>
      </c>
      <c r="Z71" s="20">
        <v>-6.8052341222958281</v>
      </c>
      <c r="AA71" s="10">
        <v>-34.650267860102382</v>
      </c>
      <c r="AB71" s="17">
        <v>3.396172477983403</v>
      </c>
      <c r="AC71" s="18">
        <v>1.0718705080641759</v>
      </c>
      <c r="AD71" s="21">
        <v>0.30210851828718199</v>
      </c>
      <c r="AE71" s="21">
        <v>5.0538190202911757</v>
      </c>
      <c r="AF71" s="21">
        <v>3.1997042995766681E-2</v>
      </c>
      <c r="AG71" s="21"/>
      <c r="AH71" s="21">
        <v>6.0437165502012258</v>
      </c>
    </row>
    <row r="72" spans="1:35">
      <c r="A72" s="13" t="s">
        <v>73</v>
      </c>
      <c r="B72" s="13" t="s">
        <v>74</v>
      </c>
      <c r="C72" s="13">
        <v>35</v>
      </c>
      <c r="E72" s="14">
        <v>44838</v>
      </c>
      <c r="H72" s="16">
        <v>18.8</v>
      </c>
      <c r="I72" s="16">
        <v>6.78</v>
      </c>
      <c r="J72" s="16">
        <v>51.8</v>
      </c>
      <c r="K72" s="17">
        <v>8.0106031512067126</v>
      </c>
      <c r="P72" s="18">
        <v>2.4199999999999999E-2</v>
      </c>
      <c r="Q72" s="18">
        <v>2.4353134299925459</v>
      </c>
      <c r="R72" s="21" t="s">
        <v>50</v>
      </c>
      <c r="S72" s="21">
        <v>1.56223038401891</v>
      </c>
      <c r="T72" s="21">
        <v>5.6957231059649942</v>
      </c>
      <c r="U72" s="21">
        <v>0.10457564461205419</v>
      </c>
      <c r="W72" s="18">
        <v>0.13522385743411669</v>
      </c>
      <c r="X72" s="19">
        <v>0.12513787602724069</v>
      </c>
      <c r="Y72" s="92">
        <v>0.39849411736815638</v>
      </c>
      <c r="Z72" s="20">
        <v>-6.8254503663780506</v>
      </c>
      <c r="AA72" s="10">
        <v>-34.820780155870352</v>
      </c>
      <c r="AB72" s="17">
        <v>3.535287123659375</v>
      </c>
      <c r="AC72" s="18">
        <v>1.136513859407948</v>
      </c>
      <c r="AD72" s="21">
        <v>0.32365257294810129</v>
      </c>
      <c r="AE72" s="21">
        <v>5.0920562898230601</v>
      </c>
      <c r="AF72" s="21">
        <v>3.3251829617419307E-2</v>
      </c>
      <c r="AG72" s="21"/>
      <c r="AH72" s="21">
        <v>5.7662313538708911</v>
      </c>
    </row>
    <row r="73" spans="1:35">
      <c r="A73" s="13" t="s">
        <v>71</v>
      </c>
      <c r="B73" s="13" t="s">
        <v>72</v>
      </c>
      <c r="C73" s="13">
        <v>36</v>
      </c>
      <c r="E73" s="14">
        <v>44845</v>
      </c>
      <c r="H73" s="16">
        <v>17.899999999999999</v>
      </c>
      <c r="I73" s="16">
        <v>7.26</v>
      </c>
      <c r="J73" s="16">
        <v>41.47</v>
      </c>
      <c r="K73" s="17">
        <v>6.0906949663492256</v>
      </c>
      <c r="P73" s="18">
        <v>5.4899999999999997E-2</v>
      </c>
      <c r="Q73" s="18">
        <v>2.3829734631375041</v>
      </c>
      <c r="R73" s="21" t="s">
        <v>50</v>
      </c>
      <c r="S73" s="21">
        <v>2.0553357328637829</v>
      </c>
      <c r="T73" s="21">
        <v>3.621717626856626</v>
      </c>
      <c r="U73" s="21">
        <v>0.1150811618833775</v>
      </c>
      <c r="W73" s="18">
        <v>0.46139999999999998</v>
      </c>
      <c r="X73" s="19">
        <v>2.9769999999999999</v>
      </c>
      <c r="Y73" s="92">
        <v>0.5924232363470584</v>
      </c>
      <c r="Z73" s="20">
        <v>-6.7987238064049436</v>
      </c>
      <c r="AA73" s="10">
        <v>-34.712334335761923</v>
      </c>
      <c r="AB73" s="17">
        <v>2.9014032507176242</v>
      </c>
      <c r="AC73" s="18">
        <v>0.77931782759190893</v>
      </c>
      <c r="AD73" s="21">
        <v>0.30643485888869099</v>
      </c>
      <c r="AE73" s="21">
        <v>3.9804002112556778</v>
      </c>
      <c r="AF73" s="21">
        <v>2.723457614612192E-2</v>
      </c>
      <c r="AG73" s="21"/>
      <c r="AH73" s="21">
        <v>5.4753461789124049</v>
      </c>
    </row>
    <row r="74" spans="1:35">
      <c r="A74" s="13" t="s">
        <v>73</v>
      </c>
      <c r="B74" s="13" t="s">
        <v>74</v>
      </c>
      <c r="C74" s="13">
        <v>36</v>
      </c>
      <c r="E74" s="14">
        <v>44845</v>
      </c>
      <c r="H74" s="16">
        <v>17.899999999999999</v>
      </c>
      <c r="I74" s="16">
        <v>6.64</v>
      </c>
      <c r="J74" s="16">
        <v>39.97</v>
      </c>
      <c r="K74" s="17">
        <v>5.5095977930577682</v>
      </c>
      <c r="P74" s="18">
        <v>2.58E-2</v>
      </c>
      <c r="Q74" s="18">
        <v>2.310086623428707</v>
      </c>
      <c r="R74" s="21" t="s">
        <v>50</v>
      </c>
      <c r="S74" s="21">
        <v>1.7603060212993329</v>
      </c>
      <c r="T74" s="21">
        <v>4.2511467219487624</v>
      </c>
      <c r="U74" s="21">
        <v>6.64445078494737E-2</v>
      </c>
      <c r="W74" s="18">
        <v>0.1852</v>
      </c>
      <c r="X74" s="19">
        <v>3.3193999999999999</v>
      </c>
      <c r="Y74" s="92">
        <v>0.40066240284494897</v>
      </c>
      <c r="Z74" s="20">
        <v>-6.885071154010368</v>
      </c>
      <c r="AA74" s="10">
        <v>-35.571716306432421</v>
      </c>
      <c r="AB74" s="17">
        <v>2.7211028992370321</v>
      </c>
      <c r="AC74" s="18">
        <v>0.75089364381368351</v>
      </c>
      <c r="AD74" s="21">
        <v>0.28597363783652169</v>
      </c>
      <c r="AE74" s="21">
        <v>3.714043732667327</v>
      </c>
      <c r="AF74" s="21">
        <v>2.7397883671257669E-2</v>
      </c>
      <c r="AG74" s="21"/>
      <c r="AH74" s="21">
        <v>5.0423634797782828</v>
      </c>
    </row>
    <row r="75" spans="1:35">
      <c r="A75" s="13" t="s">
        <v>71</v>
      </c>
      <c r="B75" s="13" t="s">
        <v>72</v>
      </c>
      <c r="C75" s="13">
        <v>37</v>
      </c>
      <c r="E75" s="14">
        <v>44853</v>
      </c>
      <c r="H75" s="16">
        <v>18.399999999999999</v>
      </c>
      <c r="I75" s="16">
        <v>6.76</v>
      </c>
      <c r="J75" s="16">
        <v>34.65</v>
      </c>
      <c r="K75" s="17">
        <v>5.0151140560807734</v>
      </c>
      <c r="P75" s="18">
        <v>1.9400000000000001E-2</v>
      </c>
      <c r="Q75" s="18">
        <v>2.1292965665185668</v>
      </c>
      <c r="R75" s="21" t="s">
        <v>50</v>
      </c>
      <c r="S75" s="21">
        <v>1.9017040423182989</v>
      </c>
      <c r="T75" s="21">
        <v>2.8400899971962792</v>
      </c>
      <c r="U75" s="21">
        <v>7.1423829981729262E-2</v>
      </c>
      <c r="W75" s="18">
        <v>0.15629999999999999</v>
      </c>
      <c r="Y75" s="92">
        <v>0.51179204465634598</v>
      </c>
      <c r="Z75" s="20">
        <v>-6.7000411234273178</v>
      </c>
      <c r="AA75" s="10">
        <v>-34.014598021479451</v>
      </c>
      <c r="AB75" s="17">
        <v>2.5265849552858239</v>
      </c>
      <c r="AC75" s="18">
        <v>0.59403439062826247</v>
      </c>
      <c r="AD75" s="21">
        <v>0.28240563622262738</v>
      </c>
      <c r="AE75" s="21">
        <v>3.1133741122125711</v>
      </c>
      <c r="AF75" s="21">
        <v>2.3835275161271159E-2</v>
      </c>
      <c r="AG75" s="21"/>
      <c r="AH75" s="21">
        <v>5.1625095123216234</v>
      </c>
    </row>
    <row r="76" spans="1:35">
      <c r="A76" s="13" t="s">
        <v>73</v>
      </c>
      <c r="B76" s="13" t="s">
        <v>74</v>
      </c>
      <c r="C76" s="13">
        <v>37</v>
      </c>
      <c r="E76" s="14">
        <v>44853</v>
      </c>
      <c r="H76" s="16">
        <v>18.399999999999999</v>
      </c>
      <c r="I76" s="16">
        <v>6.65</v>
      </c>
      <c r="J76" s="16">
        <v>34.75</v>
      </c>
      <c r="K76" s="17">
        <v>4.7199028529055784</v>
      </c>
      <c r="P76" s="18">
        <v>2.5700000000000001E-2</v>
      </c>
      <c r="Q76" s="18">
        <v>2.028437549417156</v>
      </c>
      <c r="R76" s="21" t="s">
        <v>50</v>
      </c>
      <c r="S76" s="21">
        <v>1.5944595823494221</v>
      </c>
      <c r="T76" s="21">
        <v>3.3493809521139801</v>
      </c>
      <c r="U76" s="21">
        <v>4.5985997123325947E-2</v>
      </c>
      <c r="W76" s="18">
        <v>0.1135</v>
      </c>
      <c r="Y76" s="92">
        <v>0.41965553329712729</v>
      </c>
      <c r="Z76" s="20">
        <v>-6.7086073285469041</v>
      </c>
      <c r="AA76" s="10">
        <v>-34.00982367719795</v>
      </c>
      <c r="AB76" s="17">
        <v>2.5343551807323501</v>
      </c>
      <c r="AC76" s="18">
        <v>0.59810937388370089</v>
      </c>
      <c r="AD76" s="21">
        <v>0.27091905323428561</v>
      </c>
      <c r="AE76" s="21">
        <v>3.0895489898945399</v>
      </c>
      <c r="AF76" s="21">
        <v>2.4868266110048519E-2</v>
      </c>
      <c r="AG76" s="21"/>
      <c r="AH76" s="21">
        <v>4.8474034033187943</v>
      </c>
    </row>
    <row r="77" spans="1:35">
      <c r="A77" s="13" t="s">
        <v>71</v>
      </c>
      <c r="B77" s="13" t="s">
        <v>72</v>
      </c>
      <c r="C77" s="13">
        <v>38</v>
      </c>
      <c r="E77" s="14">
        <v>44859</v>
      </c>
      <c r="H77" s="16">
        <v>16.399999999999999</v>
      </c>
      <c r="I77" s="16">
        <v>7.12</v>
      </c>
      <c r="J77" s="16">
        <v>40.06</v>
      </c>
      <c r="K77" s="17">
        <v>5.784475256115214</v>
      </c>
      <c r="P77" s="18">
        <v>1.9E-2</v>
      </c>
      <c r="Q77" s="18">
        <v>2.1844239225755651</v>
      </c>
      <c r="R77" s="21" t="s">
        <v>50</v>
      </c>
      <c r="S77" s="21">
        <v>1.865349972953132</v>
      </c>
      <c r="T77" s="21">
        <v>3.1103166343998061</v>
      </c>
      <c r="U77" s="21">
        <v>0.11052975213718511</v>
      </c>
      <c r="W77" s="18">
        <v>0.22850000000000001</v>
      </c>
      <c r="Y77" s="92">
        <v>0.48641899267904082</v>
      </c>
      <c r="Z77" s="20">
        <v>-6.7038102536799364</v>
      </c>
      <c r="AA77" s="10">
        <v>-33.800434577994899</v>
      </c>
      <c r="AB77" s="17">
        <v>2.8332507123012309</v>
      </c>
      <c r="AC77" s="18">
        <v>0.72745923507520005</v>
      </c>
      <c r="AD77" s="21">
        <v>0.28728433890805027</v>
      </c>
      <c r="AE77" s="21">
        <v>3.722963308578235</v>
      </c>
      <c r="AF77" s="21">
        <v>2.6266087771571481E-2</v>
      </c>
      <c r="AG77" s="21"/>
      <c r="AH77" s="21">
        <v>5.5422398022710997</v>
      </c>
      <c r="AI77" s="35"/>
    </row>
    <row r="78" spans="1:35">
      <c r="A78" s="13" t="s">
        <v>73</v>
      </c>
      <c r="B78" s="13" t="s">
        <v>74</v>
      </c>
      <c r="C78" s="13">
        <v>38</v>
      </c>
      <c r="E78" s="14">
        <v>44859</v>
      </c>
      <c r="H78" s="16">
        <v>16.5</v>
      </c>
      <c r="I78" s="16">
        <v>6.64</v>
      </c>
      <c r="J78" s="16">
        <v>38.36</v>
      </c>
      <c r="K78" s="17">
        <v>5.3458816258289863</v>
      </c>
      <c r="P78" s="18">
        <v>1.95E-2</v>
      </c>
      <c r="Q78" s="18">
        <v>2.124004058000986</v>
      </c>
      <c r="R78" s="21" t="s">
        <v>50</v>
      </c>
      <c r="S78" s="21">
        <v>1.567269812734738</v>
      </c>
      <c r="T78" s="21">
        <v>3.7093978107739329</v>
      </c>
      <c r="U78" s="21">
        <v>6.0413424714659172E-2</v>
      </c>
      <c r="W78" s="18">
        <v>0.12759999999999999</v>
      </c>
      <c r="Y78" s="92">
        <v>0.39442452308399267</v>
      </c>
      <c r="Z78" s="20">
        <v>-6.6942161039460002</v>
      </c>
      <c r="AA78" s="10">
        <v>-33.969241750805168</v>
      </c>
      <c r="AB78" s="17">
        <v>2.7232028986226591</v>
      </c>
      <c r="AC78" s="18">
        <v>0.69580430183508601</v>
      </c>
      <c r="AD78" s="21">
        <v>0.27476907252243399</v>
      </c>
      <c r="AE78" s="21">
        <v>3.579833916475879</v>
      </c>
      <c r="AF78" s="21">
        <v>2.664310857515096E-2</v>
      </c>
      <c r="AG78" s="21"/>
      <c r="AH78" s="21">
        <v>5.1617788057591021</v>
      </c>
    </row>
    <row r="79" spans="1:35">
      <c r="A79" s="13" t="s">
        <v>71</v>
      </c>
      <c r="B79" s="13" t="s">
        <v>72</v>
      </c>
      <c r="C79" s="13">
        <v>39</v>
      </c>
      <c r="E79" s="14">
        <v>44867</v>
      </c>
      <c r="I79" s="16">
        <v>6.67</v>
      </c>
      <c r="J79" s="16">
        <v>29.68</v>
      </c>
      <c r="K79" s="17">
        <v>4.3058690487198543</v>
      </c>
      <c r="P79" s="18">
        <v>2.3699999999999999E-2</v>
      </c>
      <c r="Q79" s="18">
        <v>1.906161386739138</v>
      </c>
      <c r="R79" s="21" t="s">
        <v>50</v>
      </c>
      <c r="S79" s="21">
        <v>1.9892563094015201</v>
      </c>
      <c r="T79" s="21">
        <v>2.2661136726009929</v>
      </c>
      <c r="U79" s="21">
        <v>2.2007552323265581E-2</v>
      </c>
      <c r="W79" s="18">
        <v>0.28710000000000002</v>
      </c>
      <c r="Y79" s="92">
        <v>0.56003586658906412</v>
      </c>
      <c r="Z79" s="20">
        <v>-6.3883136402178886</v>
      </c>
      <c r="AA79" s="10">
        <v>-32.080694471769718</v>
      </c>
      <c r="AB79" s="17">
        <v>2.5029982899055261</v>
      </c>
      <c r="AC79" s="18">
        <v>0.64284741489977071</v>
      </c>
      <c r="AD79" s="21">
        <v>0.24507396509286489</v>
      </c>
      <c r="AE79" s="21">
        <v>2.4132296310989871</v>
      </c>
      <c r="AF79" s="21">
        <v>2.687890664741566E-2</v>
      </c>
      <c r="AG79" s="21"/>
      <c r="AH79" s="21">
        <v>3.99235178828163</v>
      </c>
    </row>
    <row r="80" spans="1:35">
      <c r="A80" s="13" t="s">
        <v>73</v>
      </c>
      <c r="B80" s="13" t="s">
        <v>74</v>
      </c>
      <c r="C80" s="13">
        <v>39</v>
      </c>
      <c r="E80" s="14">
        <v>44867</v>
      </c>
      <c r="I80" s="16">
        <v>6.37</v>
      </c>
      <c r="J80" s="16">
        <v>31.36</v>
      </c>
      <c r="K80" s="17">
        <v>4.5462225407387411</v>
      </c>
      <c r="P80" s="18">
        <v>2.69E-2</v>
      </c>
      <c r="Q80" s="18">
        <v>1.950098678801887</v>
      </c>
      <c r="R80" s="21" t="s">
        <v>50</v>
      </c>
      <c r="S80" s="21">
        <v>1.531838338542588</v>
      </c>
      <c r="T80" s="21">
        <v>2.7451920370555678</v>
      </c>
      <c r="U80" s="21">
        <v>3.8554803982222142E-2</v>
      </c>
      <c r="W80" s="18">
        <v>0.15260000000000001</v>
      </c>
      <c r="Y80" s="92">
        <v>0.4173780191520185</v>
      </c>
      <c r="Z80" s="20">
        <v>-6.0246319601086036</v>
      </c>
      <c r="AA80" s="10">
        <v>-30.589319304549321</v>
      </c>
      <c r="AB80" s="17">
        <v>2.5874273948726532</v>
      </c>
      <c r="AC80" s="18">
        <v>0.68190360373034142</v>
      </c>
      <c r="AD80" s="21">
        <v>0.2046253534984438</v>
      </c>
      <c r="AE80" s="21">
        <v>2.4115864162744058</v>
      </c>
      <c r="AF80" s="21">
        <v>2.857993710334528E-2</v>
      </c>
      <c r="AG80" s="21"/>
      <c r="AH80" s="21">
        <v>4.0238443787997857</v>
      </c>
    </row>
    <row r="81" spans="1:36">
      <c r="A81" s="13" t="s">
        <v>71</v>
      </c>
      <c r="B81" s="13" t="s">
        <v>72</v>
      </c>
      <c r="C81" s="13">
        <v>40</v>
      </c>
      <c r="E81" s="14">
        <v>44873</v>
      </c>
      <c r="H81" s="16">
        <v>15.2</v>
      </c>
      <c r="I81" s="16">
        <v>7.15</v>
      </c>
      <c r="J81" s="16">
        <v>41.53</v>
      </c>
      <c r="K81" s="17">
        <v>5.879388682475299</v>
      </c>
      <c r="P81" s="18">
        <v>2.5399999999999999E-2</v>
      </c>
      <c r="Q81" s="18">
        <v>2.0856720433737341</v>
      </c>
      <c r="R81" s="21" t="s">
        <v>50</v>
      </c>
      <c r="S81" s="21">
        <v>1.858922734201488</v>
      </c>
      <c r="T81" s="21">
        <v>2.9564330237780112</v>
      </c>
      <c r="U81" s="21">
        <v>9.3968856049425467E-2</v>
      </c>
      <c r="W81" s="18">
        <v>0.1862</v>
      </c>
      <c r="Y81" s="92">
        <v>0.4705362032352205</v>
      </c>
      <c r="Z81" s="20">
        <v>-6.5267796009934411</v>
      </c>
      <c r="AA81" s="10">
        <v>-32.567916637953282</v>
      </c>
      <c r="AB81" s="17">
        <v>3.016048704260426</v>
      </c>
      <c r="AC81" s="18">
        <v>0.83868394504936084</v>
      </c>
      <c r="AD81" s="21">
        <v>0.20729188039761051</v>
      </c>
      <c r="AE81" s="21">
        <v>3.0535906026754849</v>
      </c>
      <c r="AF81" s="21">
        <v>2.9509609494508929E-2</v>
      </c>
      <c r="AG81" s="21"/>
      <c r="AH81" s="21">
        <v>5.0564921277181814</v>
      </c>
    </row>
    <row r="82" spans="1:36">
      <c r="A82" s="13" t="s">
        <v>73</v>
      </c>
      <c r="B82" s="13" t="s">
        <v>74</v>
      </c>
      <c r="C82" s="13">
        <v>40</v>
      </c>
      <c r="E82" s="14">
        <v>44873</v>
      </c>
      <c r="H82" s="16">
        <v>16.100000000000001</v>
      </c>
      <c r="I82" s="16">
        <v>6.46</v>
      </c>
      <c r="J82" s="16">
        <v>36.909999999999997</v>
      </c>
      <c r="K82" s="17">
        <v>5.0578190266699803</v>
      </c>
      <c r="P82" s="18">
        <v>2.4799999999999999E-2</v>
      </c>
      <c r="Q82" s="18">
        <v>1.738830122793825</v>
      </c>
      <c r="R82" s="21" t="s">
        <v>50</v>
      </c>
      <c r="S82" s="21">
        <v>1.5943309716244469</v>
      </c>
      <c r="T82" s="21">
        <v>2.7805140185617381</v>
      </c>
      <c r="U82" s="21">
        <v>3.509142572802193E-2</v>
      </c>
      <c r="W82" s="18">
        <v>0.14910000000000001</v>
      </c>
      <c r="Y82" s="92">
        <v>0.38895693011555438</v>
      </c>
      <c r="Z82" s="20">
        <v>-6.2061391472457146</v>
      </c>
      <c r="AA82" s="10">
        <v>-30.514387440237901</v>
      </c>
      <c r="AB82" s="17">
        <v>2.5810522006946321</v>
      </c>
      <c r="AC82" s="18">
        <v>0.75230622829308136</v>
      </c>
      <c r="AD82" s="21">
        <v>0.19964780484290109</v>
      </c>
      <c r="AE82" s="21">
        <v>2.7061990175924699</v>
      </c>
      <c r="AF82" s="21">
        <v>2.9130910495234769E-2</v>
      </c>
      <c r="AG82" s="21"/>
      <c r="AH82" s="21">
        <v>3.9437632129968958</v>
      </c>
    </row>
    <row r="83" spans="1:36">
      <c r="A83" s="13" t="s">
        <v>71</v>
      </c>
      <c r="B83" s="13" t="s">
        <v>72</v>
      </c>
      <c r="C83" s="13">
        <v>41</v>
      </c>
      <c r="E83" s="14">
        <v>44880</v>
      </c>
      <c r="H83" s="16">
        <v>18.2</v>
      </c>
      <c r="I83" s="16">
        <v>6.96</v>
      </c>
      <c r="J83" s="16">
        <v>24.89</v>
      </c>
      <c r="K83" s="17">
        <v>6.5717779563458949</v>
      </c>
      <c r="P83" s="18">
        <v>1.5900000000000001E-2</v>
      </c>
      <c r="Q83" s="18">
        <v>2.3006812778624388</v>
      </c>
      <c r="R83" s="21" t="s">
        <v>50</v>
      </c>
      <c r="S83" s="21">
        <v>1.7914246035053909</v>
      </c>
      <c r="T83" s="21">
        <v>3.4703982491312941</v>
      </c>
      <c r="U83" s="21">
        <v>6.2413631955601352E-2</v>
      </c>
      <c r="W83" s="18">
        <v>0.27787837729963438</v>
      </c>
      <c r="Y83" s="92">
        <v>0.48548704755623823</v>
      </c>
      <c r="Z83" s="20">
        <v>-6.6452263867171073</v>
      </c>
      <c r="AA83" s="10">
        <v>-33.714341152286273</v>
      </c>
      <c r="AB83" s="17">
        <v>3.3562153647060891</v>
      </c>
      <c r="AC83" s="18">
        <v>0.96193000560954423</v>
      </c>
      <c r="AD83" s="21">
        <v>0.28488760124632417</v>
      </c>
      <c r="AE83" s="21">
        <v>3.4209007799672859</v>
      </c>
      <c r="AF83" s="21">
        <v>3.1209429532527949E-2</v>
      </c>
      <c r="AG83" s="21"/>
      <c r="AH83" s="21">
        <v>5.6980032228057524</v>
      </c>
    </row>
    <row r="84" spans="1:36">
      <c r="A84" s="13" t="s">
        <v>73</v>
      </c>
      <c r="B84" s="13" t="s">
        <v>74</v>
      </c>
      <c r="C84" s="13">
        <v>41</v>
      </c>
      <c r="E84" s="14">
        <v>44880</v>
      </c>
      <c r="H84" s="16">
        <v>18.3</v>
      </c>
      <c r="I84" s="16">
        <v>6.35</v>
      </c>
      <c r="J84" s="16">
        <v>37.85</v>
      </c>
      <c r="K84" s="17">
        <v>6.6556737264816039</v>
      </c>
      <c r="P84" s="18">
        <v>3.1300000000000001E-2</v>
      </c>
      <c r="Q84" s="18">
        <v>2.398369338225955</v>
      </c>
      <c r="R84" s="21" t="s">
        <v>50</v>
      </c>
      <c r="S84" s="21">
        <v>1.5686704745610689</v>
      </c>
      <c r="T84" s="21">
        <v>4.2395395182560476</v>
      </c>
      <c r="U84" s="21">
        <v>0.1035893511999816</v>
      </c>
      <c r="W84" s="18">
        <v>0.20994952287282931</v>
      </c>
      <c r="Y84" s="92">
        <v>0.42707878644535358</v>
      </c>
      <c r="Z84" s="20">
        <v>-6.7116233173058664</v>
      </c>
      <c r="AA84" s="10">
        <v>-34.305873755132453</v>
      </c>
      <c r="AB84" s="17">
        <v>3.52433681216809</v>
      </c>
      <c r="AC84" s="18">
        <v>0.99526383238828853</v>
      </c>
      <c r="AD84" s="21">
        <v>0.2170980668734751</v>
      </c>
      <c r="AE84" s="21">
        <v>3.543944134584526</v>
      </c>
      <c r="AF84" s="21">
        <v>3.2433226833604348E-2</v>
      </c>
      <c r="AG84" s="21"/>
      <c r="AH84" s="21">
        <v>5.1363566952589386</v>
      </c>
    </row>
    <row r="85" spans="1:36">
      <c r="A85" s="13" t="s">
        <v>71</v>
      </c>
      <c r="B85" s="13" t="s">
        <v>72</v>
      </c>
      <c r="C85" s="13">
        <v>42</v>
      </c>
      <c r="E85" s="14">
        <v>44887</v>
      </c>
      <c r="H85" s="16">
        <v>19.899999999999999</v>
      </c>
      <c r="I85" s="16">
        <v>6.95</v>
      </c>
      <c r="J85" s="16">
        <v>51.82</v>
      </c>
      <c r="K85" s="17">
        <v>6.5844024164557036</v>
      </c>
      <c r="P85" s="18">
        <v>1.6299999999999999E-2</v>
      </c>
      <c r="Q85" s="18">
        <v>2.0713748811187451</v>
      </c>
      <c r="R85" s="21" t="s">
        <v>50</v>
      </c>
      <c r="S85" s="21">
        <v>2.0226710217970441</v>
      </c>
      <c r="T85" s="21">
        <v>3.4424455617406808</v>
      </c>
      <c r="U85" s="21">
        <v>8.4129409691093157E-2</v>
      </c>
      <c r="W85" s="18">
        <v>0.1348</v>
      </c>
      <c r="Y85" s="92">
        <v>0.53603903940022546</v>
      </c>
      <c r="Z85" s="20">
        <v>-6.4600490174871501</v>
      </c>
      <c r="AA85" s="10">
        <v>-32.47548966875857</v>
      </c>
      <c r="AB85" s="17">
        <v>3.278673588753485</v>
      </c>
      <c r="AC85" s="18">
        <v>0.98646791369272835</v>
      </c>
      <c r="AD85" s="21">
        <v>0.24159880960348079</v>
      </c>
      <c r="AE85" s="21">
        <v>3.495637569708737</v>
      </c>
      <c r="AF85" s="21">
        <v>3.1620286733853573E-2</v>
      </c>
      <c r="AG85" s="21"/>
      <c r="AH85" s="21">
        <v>5.4125833832528407</v>
      </c>
    </row>
    <row r="86" spans="1:36">
      <c r="A86" s="13" t="s">
        <v>73</v>
      </c>
      <c r="B86" s="13" t="s">
        <v>74</v>
      </c>
      <c r="C86" s="13">
        <v>42</v>
      </c>
      <c r="E86" s="14">
        <v>44887</v>
      </c>
      <c r="H86" s="16">
        <v>19.7</v>
      </c>
      <c r="I86" s="16">
        <v>6.57</v>
      </c>
      <c r="J86" s="16">
        <v>47.15</v>
      </c>
      <c r="K86" s="17">
        <v>7.1750989782151793</v>
      </c>
      <c r="P86" s="18">
        <v>2.53E-2</v>
      </c>
      <c r="Q86" s="18">
        <v>1.9630978603201741</v>
      </c>
      <c r="R86" s="21" t="s">
        <v>50</v>
      </c>
      <c r="S86" s="21">
        <v>1.6565827882228841</v>
      </c>
      <c r="T86" s="21">
        <v>3.765523093332106</v>
      </c>
      <c r="U86" s="21">
        <v>5.330563630982952E-2</v>
      </c>
      <c r="W86" s="18">
        <v>0.1139</v>
      </c>
      <c r="Y86" s="92">
        <v>0.44804132155775578</v>
      </c>
      <c r="Z86" s="20">
        <v>-6.1904574601217366</v>
      </c>
      <c r="AA86" s="10">
        <v>-30.99005623527211</v>
      </c>
      <c r="AB86" s="17">
        <v>3.291688106138146</v>
      </c>
      <c r="AC86" s="18">
        <v>1.0411093085554119</v>
      </c>
      <c r="AD86" s="21">
        <v>0.20446990241092619</v>
      </c>
      <c r="AE86" s="21">
        <v>3.7219497786591389</v>
      </c>
      <c r="AF86" s="21">
        <v>3.3099000935891798E-2</v>
      </c>
      <c r="AG86" s="21"/>
      <c r="AH86" s="21">
        <v>4.8517709649501786</v>
      </c>
    </row>
    <row r="87" spans="1:36">
      <c r="A87" s="13" t="s">
        <v>71</v>
      </c>
      <c r="B87" s="13" t="s">
        <v>72</v>
      </c>
      <c r="C87" s="13">
        <v>43</v>
      </c>
      <c r="E87" s="14">
        <v>44894</v>
      </c>
      <c r="H87" s="16">
        <v>14.2</v>
      </c>
      <c r="I87" s="16">
        <v>6.93</v>
      </c>
      <c r="J87" s="16">
        <v>42.65</v>
      </c>
      <c r="K87" s="17">
        <v>7.2204513330416162</v>
      </c>
      <c r="P87" s="18">
        <v>1.2500000000000001E-2</v>
      </c>
      <c r="Q87" s="18">
        <v>2.188646355648904</v>
      </c>
      <c r="R87" s="21" t="s">
        <v>50</v>
      </c>
      <c r="S87" s="21">
        <v>1.795124858433399</v>
      </c>
      <c r="T87" s="21">
        <v>3.4835876345345582</v>
      </c>
      <c r="U87" s="21">
        <v>8.5579940203152627E-2</v>
      </c>
      <c r="W87" s="18">
        <v>0.15310000000000001</v>
      </c>
      <c r="Y87" s="92">
        <v>0.38307103033717121</v>
      </c>
      <c r="Z87" s="20">
        <v>-6.567823229496546</v>
      </c>
      <c r="AA87" s="10">
        <v>-32.453890338678548</v>
      </c>
      <c r="AB87" s="17">
        <v>3.2525932422413342</v>
      </c>
      <c r="AC87" s="18">
        <v>0.95883860711336477</v>
      </c>
      <c r="AD87" s="21">
        <v>0.1855728870151851</v>
      </c>
      <c r="AE87" s="21">
        <v>3.5960830144999312</v>
      </c>
      <c r="AF87" s="21">
        <v>2.6627924210358801E-2</v>
      </c>
      <c r="AG87" s="21"/>
      <c r="AH87" s="21">
        <v>5.3026800314844333</v>
      </c>
    </row>
    <row r="88" spans="1:36" s="39" customFormat="1" ht="16.2">
      <c r="A88" s="36" t="s">
        <v>73</v>
      </c>
      <c r="B88" s="36" t="s">
        <v>74</v>
      </c>
      <c r="C88" s="36">
        <v>43</v>
      </c>
      <c r="D88" s="37"/>
      <c r="E88" s="37">
        <v>44894</v>
      </c>
      <c r="F88" s="38"/>
      <c r="H88" s="39">
        <v>13.1</v>
      </c>
      <c r="I88" s="39">
        <v>6.69</v>
      </c>
      <c r="J88" s="39">
        <v>44.08</v>
      </c>
      <c r="K88" s="40">
        <v>6.7678298878258207</v>
      </c>
      <c r="M88" s="36"/>
      <c r="N88" s="36"/>
      <c r="O88" s="36"/>
      <c r="P88" s="41">
        <v>1.6799999999999999E-2</v>
      </c>
      <c r="Q88" s="41">
        <v>2.1960187840690781</v>
      </c>
      <c r="R88" s="42" t="s">
        <v>50</v>
      </c>
      <c r="S88" s="42">
        <v>1.5654351022030659</v>
      </c>
      <c r="T88" s="42">
        <v>4.2707019697159332</v>
      </c>
      <c r="U88" s="42">
        <v>3.7712433305190272E-2</v>
      </c>
      <c r="V88" s="42"/>
      <c r="W88" s="41">
        <v>0.13980000000000001</v>
      </c>
      <c r="X88" s="43"/>
      <c r="Y88" s="98">
        <v>0.31964896623055189</v>
      </c>
      <c r="Z88" s="40">
        <v>-6.5678232294965451</v>
      </c>
      <c r="AA88" s="44">
        <v>-32.630717886309498</v>
      </c>
      <c r="AB88" s="40">
        <v>3.2264897472152101</v>
      </c>
      <c r="AC88" s="41">
        <v>1.023504412383877</v>
      </c>
      <c r="AD88" s="42">
        <v>0.18330950234609791</v>
      </c>
      <c r="AE88" s="42">
        <v>3.7188712731612079</v>
      </c>
      <c r="AF88" s="42">
        <v>2.9083877136890049E-2</v>
      </c>
      <c r="AG88" s="42"/>
      <c r="AH88" s="42">
        <v>5.0251862756499337</v>
      </c>
      <c r="AI88" s="45"/>
      <c r="AJ88" s="40"/>
    </row>
    <row r="89" spans="1:36">
      <c r="A89" s="13" t="s">
        <v>162</v>
      </c>
      <c r="B89" s="13" t="s">
        <v>72</v>
      </c>
      <c r="C89" s="13">
        <v>44</v>
      </c>
      <c r="E89" s="14">
        <v>44901</v>
      </c>
      <c r="H89" s="16">
        <v>17.100000000000001</v>
      </c>
      <c r="I89" s="16">
        <v>7.02</v>
      </c>
      <c r="J89" s="16">
        <v>45.08</v>
      </c>
      <c r="K89" s="17">
        <v>6.9463328655995884</v>
      </c>
      <c r="P89" s="18">
        <v>3.0300000000000001E-2</v>
      </c>
      <c r="Q89" s="18">
        <v>2.218894240328622</v>
      </c>
      <c r="R89" s="21" t="s">
        <v>50</v>
      </c>
      <c r="S89" s="21">
        <v>1.8841308929110001</v>
      </c>
      <c r="T89" s="21">
        <v>3.7031902635144358</v>
      </c>
      <c r="U89" s="21">
        <v>0.12982364841742811</v>
      </c>
      <c r="W89" s="18">
        <v>0.21740000000000001</v>
      </c>
      <c r="Y89" s="92">
        <v>0.39713534219966429</v>
      </c>
      <c r="Z89" s="20">
        <v>-6.4540671185240708</v>
      </c>
      <c r="AA89" s="10">
        <v>-31.6103248867872</v>
      </c>
      <c r="AB89" s="17">
        <v>3.4225711968267958</v>
      </c>
      <c r="AC89" s="18">
        <v>0.95423201639404975</v>
      </c>
      <c r="AD89" s="21">
        <v>0.1662778810841041</v>
      </c>
      <c r="AE89" s="21">
        <v>3.6164103092718749</v>
      </c>
      <c r="AF89" s="21">
        <v>2.6740878700258621E-2</v>
      </c>
      <c r="AG89" s="21"/>
      <c r="AH89" s="21">
        <v>5.1966793181466517</v>
      </c>
    </row>
    <row r="90" spans="1:36" ht="16.2">
      <c r="A90" s="13" t="s">
        <v>161</v>
      </c>
      <c r="B90" s="13" t="s">
        <v>74</v>
      </c>
      <c r="C90" s="13">
        <v>44</v>
      </c>
      <c r="E90" s="14">
        <v>44901</v>
      </c>
      <c r="H90" s="16">
        <v>18.399999999999999</v>
      </c>
      <c r="I90" s="16">
        <v>6.7</v>
      </c>
      <c r="J90" s="16">
        <v>45.02</v>
      </c>
      <c r="K90" s="17">
        <v>6.8722060523327952</v>
      </c>
      <c r="P90" s="18">
        <v>2.3400000000000001E-2</v>
      </c>
      <c r="Q90" s="18">
        <v>2.1922392856885131</v>
      </c>
      <c r="R90" s="21" t="s">
        <v>50</v>
      </c>
      <c r="S90" s="21">
        <v>1.570938909580633</v>
      </c>
      <c r="T90" s="21">
        <v>4.4904919591236867</v>
      </c>
      <c r="U90" s="21">
        <v>0.10334684132790301</v>
      </c>
      <c r="W90" s="18">
        <v>0.14560000000000001</v>
      </c>
      <c r="Y90" s="92">
        <v>0.30353059133943772</v>
      </c>
      <c r="Z90" s="20">
        <v>-6.500258993888651</v>
      </c>
      <c r="AA90" s="10">
        <v>-31.984266125180721</v>
      </c>
      <c r="AB90" s="17">
        <v>3.2499900199598519</v>
      </c>
      <c r="AC90" s="18">
        <v>1.018621829548608</v>
      </c>
      <c r="AD90" s="21">
        <v>0.17677466835923419</v>
      </c>
      <c r="AE90" s="21">
        <v>3.6840906330103378</v>
      </c>
      <c r="AF90" s="21">
        <v>2.8825539685790231E-2</v>
      </c>
      <c r="AG90" s="21"/>
      <c r="AH90" s="21">
        <v>4.9910581412150501</v>
      </c>
      <c r="AI90" s="46"/>
    </row>
    <row r="91" spans="1:36">
      <c r="A91" s="13" t="s">
        <v>162</v>
      </c>
      <c r="B91" s="13" t="s">
        <v>72</v>
      </c>
      <c r="C91" s="13">
        <v>45</v>
      </c>
      <c r="E91" s="14">
        <v>44908</v>
      </c>
      <c r="H91" s="16">
        <v>13.9</v>
      </c>
      <c r="I91" s="16">
        <v>6.82</v>
      </c>
      <c r="J91" s="16">
        <v>31.09</v>
      </c>
      <c r="K91" s="17">
        <v>6.635432092854586</v>
      </c>
      <c r="P91" s="18">
        <v>2.24E-2</v>
      </c>
      <c r="Q91" s="18">
        <v>2.0142884072483871</v>
      </c>
      <c r="R91" s="21" t="s">
        <v>50</v>
      </c>
      <c r="S91" s="21">
        <v>1.8945440711963251</v>
      </c>
      <c r="T91" s="21">
        <v>3.4645747009524168</v>
      </c>
      <c r="U91" s="21">
        <v>9.0924768269023501E-2</v>
      </c>
      <c r="W91" s="18">
        <v>0.161</v>
      </c>
      <c r="Y91" s="92">
        <v>0.42290315111154142</v>
      </c>
      <c r="Z91" s="20">
        <v>-6.3151467769425329</v>
      </c>
      <c r="AA91" s="10">
        <v>-30.234248177689881</v>
      </c>
      <c r="AB91" s="17">
        <v>3.1197493072804972</v>
      </c>
      <c r="AC91" s="18">
        <v>0.91366296466688901</v>
      </c>
      <c r="AD91" s="21">
        <v>0.15987715016876891</v>
      </c>
      <c r="AE91" s="21">
        <v>3.4164474184512921</v>
      </c>
      <c r="AF91" s="21">
        <v>2.5484152384454759E-2</v>
      </c>
      <c r="AG91" s="21"/>
      <c r="AH91" s="21">
        <v>4.9827787983044178</v>
      </c>
    </row>
    <row r="92" spans="1:36">
      <c r="A92" s="13" t="s">
        <v>161</v>
      </c>
      <c r="B92" s="13" t="s">
        <v>74</v>
      </c>
      <c r="C92" s="13">
        <v>45</v>
      </c>
      <c r="E92" s="14">
        <v>44908</v>
      </c>
      <c r="H92" s="16">
        <v>13.8</v>
      </c>
      <c r="I92" s="16">
        <v>6.81</v>
      </c>
      <c r="J92" s="16">
        <v>44.17</v>
      </c>
      <c r="K92" s="17">
        <v>7.9348576288322237</v>
      </c>
      <c r="P92" s="18">
        <v>2.4299999999999999E-2</v>
      </c>
      <c r="Q92" s="18">
        <v>1.9759382107445209</v>
      </c>
      <c r="R92" s="21" t="s">
        <v>50</v>
      </c>
      <c r="S92" s="21">
        <v>1.63498201210037</v>
      </c>
      <c r="T92" s="21">
        <v>3.9508247115203772</v>
      </c>
      <c r="U92" s="21">
        <v>5.7004922037795509E-2</v>
      </c>
      <c r="W92" s="18">
        <v>0.12379999999999999</v>
      </c>
      <c r="Y92" s="92">
        <v>0.33301102305628549</v>
      </c>
      <c r="Z92" s="20">
        <v>-6.3251435260885982</v>
      </c>
      <c r="AA92" s="10">
        <v>-30.392141991731261</v>
      </c>
      <c r="AB92" s="17">
        <v>3.085437596129657</v>
      </c>
      <c r="AC92" s="18">
        <v>0.99092956707043023</v>
      </c>
      <c r="AD92" s="21">
        <v>0.1753654755406325</v>
      </c>
      <c r="AE92" s="21">
        <v>3.5615295598900789</v>
      </c>
      <c r="AF92" s="21">
        <v>2.8276849678659871E-2</v>
      </c>
      <c r="AG92" s="21"/>
      <c r="AH92" s="21">
        <v>4.7574030006644978</v>
      </c>
    </row>
    <row r="93" spans="1:36" ht="16.2">
      <c r="A93" s="13" t="s">
        <v>162</v>
      </c>
      <c r="B93" s="13" t="s">
        <v>72</v>
      </c>
      <c r="C93" s="13">
        <v>46</v>
      </c>
      <c r="E93" s="14">
        <v>44915</v>
      </c>
      <c r="H93" s="16">
        <v>13</v>
      </c>
      <c r="I93" s="16">
        <v>6.91</v>
      </c>
      <c r="J93" s="16">
        <v>40.24</v>
      </c>
      <c r="K93" s="17">
        <v>7.1363358438761617</v>
      </c>
      <c r="P93" s="18">
        <v>5.8700000000000002E-2</v>
      </c>
      <c r="Q93" s="18">
        <v>2.5747060655000391</v>
      </c>
      <c r="R93" s="21" t="s">
        <v>50</v>
      </c>
      <c r="S93" s="21">
        <v>1.8242580007968821</v>
      </c>
      <c r="T93" s="21">
        <v>3.4902733645534658</v>
      </c>
      <c r="U93" s="21">
        <v>0.1060456635769203</v>
      </c>
      <c r="W93" s="18">
        <v>0.27010000000000001</v>
      </c>
      <c r="Y93" s="92">
        <v>0.39656777171881541</v>
      </c>
      <c r="Z93" s="20">
        <v>-6.412356544500831</v>
      </c>
      <c r="AA93" s="10">
        <v>-31.174172809456611</v>
      </c>
      <c r="AB93" s="17">
        <v>3.7333714262086071</v>
      </c>
      <c r="AC93" s="18">
        <v>0.8927805788777905</v>
      </c>
      <c r="AD93" s="21">
        <v>0.15936291702181379</v>
      </c>
      <c r="AE93" s="21">
        <v>3.2853469392407102</v>
      </c>
      <c r="AF93" s="21">
        <v>2.608192188380612E-2</v>
      </c>
      <c r="AG93" s="21"/>
      <c r="AH93" s="21">
        <v>5.1162375239862596</v>
      </c>
      <c r="AI93" s="46"/>
    </row>
    <row r="94" spans="1:36" ht="16.2">
      <c r="A94" s="13" t="s">
        <v>161</v>
      </c>
      <c r="B94" s="13" t="s">
        <v>74</v>
      </c>
      <c r="C94" s="13">
        <v>46</v>
      </c>
      <c r="E94" s="14">
        <v>44915</v>
      </c>
      <c r="H94" s="16">
        <v>12.5</v>
      </c>
      <c r="I94" s="16">
        <v>6.8</v>
      </c>
      <c r="J94" s="16">
        <v>41.09</v>
      </c>
      <c r="K94" s="17">
        <v>6.4769089173929846</v>
      </c>
      <c r="P94" s="18">
        <v>1.9400000000000001E-2</v>
      </c>
      <c r="Q94" s="18">
        <v>2.0883522371100272</v>
      </c>
      <c r="R94" s="21" t="s">
        <v>50</v>
      </c>
      <c r="S94" s="21">
        <v>1.553074142849268</v>
      </c>
      <c r="T94" s="21">
        <v>4.1283837028364303</v>
      </c>
      <c r="U94" s="21">
        <v>7.0491125961054835E-2</v>
      </c>
      <c r="W94" s="18">
        <v>0.11409999999999999</v>
      </c>
      <c r="Y94" s="92">
        <v>0.31793952129860931</v>
      </c>
      <c r="Z94" s="20">
        <v>-6.4309711808417802</v>
      </c>
      <c r="AA94" s="10">
        <v>-31.22455006490021</v>
      </c>
      <c r="AB94" s="17">
        <v>2.9459714981159739</v>
      </c>
      <c r="AC94" s="18">
        <v>0.94268148886013758</v>
      </c>
      <c r="AD94" s="21">
        <v>0.1524019894920213</v>
      </c>
      <c r="AE94" s="21">
        <v>3.4015587615166321</v>
      </c>
      <c r="AF94" s="21">
        <v>2.725837800848124E-2</v>
      </c>
      <c r="AG94" s="21"/>
      <c r="AH94" s="21">
        <v>4.8516548484842783</v>
      </c>
      <c r="AI94" s="46"/>
    </row>
    <row r="95" spans="1:36" ht="16.2">
      <c r="A95" s="13" t="s">
        <v>162</v>
      </c>
      <c r="B95" s="13" t="s">
        <v>72</v>
      </c>
      <c r="C95" s="13">
        <v>47</v>
      </c>
      <c r="E95" s="14">
        <v>44922</v>
      </c>
      <c r="H95" s="16">
        <v>14.5</v>
      </c>
      <c r="I95" s="16">
        <v>7.1</v>
      </c>
      <c r="J95" s="16">
        <v>44.5</v>
      </c>
      <c r="K95" s="17">
        <v>7.2492058012625664</v>
      </c>
      <c r="P95" s="18">
        <v>2.0199999999999999E-2</v>
      </c>
      <c r="Q95" s="18">
        <v>2.1930316494950768</v>
      </c>
      <c r="R95" s="21" t="s">
        <v>50</v>
      </c>
      <c r="S95" s="21">
        <v>1.762049182461638</v>
      </c>
      <c r="T95" s="21">
        <v>3.9762281123670031</v>
      </c>
      <c r="U95" s="21">
        <v>0.1326093985772796</v>
      </c>
      <c r="W95" s="18">
        <v>0.1321</v>
      </c>
      <c r="Y95" s="92">
        <v>0.38567922005347588</v>
      </c>
      <c r="Z95" s="20">
        <v>-6.5016378558398316</v>
      </c>
      <c r="AA95" s="10">
        <v>-31.869649416486869</v>
      </c>
      <c r="AB95" s="17">
        <v>3.2529733306523139</v>
      </c>
      <c r="AC95" s="18">
        <v>0.99712758322794215</v>
      </c>
      <c r="AD95" s="21">
        <v>0.1585349613098577</v>
      </c>
      <c r="AE95" s="21">
        <v>3.6218482910602008</v>
      </c>
      <c r="AF95" s="21">
        <v>2.7215324406947999E-2</v>
      </c>
      <c r="AG95" s="21"/>
      <c r="AH95" s="21">
        <v>5.2329371360600998</v>
      </c>
      <c r="AI95" s="46"/>
    </row>
    <row r="96" spans="1:36" ht="16.2">
      <c r="A96" s="13" t="s">
        <v>161</v>
      </c>
      <c r="B96" s="13" t="s">
        <v>74</v>
      </c>
      <c r="C96" s="13">
        <v>47</v>
      </c>
      <c r="E96" s="14">
        <v>44922</v>
      </c>
      <c r="H96" s="16">
        <v>15.3</v>
      </c>
      <c r="I96" s="16">
        <v>7.3</v>
      </c>
      <c r="J96" s="16">
        <v>45.69</v>
      </c>
      <c r="K96" s="17">
        <v>6.7920793347944786</v>
      </c>
      <c r="P96" s="18">
        <v>2.9899999999999999E-2</v>
      </c>
      <c r="Q96" s="18">
        <v>2.223849409787745</v>
      </c>
      <c r="R96" s="21" t="s">
        <v>50</v>
      </c>
      <c r="S96" s="21">
        <v>1.5249853862665459</v>
      </c>
      <c r="T96" s="21">
        <v>4.8307856283282939</v>
      </c>
      <c r="U96" s="21">
        <v>9.9915570884529722E-2</v>
      </c>
      <c r="W96" s="18">
        <v>0.1532</v>
      </c>
      <c r="Y96" s="92">
        <v>0.34109786399709779</v>
      </c>
      <c r="Z96" s="20">
        <v>-6.4644085831579323</v>
      </c>
      <c r="AA96" s="10">
        <v>-31.898726221642239</v>
      </c>
      <c r="AB96" s="17">
        <v>3.299247870520841</v>
      </c>
      <c r="AC96" s="18">
        <v>1.05025185206654</v>
      </c>
      <c r="AD96" s="21">
        <v>0.19108025454741079</v>
      </c>
      <c r="AE96" s="21">
        <v>3.7684605051892648</v>
      </c>
      <c r="AF96" s="21">
        <v>2.966573586504119E-2</v>
      </c>
      <c r="AG96" s="21"/>
      <c r="AH96" s="21">
        <v>4.9616048125435102</v>
      </c>
      <c r="AI96" s="46"/>
    </row>
    <row r="97" spans="1:36" ht="16.2">
      <c r="A97" s="13" t="s">
        <v>162</v>
      </c>
      <c r="B97" s="13" t="s">
        <v>72</v>
      </c>
      <c r="C97" s="13">
        <v>48</v>
      </c>
      <c r="E97" s="14">
        <v>44929</v>
      </c>
      <c r="H97" s="16">
        <v>14.2</v>
      </c>
      <c r="I97" s="16">
        <v>6.88</v>
      </c>
      <c r="J97" s="16">
        <v>35.770000000000003</v>
      </c>
      <c r="K97" s="17">
        <v>5.7781384723650451</v>
      </c>
      <c r="P97" s="18">
        <v>3.3099999999999997E-2</v>
      </c>
      <c r="Q97" s="18">
        <v>1.8679021466637959</v>
      </c>
      <c r="R97" s="21" t="s">
        <v>50</v>
      </c>
      <c r="S97" s="21">
        <v>1.850350735878872</v>
      </c>
      <c r="T97" s="21">
        <v>3.245804843730824</v>
      </c>
      <c r="U97" s="21">
        <v>0.12688797873104829</v>
      </c>
      <c r="W97" s="18">
        <v>0.36982466294837502</v>
      </c>
      <c r="Y97" s="92">
        <v>0.46747672310530253</v>
      </c>
      <c r="Z97" s="20">
        <v>-6.0269646291455974</v>
      </c>
      <c r="AA97" s="10">
        <v>-26.79067538109128</v>
      </c>
      <c r="AB97" s="17">
        <v>2.7757280495750121</v>
      </c>
      <c r="AC97" s="18">
        <v>0.80409053214836745</v>
      </c>
      <c r="AD97" s="21">
        <v>0.16364657643696831</v>
      </c>
      <c r="AE97" s="21">
        <v>3.0464889330282499</v>
      </c>
      <c r="AF97" s="21">
        <v>2.3008086738975409E-2</v>
      </c>
      <c r="AG97" s="21"/>
      <c r="AH97" s="21">
        <v>4.6266609033576138</v>
      </c>
      <c r="AI97" s="46"/>
    </row>
    <row r="98" spans="1:36" ht="16.2">
      <c r="A98" s="13" t="s">
        <v>161</v>
      </c>
      <c r="B98" s="13" t="s">
        <v>74</v>
      </c>
      <c r="C98" s="13">
        <v>48</v>
      </c>
      <c r="E98" s="14">
        <v>44929</v>
      </c>
      <c r="H98" s="16">
        <v>14.9</v>
      </c>
      <c r="I98" s="16">
        <v>6.66</v>
      </c>
      <c r="J98" s="16">
        <v>37.159999999999997</v>
      </c>
      <c r="K98" s="17">
        <v>6.199426433626325</v>
      </c>
      <c r="P98" s="18">
        <v>1.5800000000000002E-2</v>
      </c>
      <c r="Q98" s="18">
        <v>1.6613838438510851</v>
      </c>
      <c r="R98" s="21" t="s">
        <v>50</v>
      </c>
      <c r="S98" s="21">
        <v>1.4636803600356041</v>
      </c>
      <c r="T98" s="21">
        <v>3.2519714105626449</v>
      </c>
      <c r="U98" s="21">
        <v>4.1066681037579947E-2</v>
      </c>
      <c r="W98" s="18">
        <v>0.15055881189090589</v>
      </c>
      <c r="Y98" s="92">
        <v>0.31509839228532088</v>
      </c>
      <c r="Z98" s="20">
        <v>-6.1241743967038937</v>
      </c>
      <c r="AA98" s="10">
        <v>-28.57788459099017</v>
      </c>
      <c r="AB98" s="17">
        <v>2.5963702021877411</v>
      </c>
      <c r="AC98" s="18">
        <v>0.83212153189233162</v>
      </c>
      <c r="AD98" s="21">
        <v>0.13570646871528941</v>
      </c>
      <c r="AE98" s="18">
        <v>3.062397138194124</v>
      </c>
      <c r="AF98" s="18">
        <v>2.478057521668111E-2</v>
      </c>
      <c r="AG98" s="21"/>
      <c r="AH98" s="21">
        <v>4.2561175756982124</v>
      </c>
      <c r="AI98" s="46"/>
    </row>
    <row r="99" spans="1:36" ht="16.2">
      <c r="A99" s="13" t="s">
        <v>162</v>
      </c>
      <c r="B99" s="13" t="s">
        <v>72</v>
      </c>
      <c r="C99" s="13">
        <v>49</v>
      </c>
      <c r="E99" s="14">
        <v>44936</v>
      </c>
      <c r="H99" s="16">
        <v>15.4</v>
      </c>
      <c r="I99" s="16">
        <v>7.19</v>
      </c>
      <c r="J99" s="16">
        <v>42.6</v>
      </c>
      <c r="K99" s="17">
        <v>6.5829041017222334</v>
      </c>
      <c r="P99" s="18">
        <v>1.6899999999999998E-2</v>
      </c>
      <c r="Q99" s="18">
        <v>2.104767755393381</v>
      </c>
      <c r="R99" s="21" t="s">
        <v>50</v>
      </c>
      <c r="S99" s="21">
        <v>1.8432593974975939</v>
      </c>
      <c r="T99" s="21">
        <v>3.54237916066262</v>
      </c>
      <c r="U99" s="21">
        <v>0.10168255708742049</v>
      </c>
      <c r="W99" s="18">
        <v>0.21478476327773349</v>
      </c>
      <c r="Y99" s="92">
        <v>0.38102775939064543</v>
      </c>
      <c r="Z99" s="20">
        <v>-6.4174183274486998</v>
      </c>
      <c r="AA99" s="10">
        <v>-29.759949825733131</v>
      </c>
      <c r="AB99" s="17">
        <v>3.1705717300469871</v>
      </c>
      <c r="AC99" s="18">
        <v>0.98286747193904977</v>
      </c>
      <c r="AD99" s="21">
        <v>0.18519640313391769</v>
      </c>
      <c r="AE99" s="21">
        <v>3.538896764890513</v>
      </c>
      <c r="AF99" s="18">
        <v>2.7506051195435331E-2</v>
      </c>
      <c r="AG99" s="21"/>
      <c r="AH99" s="21">
        <v>5.2531813792283772</v>
      </c>
      <c r="AI99" s="46"/>
    </row>
    <row r="100" spans="1:36" ht="16.2">
      <c r="A100" s="13" t="s">
        <v>161</v>
      </c>
      <c r="B100" s="13" t="s">
        <v>74</v>
      </c>
      <c r="C100" s="13">
        <v>49</v>
      </c>
      <c r="E100" s="14">
        <v>44936</v>
      </c>
      <c r="H100" s="16">
        <v>14.9</v>
      </c>
      <c r="I100" s="16">
        <v>6.8</v>
      </c>
      <c r="J100" s="16">
        <v>44.33</v>
      </c>
      <c r="K100" s="17">
        <v>6.745146218221751</v>
      </c>
      <c r="P100" s="18">
        <v>1.77E-2</v>
      </c>
      <c r="Q100" s="18">
        <v>2.128355273815572</v>
      </c>
      <c r="R100" s="21" t="s">
        <v>50</v>
      </c>
      <c r="S100" s="21">
        <v>1.5581872252147411</v>
      </c>
      <c r="T100" s="21">
        <v>4.3317664961315616</v>
      </c>
      <c r="U100" s="21">
        <v>7.2600063439975632E-2</v>
      </c>
      <c r="W100" s="18">
        <v>0.1777337681540134</v>
      </c>
      <c r="Y100" s="92">
        <v>0.32936196033552761</v>
      </c>
      <c r="Z100" s="20">
        <v>-6.4188048773528434</v>
      </c>
      <c r="AA100" s="10">
        <v>-30.644289262189719</v>
      </c>
      <c r="AB100" s="17">
        <v>3.1789401928998231</v>
      </c>
      <c r="AC100" s="18">
        <v>1.0558138268715731</v>
      </c>
      <c r="AD100" s="21">
        <v>0.15314320432304809</v>
      </c>
      <c r="AE100" s="21">
        <v>3.723567622132812</v>
      </c>
      <c r="AF100" s="18">
        <v>2.9462678184947289E-2</v>
      </c>
      <c r="AG100" s="21"/>
      <c r="AH100" s="21">
        <v>4.9569306720446047</v>
      </c>
      <c r="AI100" s="46"/>
    </row>
    <row r="101" spans="1:36" ht="16.2">
      <c r="A101" s="13" t="s">
        <v>162</v>
      </c>
      <c r="B101" s="13" t="s">
        <v>72</v>
      </c>
      <c r="C101" s="13">
        <v>50</v>
      </c>
      <c r="E101" s="14">
        <v>44943</v>
      </c>
      <c r="H101" s="16">
        <v>16.100000000000001</v>
      </c>
      <c r="I101" s="16">
        <v>7.53</v>
      </c>
      <c r="J101" s="16">
        <v>45.36</v>
      </c>
      <c r="K101" s="17">
        <v>6.9487646681406678</v>
      </c>
      <c r="P101" s="18">
        <v>0.14148185126480911</v>
      </c>
      <c r="Q101" s="18">
        <v>2.1965893587772851</v>
      </c>
      <c r="R101" s="21" t="s">
        <v>50</v>
      </c>
      <c r="S101" s="21">
        <v>1.816238718564684</v>
      </c>
      <c r="T101" s="21">
        <v>4.0079929340988416</v>
      </c>
      <c r="U101" s="21">
        <v>0.109271599764589</v>
      </c>
      <c r="W101" s="18">
        <v>0.14663949468409851</v>
      </c>
      <c r="Y101" s="92">
        <v>0.35350015443251043</v>
      </c>
      <c r="Z101" s="20">
        <v>-6.5089306211220794</v>
      </c>
      <c r="AA101" s="10">
        <v>-31.182730999993751</v>
      </c>
      <c r="AB101" s="17">
        <v>3.3540984856648741</v>
      </c>
      <c r="AC101" s="18">
        <v>1.0518919724106151</v>
      </c>
      <c r="AD101" s="21">
        <v>0.20015823443908651</v>
      </c>
      <c r="AE101" s="21">
        <v>3.7376381122016409</v>
      </c>
      <c r="AF101" s="21">
        <v>2.9027476966015479E-2</v>
      </c>
      <c r="AG101" s="21"/>
      <c r="AH101" s="21">
        <v>5.3515603994191387</v>
      </c>
      <c r="AI101" s="46"/>
    </row>
    <row r="102" spans="1:36" ht="16.2">
      <c r="A102" s="13" t="s">
        <v>161</v>
      </c>
      <c r="B102" s="13" t="s">
        <v>74</v>
      </c>
      <c r="C102" s="13">
        <v>50</v>
      </c>
      <c r="E102" s="14">
        <v>44943</v>
      </c>
      <c r="H102" s="16">
        <v>16.3</v>
      </c>
      <c r="I102" s="16">
        <v>7.68</v>
      </c>
      <c r="J102" s="16">
        <v>44.66</v>
      </c>
      <c r="K102" s="17">
        <v>7.1102186321061058</v>
      </c>
      <c r="P102" s="18">
        <v>5.5089489585028233E-2</v>
      </c>
      <c r="Q102" s="18">
        <v>2.1654315996772149</v>
      </c>
      <c r="R102" s="21" t="s">
        <v>50</v>
      </c>
      <c r="S102" s="21">
        <v>1.5694007119960911</v>
      </c>
      <c r="T102" s="21">
        <v>4.8238176983180079</v>
      </c>
      <c r="U102" s="21">
        <v>7.6165376256918632E-2</v>
      </c>
      <c r="W102" s="18">
        <v>0.1097971050305564</v>
      </c>
      <c r="Y102" s="92">
        <v>0.28057517063172321</v>
      </c>
      <c r="Z102" s="20">
        <v>-6.5293822322081736</v>
      </c>
      <c r="AA102" s="10">
        <v>-31.267586691584381</v>
      </c>
      <c r="AB102" s="17">
        <v>3.3531234979990132</v>
      </c>
      <c r="AC102" s="18">
        <v>1.1269184541071779</v>
      </c>
      <c r="AD102" s="21">
        <v>0.1761224651090931</v>
      </c>
      <c r="AE102" s="21">
        <v>3.9181794892104969</v>
      </c>
      <c r="AF102" s="21">
        <v>3.0504175736733741E-2</v>
      </c>
      <c r="AG102" s="21"/>
      <c r="AH102" s="21">
        <v>5.0257894736091053</v>
      </c>
      <c r="AI102" s="46"/>
    </row>
    <row r="103" spans="1:36">
      <c r="A103" s="13" t="s">
        <v>162</v>
      </c>
      <c r="B103" s="13" t="s">
        <v>72</v>
      </c>
      <c r="C103" s="13">
        <v>51</v>
      </c>
      <c r="E103" s="14">
        <v>44957</v>
      </c>
      <c r="H103" s="16">
        <v>13</v>
      </c>
      <c r="I103" s="16">
        <v>7.02</v>
      </c>
      <c r="J103" s="16">
        <v>43.43</v>
      </c>
      <c r="K103" s="17">
        <v>6.3045506581689184</v>
      </c>
      <c r="P103" s="18">
        <v>1.4200000000000001E-2</v>
      </c>
      <c r="Q103" s="18">
        <v>2.174479296230861</v>
      </c>
      <c r="R103" s="21" t="s">
        <v>50</v>
      </c>
      <c r="S103" s="21">
        <v>1.8033871054348349</v>
      </c>
      <c r="T103" s="21">
        <v>4.4472005830058263</v>
      </c>
      <c r="U103" s="21">
        <v>9.7208327295505909E-2</v>
      </c>
      <c r="W103" s="18">
        <v>0.1027580289754244</v>
      </c>
      <c r="Y103" s="92">
        <v>0.33874257445064149</v>
      </c>
      <c r="Z103" s="20">
        <v>-6.4818928979913073</v>
      </c>
      <c r="AA103" s="10">
        <v>-31.290760133464548</v>
      </c>
      <c r="AB103" s="17">
        <v>3.2643496500947342</v>
      </c>
      <c r="AC103" s="18">
        <v>1.1023477109594599</v>
      </c>
      <c r="AD103" s="21">
        <v>0.19020374248197491</v>
      </c>
      <c r="AE103" s="21">
        <v>3.8941913160597839</v>
      </c>
      <c r="AF103" s="21">
        <v>2.9653418046763521E-2</v>
      </c>
      <c r="AG103" s="21"/>
      <c r="AH103" s="21">
        <v>5.2569802684512039</v>
      </c>
    </row>
    <row r="104" spans="1:36" s="48" customFormat="1">
      <c r="A104" s="12" t="s">
        <v>161</v>
      </c>
      <c r="B104" s="12" t="s">
        <v>74</v>
      </c>
      <c r="C104" s="12">
        <v>51</v>
      </c>
      <c r="D104" s="47"/>
      <c r="E104" s="47">
        <v>44957</v>
      </c>
      <c r="F104" s="3"/>
      <c r="H104" s="48">
        <v>11.7</v>
      </c>
      <c r="I104" s="48">
        <v>6.9</v>
      </c>
      <c r="J104" s="48">
        <v>45.85</v>
      </c>
      <c r="K104" s="20">
        <v>6.3016877410699772</v>
      </c>
      <c r="M104" s="12"/>
      <c r="N104" s="12"/>
      <c r="O104" s="12"/>
      <c r="P104" s="11">
        <v>1.5699999999999999E-2</v>
      </c>
      <c r="Q104" s="11">
        <v>2.1841000228124821</v>
      </c>
      <c r="R104" s="49" t="s">
        <v>50</v>
      </c>
      <c r="S104" s="49">
        <v>1.546913331263984</v>
      </c>
      <c r="T104" s="49">
        <v>5.333584985711247</v>
      </c>
      <c r="U104" s="49">
        <v>6.3651603856146433E-2</v>
      </c>
      <c r="V104" s="49"/>
      <c r="W104" s="11">
        <v>8.0758801179083115E-2</v>
      </c>
      <c r="X104" s="50"/>
      <c r="Y104" s="91">
        <v>0.27182336701794191</v>
      </c>
      <c r="Z104" s="20">
        <v>-6.3220930215389313</v>
      </c>
      <c r="AA104" s="10">
        <v>-30.977918668082221</v>
      </c>
      <c r="AB104" s="20">
        <v>3.2436447105763442</v>
      </c>
      <c r="AC104" s="49">
        <v>1.1551250062882159</v>
      </c>
      <c r="AD104" s="50">
        <v>0.16824516706051049</v>
      </c>
      <c r="AE104" s="50">
        <v>4.0564578723280151</v>
      </c>
      <c r="AF104" s="50">
        <v>3.1036758188138391E-2</v>
      </c>
      <c r="AG104" s="50"/>
      <c r="AH104" s="50">
        <v>4.8592954992027346</v>
      </c>
      <c r="AI104" s="51"/>
      <c r="AJ104" s="20"/>
    </row>
    <row r="105" spans="1:36">
      <c r="A105" s="13" t="s">
        <v>162</v>
      </c>
      <c r="B105" s="13" t="s">
        <v>72</v>
      </c>
      <c r="C105" s="13">
        <v>52</v>
      </c>
      <c r="E105" s="14">
        <v>44964</v>
      </c>
      <c r="H105" s="16">
        <v>15.4</v>
      </c>
      <c r="I105" s="16">
        <v>7.02</v>
      </c>
      <c r="J105" s="16">
        <v>45.65</v>
      </c>
      <c r="K105" s="17">
        <v>6.4506824181981504</v>
      </c>
      <c r="P105" s="18">
        <v>3.9915790691305512E-2</v>
      </c>
      <c r="Q105" s="18">
        <v>2.1741520951390649</v>
      </c>
      <c r="R105" s="21" t="s">
        <v>50</v>
      </c>
      <c r="S105" s="21">
        <v>2.002720502071925</v>
      </c>
      <c r="T105" s="21">
        <v>4.5616027604800591</v>
      </c>
      <c r="U105" s="21">
        <v>9.2752151551193582E-2</v>
      </c>
      <c r="W105" s="18">
        <v>0.18044962035695269</v>
      </c>
      <c r="Y105" s="92">
        <v>0.82137632596446308</v>
      </c>
      <c r="Z105" s="20">
        <v>-6.3680688873805407</v>
      </c>
      <c r="AA105" s="10">
        <v>-29.943787567163032</v>
      </c>
      <c r="AB105" s="17">
        <v>3.308369588026471</v>
      </c>
      <c r="AC105" s="18">
        <v>1.0607361022008699</v>
      </c>
      <c r="AD105" s="21">
        <v>0.1713552508939041</v>
      </c>
      <c r="AE105" s="21">
        <v>3.899943693149404</v>
      </c>
      <c r="AF105" s="21">
        <v>3.2873182832037842E-2</v>
      </c>
      <c r="AG105" s="21"/>
      <c r="AH105" s="21">
        <v>5.3446901762595456</v>
      </c>
    </row>
    <row r="106" spans="1:36">
      <c r="A106" s="13" t="s">
        <v>161</v>
      </c>
      <c r="B106" s="13" t="s">
        <v>74</v>
      </c>
      <c r="C106" s="13">
        <v>52</v>
      </c>
      <c r="E106" s="14">
        <v>44964</v>
      </c>
      <c r="H106" s="16">
        <v>14.2</v>
      </c>
      <c r="I106" s="16">
        <v>6.81</v>
      </c>
      <c r="J106" s="16">
        <v>47.89</v>
      </c>
      <c r="K106" s="17">
        <v>6.7582776159096616</v>
      </c>
      <c r="P106" s="18">
        <v>4.0967798362090017E-2</v>
      </c>
      <c r="Q106" s="18">
        <v>2.1382119028638011</v>
      </c>
      <c r="R106" s="21" t="s">
        <v>50</v>
      </c>
      <c r="S106" s="21">
        <v>1.6812529879213649</v>
      </c>
      <c r="T106" s="21">
        <v>5.2399225613817784</v>
      </c>
      <c r="U106" s="21">
        <v>6.7745611267089043E-2</v>
      </c>
      <c r="W106" s="18">
        <v>0.1173708637050065</v>
      </c>
      <c r="Y106" s="92">
        <v>0.65246643809236615</v>
      </c>
      <c r="Z106" s="20">
        <v>-6.3244764809507892</v>
      </c>
      <c r="AA106" s="10">
        <v>-29.37972574980887</v>
      </c>
      <c r="AB106" s="17">
        <v>3.3277086014372039</v>
      </c>
      <c r="AC106" s="18">
        <v>1.149858408529288</v>
      </c>
      <c r="AD106" s="21">
        <v>0.12635729331636991</v>
      </c>
      <c r="AE106" s="21">
        <v>4.2364068254385883</v>
      </c>
      <c r="AF106" s="21">
        <v>3.4836812436633988E-2</v>
      </c>
      <c r="AG106" s="21"/>
      <c r="AH106" s="21">
        <v>5.0193157523182208</v>
      </c>
    </row>
    <row r="107" spans="1:36" ht="16.2">
      <c r="A107" s="13" t="s">
        <v>162</v>
      </c>
      <c r="B107" s="13" t="s">
        <v>72</v>
      </c>
      <c r="C107" s="13">
        <v>53</v>
      </c>
      <c r="E107" s="14">
        <v>44971</v>
      </c>
      <c r="H107" s="16">
        <v>10.4</v>
      </c>
      <c r="I107" s="16">
        <v>7.41</v>
      </c>
      <c r="J107" s="16">
        <v>46.51</v>
      </c>
      <c r="K107" s="17">
        <v>6.8470946928818144</v>
      </c>
      <c r="P107" s="18">
        <v>0.39122692591697977</v>
      </c>
      <c r="Q107" s="18">
        <v>2.0895994097229331</v>
      </c>
      <c r="R107" s="21" t="s">
        <v>50</v>
      </c>
      <c r="S107" s="21">
        <v>1.807440759781288</v>
      </c>
      <c r="T107" s="21">
        <v>4.3857737225894864</v>
      </c>
      <c r="U107" s="21">
        <v>9.3665069682297097E-2</v>
      </c>
      <c r="W107" s="18">
        <v>0.18943352895136889</v>
      </c>
      <c r="Y107" s="92">
        <v>0.75538568138600248</v>
      </c>
      <c r="Z107" s="20">
        <v>-6.2177622700107538</v>
      </c>
      <c r="AA107" s="10">
        <v>-30.118084041138641</v>
      </c>
      <c r="AB107" s="17">
        <v>3.5023090501479941</v>
      </c>
      <c r="AC107" s="18">
        <v>1.10224674228917</v>
      </c>
      <c r="AD107" s="21">
        <v>0.17493217696028829</v>
      </c>
      <c r="AE107" s="21">
        <v>4.1779411387282526</v>
      </c>
      <c r="AF107" s="21">
        <v>3.3841593105778972E-2</v>
      </c>
      <c r="AG107" s="21"/>
      <c r="AH107" s="21">
        <v>5.4088686217636486</v>
      </c>
      <c r="AI107" s="46"/>
    </row>
    <row r="108" spans="1:36" s="56" customFormat="1" ht="16.2">
      <c r="A108" s="52" t="s">
        <v>161</v>
      </c>
      <c r="B108" s="52" t="s">
        <v>74</v>
      </c>
      <c r="C108" s="52">
        <v>53</v>
      </c>
      <c r="D108" s="53"/>
      <c r="E108" s="53">
        <v>44971</v>
      </c>
      <c r="F108" s="54"/>
      <c r="G108" s="55"/>
      <c r="H108" s="56">
        <v>12.8</v>
      </c>
      <c r="I108" s="56">
        <v>6.92</v>
      </c>
      <c r="J108" s="56">
        <v>48.75</v>
      </c>
      <c r="K108" s="57">
        <v>7.0399644936562922</v>
      </c>
      <c r="M108" s="52"/>
      <c r="N108" s="52"/>
      <c r="O108" s="52"/>
      <c r="P108" s="58">
        <v>0.3889056462651323</v>
      </c>
      <c r="Q108" s="58">
        <v>2.1020540938341119</v>
      </c>
      <c r="R108" s="59" t="s">
        <v>50</v>
      </c>
      <c r="S108" s="59">
        <v>1.601195392802913</v>
      </c>
      <c r="T108" s="59">
        <v>5.2686792441184602</v>
      </c>
      <c r="U108" s="59">
        <v>6.9214347922188585E-2</v>
      </c>
      <c r="V108" s="59"/>
      <c r="W108" s="58">
        <v>0.18233033452384401</v>
      </c>
      <c r="X108" s="60"/>
      <c r="Y108" s="96">
        <v>0.68262823674248652</v>
      </c>
      <c r="Z108" s="57">
        <v>-6.2958798623328711</v>
      </c>
      <c r="AA108" s="61">
        <v>-30.21518227368805</v>
      </c>
      <c r="AB108" s="57">
        <v>3.544047682523908</v>
      </c>
      <c r="AC108" s="59">
        <v>1.222470601852397</v>
      </c>
      <c r="AD108" s="57">
        <v>0.16598695589003859</v>
      </c>
      <c r="AE108" s="60">
        <v>4.3923506659376654</v>
      </c>
      <c r="AF108" s="57">
        <v>3.5229188239270008E-2</v>
      </c>
      <c r="AG108" s="57"/>
      <c r="AH108" s="57">
        <v>5.1516550144358453</v>
      </c>
      <c r="AI108" s="62"/>
      <c r="AJ108" s="57"/>
    </row>
    <row r="109" spans="1:36">
      <c r="A109" s="13" t="s">
        <v>162</v>
      </c>
      <c r="B109" s="13" t="s">
        <v>72</v>
      </c>
      <c r="C109" s="13">
        <v>54</v>
      </c>
      <c r="E109" s="14">
        <v>44978</v>
      </c>
      <c r="H109" s="16">
        <v>10.8</v>
      </c>
      <c r="I109" s="16">
        <v>7.11</v>
      </c>
      <c r="J109" s="16">
        <v>46.44</v>
      </c>
      <c r="K109" s="17">
        <v>7.2899527214464577</v>
      </c>
      <c r="P109" s="18">
        <v>0.39517543077015421</v>
      </c>
      <c r="Q109" s="18">
        <v>2.127502485040683</v>
      </c>
      <c r="R109" s="21" t="s">
        <v>50</v>
      </c>
      <c r="S109" s="21">
        <v>1.7403701409798691</v>
      </c>
      <c r="T109" s="21">
        <v>4.3982018879522817</v>
      </c>
      <c r="U109" s="21">
        <v>8.3597125428134772E-2</v>
      </c>
      <c r="W109" s="18">
        <v>0.1839946342067609</v>
      </c>
      <c r="Y109" s="92">
        <v>0.71567830524181197</v>
      </c>
      <c r="Z109" s="20">
        <v>-6.3851571107010052</v>
      </c>
      <c r="AA109" s="10">
        <v>-30.505447661450582</v>
      </c>
      <c r="AB109" s="17">
        <v>3.5472312222401179</v>
      </c>
      <c r="AC109" s="18">
        <v>1.1444457081168691</v>
      </c>
      <c r="AD109" s="21">
        <v>0.19485054557920459</v>
      </c>
      <c r="AE109" s="21">
        <v>4.2072451772746691</v>
      </c>
      <c r="AF109" s="21">
        <v>3.3958958431902657E-2</v>
      </c>
      <c r="AG109" s="21"/>
      <c r="AH109" s="21">
        <v>5.367059155112055</v>
      </c>
    </row>
    <row r="110" spans="1:36" ht="16.2">
      <c r="A110" s="13" t="s">
        <v>161</v>
      </c>
      <c r="B110" s="13" t="s">
        <v>74</v>
      </c>
      <c r="C110" s="13">
        <v>54</v>
      </c>
      <c r="E110" s="14">
        <v>44978</v>
      </c>
      <c r="H110" s="16">
        <v>9.3000000000000007</v>
      </c>
      <c r="I110" s="16">
        <v>7.08</v>
      </c>
      <c r="J110" s="16">
        <v>48.89</v>
      </c>
      <c r="K110" s="17">
        <v>7.1778556661033486</v>
      </c>
      <c r="P110" s="18">
        <v>0.39480817480119812</v>
      </c>
      <c r="Q110" s="18">
        <v>2.0660587016620302</v>
      </c>
      <c r="R110" s="21" t="s">
        <v>50</v>
      </c>
      <c r="S110" s="21">
        <v>1.5608763930120479</v>
      </c>
      <c r="T110" s="21">
        <v>5.0975367615226279</v>
      </c>
      <c r="U110" s="21">
        <v>6.4420088753539856E-2</v>
      </c>
      <c r="W110" s="18">
        <v>0.1017128335694035</v>
      </c>
      <c r="Y110" s="92">
        <v>0.63406772056455563</v>
      </c>
      <c r="Z110" s="20">
        <v>-6.3882957639639466</v>
      </c>
      <c r="AA110" s="10">
        <v>-30.39428219379684</v>
      </c>
      <c r="AB110" s="17">
        <v>3.4605915419449702</v>
      </c>
      <c r="AC110" s="18">
        <v>1.216638103866343</v>
      </c>
      <c r="AD110" s="21">
        <v>0.1485284867483776</v>
      </c>
      <c r="AE110" s="21">
        <v>4.3067203364472064</v>
      </c>
      <c r="AF110" s="21">
        <v>3.5215325447786397E-2</v>
      </c>
      <c r="AG110" s="21"/>
      <c r="AH110" s="21">
        <v>4.9867272457503544</v>
      </c>
      <c r="AI110" s="46"/>
    </row>
    <row r="111" spans="1:36" ht="16.2">
      <c r="A111" s="13" t="s">
        <v>162</v>
      </c>
      <c r="B111" s="13" t="s">
        <v>72</v>
      </c>
      <c r="C111" s="13">
        <v>55</v>
      </c>
      <c r="E111" s="14">
        <v>44986</v>
      </c>
      <c r="H111" s="16">
        <v>9.6999999999999993</v>
      </c>
      <c r="I111" s="16">
        <v>7.4</v>
      </c>
      <c r="J111" s="16">
        <v>45.49</v>
      </c>
      <c r="K111" s="17">
        <v>6.6364250957817728</v>
      </c>
      <c r="P111" s="18">
        <v>3.8863620120563172E-2</v>
      </c>
      <c r="Q111" s="18">
        <v>2.228064603682173</v>
      </c>
      <c r="R111" s="21" t="s">
        <v>50</v>
      </c>
      <c r="S111" s="21">
        <v>1.9202378114666689</v>
      </c>
      <c r="T111" s="21">
        <v>4.8178265049528637</v>
      </c>
      <c r="U111" s="21">
        <v>0.1092337349202625</v>
      </c>
      <c r="W111" s="18">
        <v>0.1155143000939486</v>
      </c>
      <c r="Y111" s="92">
        <v>0.7936556142815453</v>
      </c>
      <c r="Z111" s="20">
        <v>-6.3293588304709214</v>
      </c>
      <c r="AA111" s="10">
        <v>-29.861099673013189</v>
      </c>
      <c r="AB111" s="17">
        <v>3.338882373119938</v>
      </c>
      <c r="AC111" s="18">
        <v>1.092367170815884</v>
      </c>
      <c r="AD111" s="21">
        <v>0.16610322549379991</v>
      </c>
      <c r="AE111" s="21">
        <v>4.0837369204337417</v>
      </c>
      <c r="AF111" s="21">
        <v>3.3387392362284538E-2</v>
      </c>
      <c r="AG111" s="21"/>
      <c r="AH111" s="21">
        <v>5.2840937499128691</v>
      </c>
      <c r="AI111" s="46"/>
    </row>
    <row r="112" spans="1:36" ht="16.2">
      <c r="A112" s="13" t="s">
        <v>161</v>
      </c>
      <c r="B112" s="13" t="s">
        <v>74</v>
      </c>
      <c r="C112" s="13">
        <v>55</v>
      </c>
      <c r="E112" s="14">
        <v>44986</v>
      </c>
      <c r="H112" s="16">
        <v>10.6</v>
      </c>
      <c r="I112" s="16">
        <v>7.02</v>
      </c>
      <c r="J112" s="16">
        <v>48.31</v>
      </c>
      <c r="K112" s="17">
        <v>6.6193812788166548</v>
      </c>
      <c r="P112" s="18">
        <v>2.9339709128798411E-2</v>
      </c>
      <c r="Q112" s="18">
        <v>1.0373358367201231</v>
      </c>
      <c r="R112" s="21" t="s">
        <v>50</v>
      </c>
      <c r="S112" s="21">
        <v>0.78793213210331559</v>
      </c>
      <c r="T112" s="21">
        <v>2.685156478719072</v>
      </c>
      <c r="U112" s="21" t="s">
        <v>50</v>
      </c>
      <c r="W112" s="18">
        <v>9.3236944091384361E-2</v>
      </c>
      <c r="Y112" s="92">
        <v>0.55144949974987356</v>
      </c>
      <c r="Z112" s="20">
        <v>-6.3680688873805407</v>
      </c>
      <c r="AA112" s="10">
        <v>-30.08240129843497</v>
      </c>
      <c r="AB112" s="17">
        <v>3.3628174100404968</v>
      </c>
      <c r="AC112" s="18">
        <v>1.1648036253133791</v>
      </c>
      <c r="AD112" s="21">
        <v>0.14730086216456451</v>
      </c>
      <c r="AE112" s="21">
        <v>4.2225294693034474</v>
      </c>
      <c r="AF112" s="21">
        <v>3.4637287597161191E-2</v>
      </c>
      <c r="AG112" s="21"/>
      <c r="AH112" s="21">
        <v>4.9980354814381966</v>
      </c>
      <c r="AI112" s="46"/>
    </row>
    <row r="113" spans="1:36" ht="16.2">
      <c r="A113" s="13" t="s">
        <v>162</v>
      </c>
      <c r="B113" s="13" t="s">
        <v>72</v>
      </c>
      <c r="C113" s="13">
        <v>56</v>
      </c>
      <c r="E113" s="14">
        <v>44991</v>
      </c>
      <c r="H113" s="16">
        <v>10.1</v>
      </c>
      <c r="I113" s="16">
        <v>7.36</v>
      </c>
      <c r="J113" s="16">
        <v>46.3</v>
      </c>
      <c r="K113" s="17">
        <v>7.0943276959525576</v>
      </c>
      <c r="P113" s="18">
        <v>6.0364714501003718E-2</v>
      </c>
      <c r="Q113" s="18">
        <v>2.178674521294961</v>
      </c>
      <c r="R113" s="21" t="s">
        <v>50</v>
      </c>
      <c r="S113" s="21">
        <v>1.7229782069037169</v>
      </c>
      <c r="T113" s="21">
        <v>4.7507910771158537</v>
      </c>
      <c r="U113" s="21">
        <v>9.6635993362498118E-2</v>
      </c>
      <c r="W113" s="18">
        <v>0.24353457578917481</v>
      </c>
      <c r="Y113" s="92">
        <v>0.68096827187540376</v>
      </c>
      <c r="Z113" s="20">
        <v>-6.4482789152112874</v>
      </c>
      <c r="AA113" s="10">
        <v>-30.952168151836911</v>
      </c>
      <c r="AB113" s="17">
        <v>3.4429415485997228</v>
      </c>
      <c r="AC113" s="18">
        <v>1.126648726187464</v>
      </c>
      <c r="AD113" s="21">
        <v>0.1716133333721975</v>
      </c>
      <c r="AE113" s="21">
        <v>4.1320917786637734</v>
      </c>
      <c r="AF113" s="21">
        <v>3.3746513687056418E-2</v>
      </c>
      <c r="AG113" s="21"/>
      <c r="AH113" s="21">
        <v>5.2963274440683854</v>
      </c>
      <c r="AI113" s="46"/>
    </row>
    <row r="114" spans="1:36" ht="16.2">
      <c r="A114" s="13" t="s">
        <v>161</v>
      </c>
      <c r="B114" s="13" t="s">
        <v>74</v>
      </c>
      <c r="C114" s="13">
        <v>56</v>
      </c>
      <c r="E114" s="14">
        <v>44991</v>
      </c>
      <c r="H114" s="16">
        <v>10.1</v>
      </c>
      <c r="I114" s="16">
        <v>7.09</v>
      </c>
      <c r="J114" s="16">
        <v>47.5</v>
      </c>
      <c r="K114" s="17">
        <v>6.9023932041448521</v>
      </c>
      <c r="P114" s="18">
        <v>4.1836849988118922E-2</v>
      </c>
      <c r="Q114" s="18">
        <v>2.0438798470546682</v>
      </c>
      <c r="R114" s="21" t="s">
        <v>50</v>
      </c>
      <c r="S114" s="21">
        <v>1.398809495228633</v>
      </c>
      <c r="T114" s="21">
        <v>5.2790346815327309</v>
      </c>
      <c r="U114" s="21">
        <v>6.6725750490270019E-2</v>
      </c>
      <c r="W114" s="18">
        <v>0.1109520753615548</v>
      </c>
      <c r="Y114" s="92">
        <v>0.54352211844261533</v>
      </c>
      <c r="Z114" s="20">
        <v>-6.4472326974569736</v>
      </c>
      <c r="AA114" s="10">
        <v>-30.780273400927879</v>
      </c>
      <c r="AB114" s="17">
        <v>3.4063239197611672</v>
      </c>
      <c r="AC114" s="18">
        <v>1.2015061530757301</v>
      </c>
      <c r="AD114" s="21">
        <v>0.14494431452466561</v>
      </c>
      <c r="AE114" s="21">
        <v>4.2667008467007657</v>
      </c>
      <c r="AF114" s="21">
        <v>3.494968908415004E-2</v>
      </c>
      <c r="AG114" s="21"/>
      <c r="AH114" s="21">
        <v>5.0292953518508767</v>
      </c>
      <c r="AI114" s="46"/>
    </row>
    <row r="115" spans="1:36" s="66" customFormat="1" ht="16.2">
      <c r="A115" s="63" t="s">
        <v>162</v>
      </c>
      <c r="B115" s="63" t="s">
        <v>72</v>
      </c>
      <c r="C115" s="63">
        <v>57</v>
      </c>
      <c r="D115" s="64"/>
      <c r="E115" s="64">
        <v>44999</v>
      </c>
      <c r="F115" s="65"/>
      <c r="H115" s="66">
        <v>11.5</v>
      </c>
      <c r="I115" s="66">
        <v>7.31</v>
      </c>
      <c r="J115" s="66">
        <v>48.13</v>
      </c>
      <c r="K115" s="67">
        <v>7.0080973116255656</v>
      </c>
      <c r="M115" s="63"/>
      <c r="N115" s="63"/>
      <c r="O115" s="63"/>
      <c r="P115" s="68">
        <v>4.5433030029833552E-2</v>
      </c>
      <c r="Q115" s="68">
        <v>2.269747344034911</v>
      </c>
      <c r="R115" s="69" t="s">
        <v>50</v>
      </c>
      <c r="S115" s="69">
        <v>1.776530201853229</v>
      </c>
      <c r="T115" s="69">
        <v>4.9607996746740497</v>
      </c>
      <c r="U115" s="69">
        <v>0.1130154120782421</v>
      </c>
      <c r="V115" s="69"/>
      <c r="W115" s="68">
        <v>0.11131711726299059</v>
      </c>
      <c r="X115" s="70"/>
      <c r="Y115" s="97">
        <v>0.41203163593860381</v>
      </c>
      <c r="Z115" s="67">
        <v>-6.4806802587844361</v>
      </c>
      <c r="AA115" s="71">
        <v>-31.30671835455815</v>
      </c>
      <c r="AB115" s="67">
        <v>3.7989153347022269</v>
      </c>
      <c r="AC115" s="68">
        <v>1.2396858643285049</v>
      </c>
      <c r="AD115" s="69">
        <v>0.18210948033444571</v>
      </c>
      <c r="AE115" s="69">
        <v>4.3769155868907124</v>
      </c>
      <c r="AF115" s="69">
        <v>3.4230897278873927E-2</v>
      </c>
      <c r="AG115" s="69"/>
      <c r="AH115" s="69">
        <v>5.3292243680249323</v>
      </c>
      <c r="AI115" s="72"/>
      <c r="AJ115" s="67"/>
    </row>
    <row r="116" spans="1:36" s="66" customFormat="1" ht="16.2">
      <c r="A116" s="63" t="s">
        <v>161</v>
      </c>
      <c r="B116" s="63" t="s">
        <v>74</v>
      </c>
      <c r="C116" s="63">
        <v>57</v>
      </c>
      <c r="D116" s="64"/>
      <c r="E116" s="64">
        <v>44999</v>
      </c>
      <c r="F116" s="65"/>
      <c r="H116" s="66">
        <v>12.4</v>
      </c>
      <c r="I116" s="66">
        <v>6.95</v>
      </c>
      <c r="J116" s="66">
        <v>49.43</v>
      </c>
      <c r="K116" s="67">
        <v>7.0313937946300484</v>
      </c>
      <c r="M116" s="63"/>
      <c r="N116" s="63"/>
      <c r="O116" s="63"/>
      <c r="P116" s="68">
        <v>4.5302220610578148E-2</v>
      </c>
      <c r="Q116" s="68">
        <v>2.3481121173041521</v>
      </c>
      <c r="R116" s="69" t="s">
        <v>50</v>
      </c>
      <c r="S116" s="69">
        <v>1.6189394779185551</v>
      </c>
      <c r="T116" s="69">
        <v>5.8736058169238694</v>
      </c>
      <c r="U116" s="69">
        <v>8.8090209684718673E-2</v>
      </c>
      <c r="V116" s="69"/>
      <c r="W116" s="68">
        <v>0.1504401164229319</v>
      </c>
      <c r="X116" s="70"/>
      <c r="Y116" s="97">
        <v>0.31341590040951972</v>
      </c>
      <c r="Z116" s="67">
        <v>-6.5454654590501562</v>
      </c>
      <c r="AA116" s="71">
        <v>-31.255421526871661</v>
      </c>
      <c r="AB116" s="67">
        <v>3.7806365189762028</v>
      </c>
      <c r="AC116" s="68">
        <v>1.3155351279194869</v>
      </c>
      <c r="AD116" s="69">
        <v>0.16277619713646421</v>
      </c>
      <c r="AE116" s="69">
        <v>4.6041664580495656</v>
      </c>
      <c r="AF116" s="69">
        <v>3.5706545796454423E-2</v>
      </c>
      <c r="AG116" s="69"/>
      <c r="AH116" s="69">
        <v>5.0573027720639931</v>
      </c>
      <c r="AI116" s="72"/>
      <c r="AJ116" s="67"/>
    </row>
    <row r="117" spans="1:36" ht="16.2">
      <c r="A117" s="13" t="s">
        <v>162</v>
      </c>
      <c r="B117" s="13" t="s">
        <v>72</v>
      </c>
      <c r="C117" s="13">
        <v>58</v>
      </c>
      <c r="E117" s="14">
        <v>45007</v>
      </c>
      <c r="H117" s="16">
        <v>13.7</v>
      </c>
      <c r="I117" s="16">
        <v>7.18</v>
      </c>
      <c r="J117" s="16">
        <v>57.08</v>
      </c>
      <c r="K117" s="17">
        <v>7.4052094734394389</v>
      </c>
      <c r="P117" s="18">
        <v>3.7811286649863017E-2</v>
      </c>
      <c r="Q117" s="18">
        <v>1.710973215531912</v>
      </c>
      <c r="R117" s="21" t="s">
        <v>50</v>
      </c>
      <c r="S117" s="21">
        <v>1.330386279357983</v>
      </c>
      <c r="T117" s="21">
        <v>3.9249952767518188</v>
      </c>
      <c r="U117" s="21">
        <v>2.8530809457925101E-2</v>
      </c>
      <c r="W117" s="18">
        <v>0.17221446068596519</v>
      </c>
      <c r="Y117" s="92">
        <v>0.32446200761475491</v>
      </c>
      <c r="Z117" s="20">
        <v>-6.6537891003546656</v>
      </c>
      <c r="AA117" s="10">
        <v>-32.093269712417651</v>
      </c>
      <c r="AB117" s="17">
        <v>3.9384475248086801</v>
      </c>
      <c r="AC117" s="18">
        <v>1.306039534711702</v>
      </c>
      <c r="AD117" s="21">
        <v>0.18313262445874731</v>
      </c>
      <c r="AE117" s="21">
        <v>4.5772661899143641</v>
      </c>
      <c r="AF117" s="21">
        <v>3.5222405081601918E-2</v>
      </c>
      <c r="AG117" s="21"/>
      <c r="AH117" s="21">
        <v>5.4825989374871629</v>
      </c>
      <c r="AI117" s="46"/>
    </row>
    <row r="118" spans="1:36" ht="16.2">
      <c r="A118" s="13" t="s">
        <v>161</v>
      </c>
      <c r="B118" s="13" t="s">
        <v>74</v>
      </c>
      <c r="C118" s="13">
        <v>58</v>
      </c>
      <c r="E118" s="14">
        <v>45007</v>
      </c>
      <c r="G118" s="73"/>
      <c r="H118" s="16">
        <v>12.6</v>
      </c>
      <c r="I118" s="16">
        <v>6.95</v>
      </c>
      <c r="J118" s="16">
        <v>58.34</v>
      </c>
      <c r="K118" s="17">
        <v>7.3967218255566509</v>
      </c>
      <c r="P118" s="18">
        <v>4.7876939075233632E-2</v>
      </c>
      <c r="Q118" s="18">
        <v>2.2841619790918561</v>
      </c>
      <c r="R118" s="21" t="s">
        <v>50</v>
      </c>
      <c r="S118" s="21">
        <v>1.646520244015818</v>
      </c>
      <c r="T118" s="21">
        <v>6.0786281037047809</v>
      </c>
      <c r="U118" s="21">
        <v>6.7745611267089043E-2</v>
      </c>
      <c r="W118" s="18">
        <v>9.9674780983585093E-2</v>
      </c>
      <c r="Y118" s="92">
        <v>0.34595479477594487</v>
      </c>
      <c r="Z118" s="20">
        <v>-6.611992196957428</v>
      </c>
      <c r="AA118" s="10">
        <v>-31.881926782349311</v>
      </c>
      <c r="AB118" s="17">
        <v>3.84356046961866</v>
      </c>
      <c r="AC118" s="18">
        <v>1.375470357599865</v>
      </c>
      <c r="AD118" s="21">
        <v>0.1542049046593516</v>
      </c>
      <c r="AE118" s="21">
        <v>4.7999631247978618</v>
      </c>
      <c r="AF118" s="21">
        <v>3.6492912687609153E-2</v>
      </c>
      <c r="AG118" s="21"/>
      <c r="AH118" s="21">
        <v>5.1638166506309311</v>
      </c>
      <c r="AI118" s="46"/>
    </row>
    <row r="119" spans="1:36" ht="16.2">
      <c r="A119" s="13" t="s">
        <v>162</v>
      </c>
      <c r="B119" s="13" t="s">
        <v>72</v>
      </c>
      <c r="C119" s="13">
        <v>59</v>
      </c>
      <c r="E119" s="14">
        <v>45014</v>
      </c>
      <c r="G119" s="73"/>
      <c r="H119" s="16">
        <v>10.1</v>
      </c>
      <c r="I119" s="16">
        <v>7.44</v>
      </c>
      <c r="J119" s="16">
        <v>51.77</v>
      </c>
      <c r="K119" s="17">
        <v>7.2488682036344718</v>
      </c>
      <c r="P119" s="18">
        <v>4.7951999783627408E-2</v>
      </c>
      <c r="Q119" s="18">
        <v>2.2442706875284282</v>
      </c>
      <c r="R119" s="21" t="s">
        <v>50</v>
      </c>
      <c r="S119" s="21">
        <v>2.1221084559707921</v>
      </c>
      <c r="T119" s="21">
        <v>5.1782535003178767</v>
      </c>
      <c r="U119" s="21">
        <v>9.616213431720784E-2</v>
      </c>
      <c r="W119" s="18">
        <v>0.2235668081539274</v>
      </c>
      <c r="Y119" s="92">
        <v>0.46770196532552161</v>
      </c>
      <c r="Z119" s="20">
        <v>-6.3768846153479606</v>
      </c>
      <c r="AA119" s="10">
        <v>-29.60810940043288</v>
      </c>
      <c r="AB119" s="17">
        <v>3.8347041671727289</v>
      </c>
      <c r="AC119" s="18">
        <v>1.287712156864125</v>
      </c>
      <c r="AD119" s="21">
        <v>0.19524021838159519</v>
      </c>
      <c r="AE119" s="21">
        <v>4.5133689232347196</v>
      </c>
      <c r="AF119" s="21">
        <v>3.5027273707886109E-2</v>
      </c>
      <c r="AG119" s="21"/>
      <c r="AH119" s="21">
        <v>5.3417300464586734</v>
      </c>
      <c r="AI119" s="46"/>
    </row>
    <row r="120" spans="1:36" ht="16.2">
      <c r="A120" s="13" t="s">
        <v>161</v>
      </c>
      <c r="B120" s="13" t="s">
        <v>74</v>
      </c>
      <c r="C120" s="13">
        <v>59</v>
      </c>
      <c r="E120" s="14">
        <v>45014</v>
      </c>
      <c r="H120" s="16">
        <v>15.6</v>
      </c>
      <c r="I120" s="16">
        <v>6.9</v>
      </c>
      <c r="J120" s="16">
        <v>55.42</v>
      </c>
      <c r="K120" s="17">
        <v>7.6671591587540817</v>
      </c>
      <c r="P120" s="18">
        <v>4.2169893373650513E-2</v>
      </c>
      <c r="Q120" s="18">
        <v>2.2319482209416019</v>
      </c>
      <c r="R120" s="21" t="s">
        <v>50</v>
      </c>
      <c r="S120" s="21">
        <v>1.8215597284783669</v>
      </c>
      <c r="T120" s="21">
        <v>5.9556910883139036</v>
      </c>
      <c r="U120" s="21">
        <v>7.2292254955108048E-2</v>
      </c>
      <c r="W120" s="18">
        <v>0.14400380786644329</v>
      </c>
      <c r="Y120" s="92">
        <v>0.44222565925273932</v>
      </c>
      <c r="Z120" s="20">
        <v>-6.361559084102308</v>
      </c>
      <c r="AA120" s="10">
        <v>-29.815006605435041</v>
      </c>
      <c r="AB120" s="17">
        <v>3.9197040824718208</v>
      </c>
      <c r="AC120" s="18">
        <v>1.43356284312975</v>
      </c>
      <c r="AD120" s="21">
        <v>0.15633714782772121</v>
      </c>
      <c r="AE120" s="21">
        <v>5.020213617571577</v>
      </c>
      <c r="AF120" s="21">
        <v>3.7912459867285808E-2</v>
      </c>
      <c r="AG120" s="21"/>
      <c r="AH120" s="21">
        <v>5.1441638494700346</v>
      </c>
      <c r="AI120" s="46"/>
    </row>
    <row r="121" spans="1:36" ht="16.2">
      <c r="A121" s="13" t="s">
        <v>162</v>
      </c>
      <c r="B121" s="13" t="s">
        <v>72</v>
      </c>
      <c r="C121" s="13">
        <v>60</v>
      </c>
      <c r="E121" s="14">
        <v>45022</v>
      </c>
      <c r="H121" s="16">
        <v>9.8000000000000007</v>
      </c>
      <c r="I121" s="16">
        <v>7.33</v>
      </c>
      <c r="J121" s="16">
        <v>54.6</v>
      </c>
      <c r="K121" s="17">
        <v>7.5477521199995614</v>
      </c>
      <c r="P121" s="18">
        <v>4.2921094709985418E-2</v>
      </c>
      <c r="Q121" s="18">
        <v>2.2708146279815442</v>
      </c>
      <c r="R121" s="21" t="s">
        <v>50</v>
      </c>
      <c r="S121" s="21">
        <v>1.943831546687349</v>
      </c>
      <c r="T121" s="21">
        <v>5.7231576778799624</v>
      </c>
      <c r="U121" s="21">
        <v>0.1063920826152506</v>
      </c>
      <c r="W121" s="18">
        <v>0.21909046699344409</v>
      </c>
      <c r="Y121" s="92">
        <v>0.3851001704746172</v>
      </c>
      <c r="Z121" s="20">
        <v>-6.5033202481246066</v>
      </c>
      <c r="AA121" s="10">
        <v>-30.956873989736291</v>
      </c>
      <c r="AB121" s="17">
        <v>3.892377802971648</v>
      </c>
      <c r="AC121" s="18">
        <v>1.373970501715932</v>
      </c>
      <c r="AD121" s="21">
        <v>0.19346823710996389</v>
      </c>
      <c r="AE121" s="21">
        <v>4.8756277750873531</v>
      </c>
      <c r="AF121" s="21">
        <v>3.6782347033973851E-2</v>
      </c>
      <c r="AG121" s="21"/>
      <c r="AH121" s="21">
        <v>5.502341791428556</v>
      </c>
      <c r="AI121" s="46"/>
    </row>
    <row r="122" spans="1:36" ht="16.2">
      <c r="A122" s="13" t="s">
        <v>161</v>
      </c>
      <c r="B122" s="13" t="s">
        <v>74</v>
      </c>
      <c r="C122" s="13">
        <v>60</v>
      </c>
      <c r="E122" s="14">
        <v>45022</v>
      </c>
      <c r="G122" s="74"/>
      <c r="H122" s="16">
        <v>11</v>
      </c>
      <c r="I122" s="16">
        <v>6.93</v>
      </c>
      <c r="J122" s="16">
        <v>55.43</v>
      </c>
      <c r="K122" s="17">
        <v>7.7064776480991446</v>
      </c>
      <c r="P122" s="18">
        <v>4.2094768668844727E-2</v>
      </c>
      <c r="Q122" s="18">
        <v>2.2561934196772948</v>
      </c>
      <c r="R122" s="21" t="s">
        <v>50</v>
      </c>
      <c r="S122" s="21">
        <v>1.743204552674952</v>
      </c>
      <c r="T122" s="21">
        <v>6.271856263982948</v>
      </c>
      <c r="U122" s="21">
        <v>7.11555940331033E-2</v>
      </c>
      <c r="W122" s="18">
        <v>0.13770290779801911</v>
      </c>
      <c r="Y122" s="92">
        <v>0.41133468878421292</v>
      </c>
      <c r="Z122" s="20">
        <v>-6.4872981018223319</v>
      </c>
      <c r="AA122" s="10">
        <v>-30.62549648288158</v>
      </c>
      <c r="AB122" s="17">
        <v>3.9354988958352908</v>
      </c>
      <c r="AC122" s="18">
        <v>1.4558674484398251</v>
      </c>
      <c r="AD122" s="21">
        <v>0.17101470678800099</v>
      </c>
      <c r="AE122" s="21">
        <v>5.0183064549184397</v>
      </c>
      <c r="AF122" s="21">
        <v>3.8145064601381271E-2</v>
      </c>
      <c r="AG122" s="21"/>
      <c r="AH122" s="21">
        <v>5.2717501250331056</v>
      </c>
      <c r="AI122" s="46"/>
    </row>
    <row r="123" spans="1:36" ht="16.2">
      <c r="A123" s="13" t="s">
        <v>162</v>
      </c>
      <c r="B123" s="32" t="s">
        <v>163</v>
      </c>
      <c r="C123" s="13">
        <v>61</v>
      </c>
      <c r="E123" s="14">
        <v>45027</v>
      </c>
      <c r="H123" s="16">
        <v>17.899999999999999</v>
      </c>
      <c r="I123" s="16">
        <v>7.04</v>
      </c>
      <c r="J123" s="16">
        <v>54.37</v>
      </c>
      <c r="P123" s="18">
        <v>4.0333656929209503E-2</v>
      </c>
      <c r="Q123" s="18">
        <v>2.203443631676552</v>
      </c>
      <c r="R123" s="21" t="s">
        <v>50</v>
      </c>
      <c r="S123" s="21">
        <v>1.824933432909807</v>
      </c>
      <c r="T123" s="21">
        <v>5.863148092036722</v>
      </c>
      <c r="U123" s="21">
        <v>0.14933499270880471</v>
      </c>
      <c r="W123" s="18">
        <v>0.18383138801615459</v>
      </c>
      <c r="Y123" s="92">
        <v>0.28358059814067621</v>
      </c>
      <c r="Z123" s="20">
        <v>-6.5799479043528786</v>
      </c>
      <c r="AA123" s="10">
        <v>-31.397000771286361</v>
      </c>
      <c r="AB123" s="17">
        <v>3.889507267548034</v>
      </c>
      <c r="AC123" s="18">
        <v>1.384551230338755</v>
      </c>
      <c r="AD123" s="21">
        <v>0.19031301676038601</v>
      </c>
      <c r="AE123" s="21">
        <v>4.9517079915531568</v>
      </c>
      <c r="AF123" s="21">
        <v>3.6692342191152853E-2</v>
      </c>
      <c r="AG123" s="21"/>
      <c r="AH123" s="21">
        <v>5.4874087468855706</v>
      </c>
      <c r="AI123" s="46"/>
    </row>
    <row r="124" spans="1:36" ht="16.2">
      <c r="A124" s="13" t="s">
        <v>161</v>
      </c>
      <c r="B124" s="32" t="s">
        <v>164</v>
      </c>
      <c r="C124" s="13">
        <v>61</v>
      </c>
      <c r="E124" s="14">
        <v>45027</v>
      </c>
      <c r="H124" s="16">
        <v>15.7</v>
      </c>
      <c r="I124" s="16">
        <v>6.95</v>
      </c>
      <c r="J124" s="16">
        <v>54.57</v>
      </c>
      <c r="P124" s="18">
        <v>4.7722674211301358E-2</v>
      </c>
      <c r="Q124" s="18">
        <v>2.1089269568719091</v>
      </c>
      <c r="R124" s="21" t="s">
        <v>50</v>
      </c>
      <c r="S124" s="21">
        <v>1.5402320480410761</v>
      </c>
      <c r="T124" s="21">
        <v>5.8128429567862554</v>
      </c>
      <c r="U124" s="21">
        <v>8.5241615125458844E-2</v>
      </c>
      <c r="W124" s="18">
        <v>0.17859722560679131</v>
      </c>
      <c r="Y124" s="92">
        <v>0.32431943489293641</v>
      </c>
      <c r="Z124" s="20">
        <v>-6.5304882353328129</v>
      </c>
      <c r="AA124" s="10">
        <v>-31.268074744367659</v>
      </c>
      <c r="AB124" s="17">
        <v>3.8442982569296502</v>
      </c>
      <c r="AC124" s="18">
        <v>1.408435808917315</v>
      </c>
      <c r="AD124" s="21">
        <v>0.16050886876712689</v>
      </c>
      <c r="AE124" s="21">
        <v>4.9427087890312054</v>
      </c>
      <c r="AF124" s="21">
        <v>3.7055358933634062E-2</v>
      </c>
      <c r="AG124" s="21"/>
      <c r="AH124" s="21">
        <v>5.1607941772476833</v>
      </c>
      <c r="AI124" s="46"/>
    </row>
    <row r="125" spans="1:36" ht="16.2">
      <c r="A125" s="13" t="s">
        <v>162</v>
      </c>
      <c r="B125" s="32" t="s">
        <v>163</v>
      </c>
      <c r="C125" s="13">
        <v>62</v>
      </c>
      <c r="E125" s="14">
        <v>45034</v>
      </c>
      <c r="H125" s="16">
        <v>19.600000000000001</v>
      </c>
      <c r="I125" s="16">
        <v>56.03</v>
      </c>
      <c r="J125" s="16">
        <v>7.08</v>
      </c>
      <c r="K125" s="17">
        <v>8.0003835183486203</v>
      </c>
      <c r="P125" s="18">
        <v>4.9864167857601269E-2</v>
      </c>
      <c r="Q125" s="18">
        <v>2.2924933400787011</v>
      </c>
      <c r="R125" s="21" t="s">
        <v>50</v>
      </c>
      <c r="S125" s="21">
        <v>1.700495960520795</v>
      </c>
      <c r="T125" s="21">
        <v>6.4339749343830412</v>
      </c>
      <c r="U125" s="21">
        <v>7.6017433735035972E-2</v>
      </c>
      <c r="W125" s="18">
        <v>0.12596759970841859</v>
      </c>
      <c r="Y125" s="92">
        <v>0.40486165911871708</v>
      </c>
      <c r="Z125" s="20">
        <v>-6.6562838409634173</v>
      </c>
      <c r="AA125" s="10">
        <v>-31.893443492248931</v>
      </c>
      <c r="AB125" s="17">
        <v>4.0153552989825458</v>
      </c>
      <c r="AC125" s="18">
        <v>1.3646749904090969</v>
      </c>
      <c r="AD125" s="21">
        <v>0.2121266056173883</v>
      </c>
      <c r="AE125" s="21">
        <v>4.9269187940785946</v>
      </c>
      <c r="AF125" s="21">
        <v>3.718151280211069E-2</v>
      </c>
      <c r="AG125" s="21"/>
      <c r="AH125" s="21">
        <v>5.4723094578133091</v>
      </c>
      <c r="AI125" s="46"/>
    </row>
    <row r="126" spans="1:36" ht="16.2">
      <c r="A126" s="13" t="s">
        <v>73</v>
      </c>
      <c r="B126" s="13" t="s">
        <v>74</v>
      </c>
      <c r="C126" s="13">
        <v>62</v>
      </c>
      <c r="E126" s="14">
        <v>45034</v>
      </c>
      <c r="H126" s="16">
        <v>19</v>
      </c>
      <c r="I126" s="16">
        <v>6.92</v>
      </c>
      <c r="J126" s="16">
        <v>56.55</v>
      </c>
      <c r="K126" s="17">
        <v>8.0399505924035548</v>
      </c>
      <c r="P126" s="18">
        <v>4.7852957410263748E-2</v>
      </c>
      <c r="Q126" s="18">
        <v>2.3523828975974652</v>
      </c>
      <c r="R126" s="21" t="s">
        <v>50</v>
      </c>
      <c r="S126" s="21">
        <v>1.884730267790234</v>
      </c>
      <c r="T126" s="21">
        <v>6.1359794037814037</v>
      </c>
      <c r="U126" s="21">
        <v>9.8159594943178649E-2</v>
      </c>
      <c r="W126" s="18">
        <v>8.7063050204237408E-2</v>
      </c>
      <c r="Y126" s="92">
        <v>0.33919650140870011</v>
      </c>
      <c r="Z126" s="20">
        <v>-6.6034822525640307</v>
      </c>
      <c r="AA126" s="10">
        <v>-31.62203972640604</v>
      </c>
      <c r="AB126" s="17">
        <v>3.9422505786345892</v>
      </c>
      <c r="AC126" s="18">
        <v>1.423659086166646</v>
      </c>
      <c r="AD126" s="21">
        <v>0.17712453519690041</v>
      </c>
      <c r="AE126" s="21">
        <v>5.0828305213729426</v>
      </c>
      <c r="AF126" s="21">
        <v>3.7839127710344603E-2</v>
      </c>
      <c r="AG126" s="21"/>
      <c r="AH126" s="21">
        <v>5.3048471904461332</v>
      </c>
      <c r="AI126" s="46"/>
    </row>
    <row r="127" spans="1:36" ht="16.2">
      <c r="A127" s="13" t="s">
        <v>71</v>
      </c>
      <c r="B127" s="13" t="s">
        <v>72</v>
      </c>
      <c r="C127" s="13">
        <v>63</v>
      </c>
      <c r="E127" s="14">
        <v>45041</v>
      </c>
      <c r="H127" s="16">
        <v>11.5</v>
      </c>
      <c r="I127" s="16">
        <v>7.6</v>
      </c>
      <c r="J127" s="16">
        <v>56.56</v>
      </c>
      <c r="K127" s="17">
        <v>7.9957198493016186</v>
      </c>
      <c r="P127" s="18">
        <v>4.1313955810475242E-2</v>
      </c>
      <c r="Q127" s="18">
        <v>1.7089451699984579</v>
      </c>
      <c r="R127" s="21" t="s">
        <v>50</v>
      </c>
      <c r="S127" s="21">
        <v>1.4232329673852859</v>
      </c>
      <c r="T127" s="21">
        <v>4.2727841348110234</v>
      </c>
      <c r="U127" s="21">
        <v>0.12227334439583649</v>
      </c>
      <c r="W127" s="18">
        <v>0.19517629833563699</v>
      </c>
      <c r="Y127" s="92">
        <v>0.23739301608869851</v>
      </c>
      <c r="Z127" s="20">
        <v>-6.5503309847712687</v>
      </c>
      <c r="AA127" s="10">
        <v>-31.14183737264602</v>
      </c>
      <c r="AB127" s="17">
        <v>3.8900253760651031</v>
      </c>
      <c r="AC127" s="18">
        <v>1.396878946597975</v>
      </c>
      <c r="AD127" s="21">
        <v>0.23462852400330189</v>
      </c>
      <c r="AE127" s="21">
        <v>5.012539216052522</v>
      </c>
      <c r="AF127" s="21">
        <v>3.7571156751373652E-2</v>
      </c>
      <c r="AG127" s="21"/>
      <c r="AH127" s="21">
        <v>5.4299926987792828</v>
      </c>
      <c r="AI127" s="46"/>
    </row>
    <row r="128" spans="1:36" ht="16.2">
      <c r="A128" s="13" t="s">
        <v>73</v>
      </c>
      <c r="B128" s="13" t="s">
        <v>74</v>
      </c>
      <c r="C128" s="13">
        <v>63</v>
      </c>
      <c r="E128" s="14">
        <v>45041</v>
      </c>
      <c r="H128" s="16">
        <v>11.5</v>
      </c>
      <c r="I128" s="16">
        <v>7.3</v>
      </c>
      <c r="J128" s="16">
        <v>55.94</v>
      </c>
      <c r="K128" s="17">
        <v>8.0284633727134054</v>
      </c>
      <c r="P128" s="18">
        <v>4.6152534767215661E-2</v>
      </c>
      <c r="Q128" s="18">
        <v>2.2623732578881142</v>
      </c>
      <c r="R128" s="21" t="s">
        <v>50</v>
      </c>
      <c r="S128" s="21">
        <v>1.877747637005249</v>
      </c>
      <c r="T128" s="21">
        <v>6.1657794879462582</v>
      </c>
      <c r="U128" s="21">
        <v>9.3787398803238289E-2</v>
      </c>
      <c r="W128" s="18">
        <v>0.11517750741742409</v>
      </c>
      <c r="Y128" s="92">
        <v>0.20551196662644319</v>
      </c>
      <c r="Z128" s="20">
        <v>-6.5024249078791101</v>
      </c>
      <c r="AA128" s="10">
        <v>-30.797508894054481</v>
      </c>
      <c r="AB128" s="17">
        <v>3.985053126634285</v>
      </c>
      <c r="AC128" s="18">
        <v>1.427980394976357</v>
      </c>
      <c r="AD128" s="21">
        <v>0.2007502110569489</v>
      </c>
      <c r="AE128" s="21">
        <v>5.038204950762732</v>
      </c>
      <c r="AF128" s="21">
        <v>3.7875775372685168E-2</v>
      </c>
      <c r="AG128" s="21"/>
      <c r="AH128" s="21">
        <v>5.3044547333231566</v>
      </c>
      <c r="AI128" s="46"/>
    </row>
    <row r="129" spans="1:35" ht="16.2">
      <c r="A129" s="13" t="s">
        <v>71</v>
      </c>
      <c r="B129" s="13" t="s">
        <v>72</v>
      </c>
      <c r="C129" s="13">
        <v>64</v>
      </c>
      <c r="E129" s="14">
        <v>45048</v>
      </c>
      <c r="H129" s="16">
        <v>16.8</v>
      </c>
      <c r="I129" s="16">
        <v>6.83</v>
      </c>
      <c r="J129" s="16">
        <v>57.42</v>
      </c>
      <c r="P129" s="18">
        <v>7.0931761549021421E-2</v>
      </c>
      <c r="Q129" s="18">
        <v>1.9457883057762819</v>
      </c>
      <c r="R129" s="21" t="s">
        <v>50</v>
      </c>
      <c r="S129" s="21">
        <v>1.59380973576589</v>
      </c>
      <c r="T129" s="21">
        <v>5.037060235070741</v>
      </c>
      <c r="U129" s="21">
        <v>4.1800548096746618E-2</v>
      </c>
      <c r="W129" s="18">
        <v>0.25939771508738069</v>
      </c>
      <c r="Y129" s="92">
        <v>0.51518950664845453</v>
      </c>
      <c r="Z129" s="20">
        <v>-6.5884460386489732</v>
      </c>
      <c r="AA129" s="10">
        <v>-31.316925480141609</v>
      </c>
      <c r="AB129" s="17">
        <v>3.8888195851957761</v>
      </c>
      <c r="AC129" s="18">
        <v>1.3967306644795789</v>
      </c>
      <c r="AD129" s="21">
        <v>0.21453433020143831</v>
      </c>
      <c r="AE129" s="21">
        <v>5.1151944476479887</v>
      </c>
      <c r="AF129" s="21">
        <v>3.7525199382107501E-2</v>
      </c>
      <c r="AG129" s="21"/>
      <c r="AH129" s="21">
        <v>5.3906187398164764</v>
      </c>
      <c r="AI129" s="46"/>
    </row>
    <row r="130" spans="1:35" ht="16.2">
      <c r="A130" s="13" t="s">
        <v>73</v>
      </c>
      <c r="B130" s="13" t="s">
        <v>74</v>
      </c>
      <c r="C130" s="13">
        <v>64</v>
      </c>
      <c r="E130" s="14">
        <v>45048</v>
      </c>
      <c r="H130" s="16">
        <v>15.2</v>
      </c>
      <c r="I130" s="16">
        <v>6.82</v>
      </c>
      <c r="J130" s="16">
        <v>57.43</v>
      </c>
      <c r="P130" s="18">
        <v>4.7984405575470443E-2</v>
      </c>
      <c r="Q130" s="18">
        <v>1.8158260450028101</v>
      </c>
      <c r="R130" s="21" t="s">
        <v>50</v>
      </c>
      <c r="S130" s="21">
        <v>1.361634653127745</v>
      </c>
      <c r="T130" s="21">
        <v>4.7240176820600546</v>
      </c>
      <c r="U130" s="21">
        <v>7.5983682807864439E-2</v>
      </c>
      <c r="W130" s="18">
        <v>0.19068660975826071</v>
      </c>
      <c r="Y130" s="92">
        <v>0.33456557643649348</v>
      </c>
      <c r="Z130" s="20">
        <v>-6.5244547096616374</v>
      </c>
      <c r="AA130" s="10">
        <v>-30.95986957526847</v>
      </c>
      <c r="AB130" s="17">
        <v>3.9275801520631082</v>
      </c>
      <c r="AC130" s="18">
        <v>1.441998810834358</v>
      </c>
      <c r="AD130" s="21">
        <v>0.18575319208871061</v>
      </c>
      <c r="AE130" s="21">
        <v>4.9964886866795206</v>
      </c>
      <c r="AF130" s="21">
        <v>3.799061350236424E-2</v>
      </c>
      <c r="AG130" s="21"/>
      <c r="AH130" s="21">
        <v>5.289270191525941</v>
      </c>
      <c r="AI130" s="46"/>
    </row>
    <row r="131" spans="1:35" ht="16.2">
      <c r="A131" s="13" t="s">
        <v>71</v>
      </c>
      <c r="B131" s="13" t="s">
        <v>72</v>
      </c>
      <c r="C131" s="13">
        <v>65</v>
      </c>
      <c r="E131" s="14">
        <v>45055</v>
      </c>
      <c r="H131" s="16">
        <v>18.100000000000001</v>
      </c>
      <c r="I131" s="16">
        <v>7.45</v>
      </c>
      <c r="J131" s="16">
        <v>55.53</v>
      </c>
      <c r="P131" s="18">
        <v>4.6348778878264302E-2</v>
      </c>
      <c r="Q131" s="18">
        <v>2.1911617044003582</v>
      </c>
      <c r="R131" s="21" t="s">
        <v>50</v>
      </c>
      <c r="S131" s="21">
        <v>2.328619940308462</v>
      </c>
      <c r="T131" s="21">
        <v>5.9499135657378526</v>
      </c>
      <c r="U131" s="21">
        <v>0.1393649117513954</v>
      </c>
      <c r="W131" s="18">
        <v>0.20468364096336639</v>
      </c>
      <c r="Y131" s="94">
        <v>0.63791873169160918</v>
      </c>
      <c r="Z131" s="20">
        <v>-6.6818104366796778</v>
      </c>
      <c r="AA131" s="10">
        <v>-33.60648627285417</v>
      </c>
      <c r="AB131" s="17">
        <v>3.8181391233902362</v>
      </c>
      <c r="AC131" s="18">
        <v>1.3746280082099049</v>
      </c>
      <c r="AD131" s="21">
        <v>0.2101128881640171</v>
      </c>
      <c r="AE131" s="21">
        <v>4.9475076530537896</v>
      </c>
      <c r="AF131" s="21">
        <v>3.710329427833526E-2</v>
      </c>
      <c r="AG131" s="21"/>
      <c r="AH131" s="21">
        <v>5.3651606248200068</v>
      </c>
      <c r="AI131" s="46"/>
    </row>
    <row r="132" spans="1:35" ht="16.2">
      <c r="A132" s="13" t="s">
        <v>73</v>
      </c>
      <c r="B132" s="13" t="s">
        <v>74</v>
      </c>
      <c r="C132" s="13">
        <v>65</v>
      </c>
      <c r="E132" s="14">
        <v>45055</v>
      </c>
      <c r="H132" s="16">
        <v>18.7</v>
      </c>
      <c r="I132" s="16">
        <v>7.3</v>
      </c>
      <c r="J132" s="16">
        <v>59.01</v>
      </c>
      <c r="P132" s="18">
        <v>4.0660404715455158E-2</v>
      </c>
      <c r="Q132" s="18">
        <v>2.1654931921365188</v>
      </c>
      <c r="R132" s="21" t="s">
        <v>50</v>
      </c>
      <c r="S132" s="21">
        <v>2.0242644363573592</v>
      </c>
      <c r="T132" s="21">
        <v>6.1490887441520474</v>
      </c>
      <c r="U132" s="21">
        <v>0.1087425202393523</v>
      </c>
      <c r="W132" s="18">
        <v>0.13451490541619471</v>
      </c>
      <c r="Y132" s="92">
        <v>0.27590057039232468</v>
      </c>
      <c r="Z132" s="20">
        <v>-6.5608213665724726</v>
      </c>
      <c r="AA132" s="10">
        <v>-31.87968411248502</v>
      </c>
      <c r="AB132" s="17">
        <v>3.9377749924095959</v>
      </c>
      <c r="AC132" s="18">
        <v>1.511476896470503</v>
      </c>
      <c r="AD132" s="21">
        <v>0.19125845005329731</v>
      </c>
      <c r="AE132" s="21">
        <v>5.285085304633351</v>
      </c>
      <c r="AF132" s="21">
        <v>3.9537643885953773E-2</v>
      </c>
      <c r="AG132" s="21"/>
      <c r="AH132" s="21">
        <v>5.3468534535406782</v>
      </c>
      <c r="AI132" s="46"/>
    </row>
    <row r="133" spans="1:35" ht="16.2">
      <c r="A133" s="13" t="s">
        <v>71</v>
      </c>
      <c r="B133" s="13" t="s">
        <v>72</v>
      </c>
      <c r="C133" s="13">
        <v>66</v>
      </c>
      <c r="E133" s="14">
        <v>45062</v>
      </c>
      <c r="H133" s="16">
        <v>19</v>
      </c>
      <c r="I133" s="16">
        <v>7.35</v>
      </c>
      <c r="J133" s="16">
        <v>59.59</v>
      </c>
      <c r="P133" s="18">
        <v>4.3144292716335478E-2</v>
      </c>
      <c r="Q133" s="18">
        <v>2.2258370710611821</v>
      </c>
      <c r="R133" s="21" t="s">
        <v>50</v>
      </c>
      <c r="S133" s="21">
        <v>1.9414428660139871</v>
      </c>
      <c r="T133" s="21">
        <v>6.2991590654125371</v>
      </c>
      <c r="U133" s="21">
        <v>0.12156119575602151</v>
      </c>
      <c r="W133" s="18">
        <v>0.1058299742264848</v>
      </c>
      <c r="Y133" s="92">
        <v>0.23181888038358181</v>
      </c>
      <c r="Z133" s="20">
        <v>-6.6478915355224544</v>
      </c>
      <c r="AA133" s="10">
        <v>-32.049612452569157</v>
      </c>
      <c r="AB133" s="17">
        <v>3.943585080406991</v>
      </c>
      <c r="AC133" s="18">
        <v>1.440538508538084</v>
      </c>
      <c r="AD133" s="21">
        <v>0.2299602949775581</v>
      </c>
      <c r="AE133" s="21">
        <v>5.160033755405423</v>
      </c>
      <c r="AF133" s="21">
        <v>3.8464451670227218E-2</v>
      </c>
      <c r="AG133" s="21"/>
      <c r="AH133" s="21">
        <v>5.4814136238414486</v>
      </c>
      <c r="AI133" s="46"/>
    </row>
    <row r="134" spans="1:35" ht="16.2">
      <c r="A134" s="13" t="s">
        <v>73</v>
      </c>
      <c r="B134" s="13" t="s">
        <v>74</v>
      </c>
      <c r="C134" s="13">
        <v>66</v>
      </c>
      <c r="E134" s="14">
        <v>45062</v>
      </c>
      <c r="H134" s="16">
        <v>19.5</v>
      </c>
      <c r="I134" s="16">
        <v>7.06</v>
      </c>
      <c r="J134" s="16">
        <v>58.19</v>
      </c>
      <c r="P134" s="18">
        <v>4.3471199667163583E-2</v>
      </c>
      <c r="Q134" s="18">
        <v>2.2667399352486099</v>
      </c>
      <c r="R134" s="21" t="s">
        <v>50</v>
      </c>
      <c r="S134" s="21">
        <v>1.80114548556608</v>
      </c>
      <c r="T134" s="21">
        <v>6.5427287432779293</v>
      </c>
      <c r="U134" s="21">
        <v>0.1023331824810178</v>
      </c>
      <c r="W134" s="18">
        <v>0.1062697685802616</v>
      </c>
      <c r="Y134" s="92">
        <v>0.2736529288294417</v>
      </c>
      <c r="Z134" s="20">
        <v>-6.5678149544399398</v>
      </c>
      <c r="AA134" s="10">
        <v>-31.477566238885121</v>
      </c>
      <c r="AB134" s="17">
        <v>4.0123179513528644</v>
      </c>
      <c r="AC134" s="18">
        <v>1.4904223919786701</v>
      </c>
      <c r="AD134" s="21">
        <v>0.20743696892597799</v>
      </c>
      <c r="AE134" s="21">
        <v>5.1980925497882389</v>
      </c>
      <c r="AF134" s="21">
        <v>3.8620731456062471E-2</v>
      </c>
      <c r="AG134" s="21"/>
      <c r="AH134" s="21">
        <v>5.3318190876589684</v>
      </c>
      <c r="AI134" s="46"/>
    </row>
    <row r="135" spans="1:35" ht="16.2">
      <c r="A135" s="13" t="s">
        <v>71</v>
      </c>
      <c r="B135" s="13" t="s">
        <v>72</v>
      </c>
      <c r="C135" s="13">
        <v>67</v>
      </c>
      <c r="E135" s="14">
        <v>45069</v>
      </c>
      <c r="H135" s="16">
        <v>13.6</v>
      </c>
      <c r="I135" s="16">
        <v>7.25</v>
      </c>
      <c r="J135" s="16">
        <v>53.57</v>
      </c>
      <c r="P135" s="18">
        <v>4.9751402099322273E-2</v>
      </c>
      <c r="Q135" s="18">
        <v>2.143694285956117</v>
      </c>
      <c r="R135" s="21" t="s">
        <v>50</v>
      </c>
      <c r="S135" s="21">
        <v>2.8884768595262398</v>
      </c>
      <c r="T135" s="21">
        <v>5.5630706301349404</v>
      </c>
      <c r="U135" s="21">
        <v>0.14933499270880471</v>
      </c>
      <c r="W135" s="18">
        <v>0.32380147086523597</v>
      </c>
      <c r="Y135" s="92">
        <v>0.3368743224939465</v>
      </c>
      <c r="Z135" s="20">
        <v>-5.547417701705637</v>
      </c>
      <c r="AA135" s="10">
        <v>-24.896395405652939</v>
      </c>
      <c r="AB135" s="17">
        <v>3.993657662082696</v>
      </c>
      <c r="AC135" s="18">
        <v>1.39055019086862</v>
      </c>
      <c r="AD135" s="21">
        <v>0.2109127753081104</v>
      </c>
      <c r="AE135" s="21">
        <v>5.2269442551172958</v>
      </c>
      <c r="AF135" s="21">
        <v>3.8036618051435073E-2</v>
      </c>
      <c r="AG135" s="21"/>
      <c r="AH135" s="21">
        <v>5.2941169254164926</v>
      </c>
      <c r="AI135" s="46"/>
    </row>
    <row r="136" spans="1:35" ht="16.2">
      <c r="A136" s="13" t="s">
        <v>73</v>
      </c>
      <c r="B136" s="13" t="s">
        <v>74</v>
      </c>
      <c r="C136" s="13">
        <v>67</v>
      </c>
      <c r="E136" s="14">
        <v>45069</v>
      </c>
      <c r="H136" s="16">
        <v>15.3</v>
      </c>
      <c r="I136" s="16">
        <v>6.82</v>
      </c>
      <c r="J136" s="16">
        <v>60.17</v>
      </c>
      <c r="P136" s="18">
        <v>4.0660404715455158E-2</v>
      </c>
      <c r="Q136" s="18">
        <v>1.79272631442006</v>
      </c>
      <c r="R136" s="21" t="s">
        <v>50</v>
      </c>
      <c r="S136" s="21">
        <v>1.826152966994278</v>
      </c>
      <c r="T136" s="21">
        <v>4.4137011919555977</v>
      </c>
      <c r="U136" s="21">
        <v>8.7378061044903699E-2</v>
      </c>
      <c r="W136" s="18">
        <v>0.21930664503263711</v>
      </c>
      <c r="Y136" s="92">
        <v>0.28300983821534459</v>
      </c>
      <c r="Z136" s="20">
        <v>-5.2895775570875658</v>
      </c>
      <c r="AA136" s="10">
        <v>-22.29043645468283</v>
      </c>
      <c r="AB136" s="17">
        <v>4.2562322498742997</v>
      </c>
      <c r="AC136" s="18">
        <v>1.7406177357932191</v>
      </c>
      <c r="AD136" s="21">
        <v>0.21777954182924131</v>
      </c>
      <c r="AE136" s="21">
        <v>6.4615345184115398</v>
      </c>
      <c r="AF136" s="21">
        <v>4.3491259459937037E-2</v>
      </c>
      <c r="AG136" s="21"/>
      <c r="AH136" s="21">
        <v>5.3363884885680548</v>
      </c>
      <c r="AI136" s="46"/>
    </row>
    <row r="137" spans="1:35">
      <c r="A137" s="13" t="s">
        <v>71</v>
      </c>
      <c r="B137" s="13" t="s">
        <v>72</v>
      </c>
      <c r="C137" s="13">
        <v>68</v>
      </c>
      <c r="E137" s="14">
        <v>45076</v>
      </c>
      <c r="H137" s="16">
        <v>12.7</v>
      </c>
      <c r="I137" s="16">
        <v>7.19</v>
      </c>
      <c r="J137" s="16">
        <v>62.17</v>
      </c>
      <c r="P137" s="18">
        <v>3.6871268236694878E-2</v>
      </c>
      <c r="Q137" s="18">
        <v>2.3703843729581591</v>
      </c>
      <c r="R137" s="21" t="s">
        <v>50</v>
      </c>
      <c r="S137" s="21">
        <v>2.1988864321050059</v>
      </c>
      <c r="T137" s="21">
        <v>6.2703961759176536</v>
      </c>
      <c r="U137" s="21">
        <v>0.1528957359078795</v>
      </c>
      <c r="W137" s="18">
        <v>0.19154605720114939</v>
      </c>
      <c r="Y137" s="92">
        <v>0.28468330801948433</v>
      </c>
      <c r="Z137" s="20">
        <v>-5.830683749473546</v>
      </c>
      <c r="AA137" s="10">
        <v>-27.09504283345353</v>
      </c>
      <c r="AB137" s="17">
        <v>4.1325991967061633</v>
      </c>
      <c r="AC137" s="18">
        <v>1.4783689604269321</v>
      </c>
      <c r="AD137" s="21">
        <v>0.20697152401145091</v>
      </c>
      <c r="AE137" s="21">
        <v>5.4278322597491586</v>
      </c>
      <c r="AF137" s="21">
        <v>3.9471686040368791E-2</v>
      </c>
      <c r="AG137" s="21"/>
      <c r="AH137" s="21">
        <v>5.5961643024227739</v>
      </c>
    </row>
    <row r="138" spans="1:35">
      <c r="A138" s="13" t="s">
        <v>73</v>
      </c>
      <c r="B138" s="13" t="s">
        <v>74</v>
      </c>
      <c r="C138" s="13">
        <v>68</v>
      </c>
      <c r="E138" s="14">
        <v>45076</v>
      </c>
      <c r="H138" s="16">
        <v>13.7</v>
      </c>
      <c r="I138" s="16">
        <v>6.9</v>
      </c>
      <c r="J138" s="16">
        <v>62.74</v>
      </c>
      <c r="P138" s="18">
        <v>4.3667352721265047E-2</v>
      </c>
      <c r="Q138" s="18">
        <v>2.3434798715661178</v>
      </c>
      <c r="R138" s="21" t="s">
        <v>50</v>
      </c>
      <c r="S138" s="21">
        <v>1.9392131332824201</v>
      </c>
      <c r="T138" s="21">
        <v>6.3589242962582766</v>
      </c>
      <c r="U138" s="21">
        <v>8.2393020566199029E-2</v>
      </c>
      <c r="W138" s="18">
        <v>0.19253661554324389</v>
      </c>
      <c r="Y138" s="92">
        <v>0.19511480004543191</v>
      </c>
      <c r="Z138" s="20">
        <v>-5.6265603016509056</v>
      </c>
      <c r="AA138" s="10">
        <v>-25.917630787399901</v>
      </c>
      <c r="AB138" s="17">
        <v>4.1735411239952382</v>
      </c>
      <c r="AC138" s="18">
        <v>1.5552272308836941</v>
      </c>
      <c r="AD138" s="21">
        <v>0.1959264903068289</v>
      </c>
      <c r="AE138" s="21">
        <v>5.586662850256257</v>
      </c>
      <c r="AF138" s="21">
        <v>4.0432281150008693E-2</v>
      </c>
      <c r="AG138" s="21"/>
      <c r="AH138" s="21">
        <v>5.5034100886295283</v>
      </c>
    </row>
    <row r="139" spans="1:35">
      <c r="A139" s="13" t="s">
        <v>71</v>
      </c>
      <c r="B139" s="13" t="s">
        <v>72</v>
      </c>
      <c r="C139" s="13">
        <v>69</v>
      </c>
      <c r="E139" s="14">
        <v>45083</v>
      </c>
      <c r="H139" s="16">
        <v>15.7</v>
      </c>
      <c r="I139" s="16">
        <v>6.54</v>
      </c>
      <c r="J139" s="16">
        <v>42.46</v>
      </c>
      <c r="P139" s="18">
        <v>4.1510035574838747E-2</v>
      </c>
      <c r="Q139" s="18">
        <v>2.0570689072580239</v>
      </c>
      <c r="R139" s="21" t="s">
        <v>50</v>
      </c>
      <c r="S139" s="21">
        <v>1.9635310983263561</v>
      </c>
      <c r="T139" s="21">
        <v>3.845542216996952</v>
      </c>
      <c r="U139" s="21">
        <v>0.12583408759491119</v>
      </c>
      <c r="W139" s="18">
        <v>0.2068785496188783</v>
      </c>
      <c r="Y139" s="92">
        <v>0.3953600797558931</v>
      </c>
      <c r="Z139" s="20">
        <v>-5.3461591443787544</v>
      </c>
      <c r="AA139" s="10">
        <v>-23.138103561398552</v>
      </c>
      <c r="AB139" s="17">
        <v>3.0454903753315068</v>
      </c>
      <c r="AC139" s="18">
        <v>0.97121454015331954</v>
      </c>
      <c r="AD139" s="21">
        <v>0.19957606164288</v>
      </c>
      <c r="AE139" s="21">
        <v>3.6791627451151139</v>
      </c>
      <c r="AF139" s="21">
        <v>3.0939044955497229E-2</v>
      </c>
      <c r="AG139" s="21"/>
      <c r="AH139" s="21">
        <v>4.950340820500303</v>
      </c>
    </row>
    <row r="140" spans="1:35">
      <c r="A140" s="13" t="s">
        <v>73</v>
      </c>
      <c r="B140" s="13" t="s">
        <v>74</v>
      </c>
      <c r="C140" s="13">
        <v>69</v>
      </c>
      <c r="E140" s="14">
        <v>45083</v>
      </c>
      <c r="H140" s="16">
        <v>17.2</v>
      </c>
      <c r="I140" s="16">
        <v>6.29</v>
      </c>
      <c r="J140" s="16">
        <v>40.729999999999997</v>
      </c>
      <c r="P140" s="18">
        <v>3.7785659374222361E-2</v>
      </c>
      <c r="Q140" s="18">
        <v>2.0152973866695558</v>
      </c>
      <c r="R140" s="21" t="s">
        <v>50</v>
      </c>
      <c r="S140" s="21">
        <v>1.686899451728975</v>
      </c>
      <c r="T140" s="21">
        <v>4.2553517842480906</v>
      </c>
      <c r="U140" s="21">
        <v>8.5953763765273805E-2</v>
      </c>
      <c r="W140" s="18">
        <v>0.15532450915614551</v>
      </c>
      <c r="Y140" s="92">
        <v>0.34061508685419251</v>
      </c>
      <c r="Z140" s="20">
        <v>-5.477227884559607</v>
      </c>
      <c r="AA140" s="10">
        <v>-23.004188158819328</v>
      </c>
      <c r="AB140" s="17">
        <v>2.8615622011394168</v>
      </c>
      <c r="AC140" s="18">
        <v>0.94334535856534463</v>
      </c>
      <c r="AD140" s="21">
        <v>0.18916950922165221</v>
      </c>
      <c r="AE140" s="21">
        <v>3.4430091211311322</v>
      </c>
      <c r="AF140" s="21">
        <v>3.1491581830755483E-2</v>
      </c>
      <c r="AG140" s="21"/>
      <c r="AH140" s="21">
        <v>4.5929740353221531</v>
      </c>
    </row>
    <row r="141" spans="1:35">
      <c r="A141" s="13" t="s">
        <v>71</v>
      </c>
      <c r="B141" s="13" t="s">
        <v>72</v>
      </c>
      <c r="C141" s="13">
        <v>70</v>
      </c>
      <c r="E141" s="14">
        <v>45090</v>
      </c>
      <c r="H141" s="16">
        <v>18.399999999999999</v>
      </c>
      <c r="I141" s="16">
        <v>6.84</v>
      </c>
      <c r="J141" s="16">
        <v>45.21</v>
      </c>
      <c r="P141" s="18">
        <v>4.4648217932324152E-2</v>
      </c>
      <c r="Q141" s="18">
        <v>2.0541171214623559</v>
      </c>
      <c r="R141" s="21" t="s">
        <v>50</v>
      </c>
      <c r="S141" s="21">
        <v>2.0127318709369559</v>
      </c>
      <c r="T141" s="21">
        <v>3.7248807991929098</v>
      </c>
      <c r="U141" s="21">
        <v>9.5211696082868211E-2</v>
      </c>
      <c r="W141" s="18">
        <v>0.14893872781020229</v>
      </c>
      <c r="Y141" s="92">
        <v>0.40037278213240413</v>
      </c>
      <c r="Z141" s="20">
        <v>-5.7139394617714743</v>
      </c>
      <c r="AA141" s="10">
        <v>-25.857107982078379</v>
      </c>
      <c r="AB141" s="17">
        <v>3.268521211332486</v>
      </c>
      <c r="AC141" s="18">
        <v>0.9759794601299191</v>
      </c>
      <c r="AD141" s="21">
        <v>0.2124571391720349</v>
      </c>
      <c r="AE141" s="21">
        <v>3.6798676305035789</v>
      </c>
      <c r="AF141" s="21">
        <v>3.1249420882697072E-2</v>
      </c>
      <c r="AG141" s="21"/>
      <c r="AH141" s="21">
        <v>5.0717660899267836</v>
      </c>
    </row>
    <row r="142" spans="1:35">
      <c r="A142" s="13" t="s">
        <v>73</v>
      </c>
      <c r="B142" s="13" t="s">
        <v>74</v>
      </c>
      <c r="C142" s="13">
        <v>70</v>
      </c>
      <c r="E142" s="14">
        <v>45090</v>
      </c>
      <c r="H142" s="16">
        <v>18.899999999999999</v>
      </c>
      <c r="I142" s="16">
        <v>6.37</v>
      </c>
      <c r="J142" s="16">
        <v>43.34</v>
      </c>
      <c r="P142" s="18">
        <v>4.0202962996813918E-2</v>
      </c>
      <c r="Q142" s="18">
        <v>1.95945775952777</v>
      </c>
      <c r="R142" s="21" t="s">
        <v>50</v>
      </c>
      <c r="S142" s="21">
        <v>1.6450750537648391</v>
      </c>
      <c r="T142" s="21">
        <v>4.1534926462178108</v>
      </c>
      <c r="U142" s="21">
        <v>7.3847236888419571E-2</v>
      </c>
      <c r="W142" s="18">
        <v>0.1017701525843665</v>
      </c>
      <c r="Y142" s="92">
        <v>0.17959783021186509</v>
      </c>
      <c r="Z142" s="20">
        <v>-5.5291540247951909</v>
      </c>
      <c r="AA142" s="10">
        <v>-24.405256318790979</v>
      </c>
      <c r="AB142" s="17">
        <v>2.9721442737874311</v>
      </c>
      <c r="AC142" s="18">
        <v>0.9570871980481187</v>
      </c>
      <c r="AD142" s="21">
        <v>0.2037144861783946</v>
      </c>
      <c r="AE142" s="21">
        <v>3.5530726622111808</v>
      </c>
      <c r="AF142" s="21">
        <v>3.1611211509351138E-2</v>
      </c>
      <c r="AG142" s="21"/>
      <c r="AH142" s="21">
        <v>4.7181420304506156</v>
      </c>
    </row>
    <row r="143" spans="1:35">
      <c r="A143" s="13" t="s">
        <v>71</v>
      </c>
      <c r="B143" s="13" t="s">
        <v>72</v>
      </c>
      <c r="C143" s="13">
        <v>71</v>
      </c>
      <c r="E143" s="14">
        <v>45098</v>
      </c>
      <c r="H143" s="16">
        <v>15</v>
      </c>
      <c r="I143" s="16">
        <v>6.66</v>
      </c>
      <c r="J143" s="16">
        <v>51.17</v>
      </c>
      <c r="P143" s="18">
        <v>3.9026850859322733E-2</v>
      </c>
      <c r="Q143" s="18">
        <v>2.1753558675348321</v>
      </c>
      <c r="R143" s="21" t="s">
        <v>50</v>
      </c>
      <c r="S143" s="21">
        <v>1.7176804213394421</v>
      </c>
      <c r="T143" s="21">
        <v>4.5111973056026713</v>
      </c>
      <c r="U143" s="21">
        <v>0.14363780359028511</v>
      </c>
      <c r="W143" s="18">
        <v>0.1179608680795198</v>
      </c>
      <c r="Y143" s="92">
        <v>0.25973230379582879</v>
      </c>
      <c r="Z143" s="20">
        <v>-5.7991699540202264</v>
      </c>
      <c r="AA143" s="10">
        <v>-27.340960209098991</v>
      </c>
      <c r="AB143" s="17">
        <v>3.6207717476160259</v>
      </c>
      <c r="AC143" s="18">
        <v>1.170941481458742</v>
      </c>
      <c r="AD143" s="21">
        <v>0.19559454829975209</v>
      </c>
      <c r="AE143" s="21">
        <v>4.2855077430246213</v>
      </c>
      <c r="AF143" s="21">
        <v>3.417645332252138E-2</v>
      </c>
      <c r="AG143" s="21"/>
      <c r="AH143" s="21">
        <v>5.7038889363336933</v>
      </c>
    </row>
    <row r="144" spans="1:35">
      <c r="A144" s="13" t="s">
        <v>73</v>
      </c>
      <c r="B144" s="13" t="s">
        <v>74</v>
      </c>
      <c r="C144" s="13">
        <v>71</v>
      </c>
      <c r="E144" s="14">
        <v>45098</v>
      </c>
      <c r="H144" s="16">
        <v>16.600000000000001</v>
      </c>
      <c r="I144" s="16">
        <v>6.42</v>
      </c>
      <c r="J144" s="16">
        <v>50.98</v>
      </c>
      <c r="P144" s="18">
        <v>4.0464353822806609E-2</v>
      </c>
      <c r="Q144" s="18">
        <v>2.1963291381759529</v>
      </c>
      <c r="R144" s="21" t="s">
        <v>50</v>
      </c>
      <c r="S144" s="21">
        <v>1.3743721824749799</v>
      </c>
      <c r="T144" s="21">
        <v>5.5512708057626083</v>
      </c>
      <c r="U144" s="21">
        <v>8.0968723286569122E-2</v>
      </c>
      <c r="W144" s="18">
        <v>9.8084624843918777E-2</v>
      </c>
      <c r="Y144" s="92">
        <v>0.17279133946264319</v>
      </c>
      <c r="Z144" s="20">
        <v>-5.9295224715771386</v>
      </c>
      <c r="AA144" s="10">
        <v>-27.442875047945002</v>
      </c>
      <c r="AB144" s="17">
        <v>3.5411036192438821</v>
      </c>
      <c r="AC144" s="18">
        <v>1.1937902661989619</v>
      </c>
      <c r="AD144" s="21">
        <v>0.18397646532175699</v>
      </c>
      <c r="AE144" s="21">
        <v>4.274355171090221</v>
      </c>
      <c r="AF144" s="21">
        <v>3.4731571179429183E-2</v>
      </c>
      <c r="AG144" s="21"/>
      <c r="AH144" s="21">
        <v>5.3248254433651603</v>
      </c>
    </row>
    <row r="145" spans="1:34">
      <c r="A145" s="13" t="s">
        <v>71</v>
      </c>
      <c r="B145" s="13" t="s">
        <v>72</v>
      </c>
      <c r="C145" s="13">
        <v>72</v>
      </c>
      <c r="E145" s="14">
        <v>45104</v>
      </c>
      <c r="H145" s="16">
        <v>20.7</v>
      </c>
      <c r="I145" s="16">
        <v>6.76</v>
      </c>
      <c r="J145" s="16">
        <v>52.76</v>
      </c>
      <c r="P145" s="18">
        <v>3.1699999999999999E-2</v>
      </c>
      <c r="Q145" s="18">
        <v>2.1064234905692132</v>
      </c>
      <c r="R145" s="21" t="s">
        <v>50</v>
      </c>
      <c r="S145" s="21">
        <v>1.650976629334056</v>
      </c>
      <c r="T145" s="21">
        <v>4.5943111552172811</v>
      </c>
      <c r="U145" s="21">
        <v>0.10146736832806461</v>
      </c>
      <c r="V145" s="21">
        <v>5.397039685724192E-5</v>
      </c>
      <c r="W145" s="18">
        <v>0.16600660238511769</v>
      </c>
      <c r="Y145" s="92">
        <v>0.41406956100246922</v>
      </c>
      <c r="Z145" s="20">
        <v>-5.9721377177015142</v>
      </c>
      <c r="AA145" s="10">
        <v>-27.859925873120261</v>
      </c>
      <c r="AB145" s="17">
        <v>3.7427991249219912</v>
      </c>
      <c r="AC145" s="18">
        <v>1.1992881721713931</v>
      </c>
      <c r="AD145" s="21">
        <v>0.20884264982049089</v>
      </c>
      <c r="AE145" s="21">
        <v>4.438750694104443</v>
      </c>
      <c r="AF145" s="21">
        <v>3.4714989738518838E-2</v>
      </c>
      <c r="AG145" s="21"/>
      <c r="AH145" s="21">
        <v>5.5842157373721157</v>
      </c>
    </row>
    <row r="146" spans="1:34">
      <c r="A146" s="13" t="s">
        <v>73</v>
      </c>
      <c r="B146" s="13" t="s">
        <v>74</v>
      </c>
      <c r="C146" s="13">
        <v>72</v>
      </c>
      <c r="E146" s="14">
        <v>45104</v>
      </c>
      <c r="H146" s="16">
        <v>20.3</v>
      </c>
      <c r="I146" s="16">
        <v>6.53</v>
      </c>
      <c r="J146" s="16">
        <v>54.73</v>
      </c>
      <c r="P146" s="18">
        <v>6.8999999999999999E-3</v>
      </c>
      <c r="Q146" s="18">
        <v>0.40403033996910792</v>
      </c>
      <c r="R146" s="21" t="s">
        <v>50</v>
      </c>
      <c r="S146" s="21">
        <v>0.2511316703922844</v>
      </c>
      <c r="T146" s="21">
        <v>1.0525747173502911</v>
      </c>
      <c r="U146" s="21" t="s">
        <v>50</v>
      </c>
      <c r="V146" s="21">
        <v>3.0968365745977222E-3</v>
      </c>
      <c r="W146" s="18">
        <v>0.15193703923106269</v>
      </c>
      <c r="Y146" s="92">
        <v>0.2325277862961973</v>
      </c>
      <c r="Z146" s="20">
        <v>-5.8206566327383982</v>
      </c>
      <c r="AA146" s="10">
        <v>-27.658531020929711</v>
      </c>
      <c r="AB146" s="17">
        <v>3.7111875646409418</v>
      </c>
      <c r="AC146" s="18">
        <v>1.2718853627248341</v>
      </c>
      <c r="AD146" s="21">
        <v>0.19283577382849029</v>
      </c>
      <c r="AE146" s="21">
        <v>4.57156570316259</v>
      </c>
      <c r="AF146" s="21">
        <v>3.6517993248054027E-2</v>
      </c>
      <c r="AG146" s="21"/>
      <c r="AH146" s="21">
        <v>5.3432074398842229</v>
      </c>
    </row>
    <row r="147" spans="1:34">
      <c r="A147" s="13" t="s">
        <v>71</v>
      </c>
      <c r="B147" s="13" t="s">
        <v>72</v>
      </c>
      <c r="C147" s="13">
        <v>73</v>
      </c>
      <c r="E147" s="14">
        <v>45111</v>
      </c>
      <c r="H147" s="16">
        <v>16.600000000000001</v>
      </c>
      <c r="I147" s="16">
        <v>6.9</v>
      </c>
      <c r="J147" s="16">
        <v>53.87</v>
      </c>
      <c r="P147" s="18">
        <v>3.1099999999999999E-2</v>
      </c>
      <c r="Q147" s="18">
        <v>2.26653060026901</v>
      </c>
      <c r="R147" s="21" t="s">
        <v>50</v>
      </c>
      <c r="S147" s="21">
        <v>2.2732095952239479</v>
      </c>
      <c r="T147" s="21">
        <v>4.800378333443752</v>
      </c>
      <c r="U147" s="21">
        <v>0.1127419041135856</v>
      </c>
      <c r="W147" s="18">
        <v>0.1964906351319444</v>
      </c>
      <c r="Y147" s="92">
        <v>0.25222681210889059</v>
      </c>
      <c r="Z147" s="20">
        <v>-5.9871783928042346</v>
      </c>
      <c r="AA147" s="10">
        <v>-28.7966380267458</v>
      </c>
      <c r="AB147" s="17">
        <v>3.5247230365111761</v>
      </c>
      <c r="AC147" s="18">
        <v>1.162023134937638</v>
      </c>
      <c r="AD147" s="21">
        <v>0.20702729503420911</v>
      </c>
      <c r="AE147" s="21">
        <v>4.3458997949508742</v>
      </c>
      <c r="AF147" s="21">
        <v>3.4316760164029868E-2</v>
      </c>
      <c r="AG147" s="21"/>
      <c r="AH147" s="21">
        <v>5.3994420485971988</v>
      </c>
    </row>
    <row r="148" spans="1:34">
      <c r="A148" s="13" t="s">
        <v>73</v>
      </c>
      <c r="B148" s="13" t="s">
        <v>74</v>
      </c>
      <c r="C148" s="13">
        <v>73</v>
      </c>
      <c r="E148" s="14">
        <v>45111</v>
      </c>
      <c r="H148" s="16">
        <v>15.9</v>
      </c>
      <c r="I148" s="16">
        <v>6.38</v>
      </c>
      <c r="J148" s="16">
        <v>52.13</v>
      </c>
      <c r="P148" s="18">
        <v>3.5099999999999999E-2</v>
      </c>
      <c r="Q148" s="18">
        <v>2.145609876461914</v>
      </c>
      <c r="R148" s="21" t="s">
        <v>50</v>
      </c>
      <c r="S148" s="21">
        <v>1.8128797136748329</v>
      </c>
      <c r="T148" s="21">
        <v>5.3303084022779794</v>
      </c>
      <c r="U148" s="21">
        <v>5.8073237893917933E-2</v>
      </c>
      <c r="W148" s="18">
        <v>0.2019741699272849</v>
      </c>
      <c r="Y148" s="92">
        <v>0.2443500678744987</v>
      </c>
      <c r="Z148" s="20">
        <v>-5.9019479005554842</v>
      </c>
      <c r="AA148" s="10">
        <v>-29.24429808679632</v>
      </c>
      <c r="AB148" s="17">
        <v>3.536538946011953</v>
      </c>
      <c r="AC148" s="18">
        <v>1.221170158974477</v>
      </c>
      <c r="AD148" s="21">
        <v>0.20895952578396099</v>
      </c>
      <c r="AE148" s="21">
        <v>4.3813005155882951</v>
      </c>
      <c r="AF148" s="21">
        <v>3.5474347611125702E-2</v>
      </c>
      <c r="AG148" s="21"/>
      <c r="AH148" s="21">
        <v>5.1738933683816146</v>
      </c>
    </row>
    <row r="149" spans="1:34">
      <c r="A149" s="13" t="s">
        <v>71</v>
      </c>
      <c r="B149" s="13" t="s">
        <v>72</v>
      </c>
      <c r="C149" s="13">
        <v>74</v>
      </c>
      <c r="E149" s="14">
        <v>45118</v>
      </c>
      <c r="H149" s="16">
        <v>16</v>
      </c>
      <c r="I149" s="16">
        <v>7.04</v>
      </c>
      <c r="J149" s="16">
        <v>51.86</v>
      </c>
      <c r="P149" s="18">
        <v>2.1499999999999998E-2</v>
      </c>
      <c r="Q149" s="18">
        <v>2.1446006462511691</v>
      </c>
      <c r="R149" s="21" t="s">
        <v>50</v>
      </c>
      <c r="S149" s="21">
        <v>1.637908233416502</v>
      </c>
      <c r="T149" s="21">
        <v>4.8242908912297331</v>
      </c>
      <c r="U149" s="21">
        <v>0.1180576803494478</v>
      </c>
      <c r="W149" s="18">
        <v>0.1743135845913126</v>
      </c>
      <c r="Y149" s="92">
        <v>0.27099878116943732</v>
      </c>
      <c r="Z149" s="20">
        <v>-5.9993541774112007</v>
      </c>
      <c r="AA149" s="10">
        <v>-28.19871445003497</v>
      </c>
      <c r="AB149" s="17">
        <v>3.710961583525064</v>
      </c>
      <c r="AC149" s="18">
        <v>1.2389700052053541</v>
      </c>
      <c r="AD149" s="21">
        <v>0.21015332198468531</v>
      </c>
      <c r="AE149" s="21">
        <v>4.5758871023731746</v>
      </c>
      <c r="AF149" s="21">
        <v>3.5660777863662597E-2</v>
      </c>
      <c r="AG149" s="21"/>
      <c r="AH149" s="21">
        <v>5.7074562531909594</v>
      </c>
    </row>
    <row r="150" spans="1:34">
      <c r="A150" s="13" t="s">
        <v>73</v>
      </c>
      <c r="B150" s="13" t="s">
        <v>74</v>
      </c>
      <c r="C150" s="13">
        <v>74</v>
      </c>
      <c r="E150" s="14">
        <v>45118</v>
      </c>
      <c r="H150" s="16">
        <v>16.7</v>
      </c>
      <c r="I150" s="16">
        <v>6.63</v>
      </c>
      <c r="J150" s="16">
        <v>53.09</v>
      </c>
      <c r="P150" s="18">
        <v>2.0400000000000001E-2</v>
      </c>
      <c r="Q150" s="18">
        <v>2.1433303959704211</v>
      </c>
      <c r="R150" s="21" t="s">
        <v>50</v>
      </c>
      <c r="S150" s="21">
        <v>1.3296867692226051</v>
      </c>
      <c r="T150" s="21">
        <v>5.8563805436663996</v>
      </c>
      <c r="U150" s="21">
        <v>0.1154502005459556</v>
      </c>
      <c r="W150" s="18">
        <v>0.1123895256036858</v>
      </c>
      <c r="Y150" s="92">
        <v>0.30056854546698469</v>
      </c>
      <c r="Z150" s="20">
        <v>-5.9574551539107636</v>
      </c>
      <c r="AA150" s="10">
        <v>-28.54585100009745</v>
      </c>
      <c r="AB150" s="17">
        <v>3.803016149195579</v>
      </c>
      <c r="AC150" s="18">
        <v>1.312013989063842</v>
      </c>
      <c r="AD150" s="21">
        <v>0.18901663304357699</v>
      </c>
      <c r="AE150" s="21">
        <v>4.7262209817280176</v>
      </c>
      <c r="AF150" s="21">
        <v>3.7033037844666723E-2</v>
      </c>
      <c r="AG150" s="21"/>
      <c r="AH150" s="21">
        <v>5.501849419221287</v>
      </c>
    </row>
    <row r="151" spans="1:34">
      <c r="A151" s="13" t="s">
        <v>71</v>
      </c>
      <c r="B151" s="13" t="s">
        <v>72</v>
      </c>
      <c r="C151" s="13">
        <v>75</v>
      </c>
      <c r="E151" s="14">
        <v>45125</v>
      </c>
      <c r="H151" s="16">
        <v>18.2</v>
      </c>
      <c r="I151" s="16">
        <v>7.39</v>
      </c>
      <c r="J151" s="16">
        <v>52.22</v>
      </c>
      <c r="P151" s="18">
        <v>2.9600000000000001E-2</v>
      </c>
      <c r="Q151" s="18">
        <v>2.158988425942002</v>
      </c>
      <c r="R151" s="21" t="s">
        <v>50</v>
      </c>
      <c r="S151" s="21">
        <v>2.01357581802035</v>
      </c>
      <c r="T151" s="21">
        <v>4.991812911729391</v>
      </c>
      <c r="U151" s="21">
        <v>0.1497820179586031</v>
      </c>
      <c r="W151" s="18">
        <v>0.28606062564350693</v>
      </c>
      <c r="Y151" s="92">
        <v>0.42230954512590652</v>
      </c>
      <c r="Z151" s="20">
        <v>-6.1221863574167523</v>
      </c>
      <c r="AA151" s="10">
        <v>-29.572999529490762</v>
      </c>
      <c r="AB151" s="17">
        <v>3.8421099038436788</v>
      </c>
      <c r="AC151" s="18">
        <v>1.282425098130868</v>
      </c>
      <c r="AD151" s="21">
        <v>0.21926018906264119</v>
      </c>
      <c r="AE151" s="21">
        <v>4.8022767174221999</v>
      </c>
      <c r="AF151" s="21">
        <v>3.6482028016289567E-2</v>
      </c>
      <c r="AG151" s="21"/>
      <c r="AH151" s="21">
        <v>5.6566588270535414</v>
      </c>
    </row>
    <row r="152" spans="1:34">
      <c r="A152" s="13" t="s">
        <v>73</v>
      </c>
      <c r="B152" s="13" t="s">
        <v>74</v>
      </c>
      <c r="C152" s="13">
        <v>75</v>
      </c>
      <c r="E152" s="14">
        <v>45125</v>
      </c>
      <c r="H152" s="16">
        <v>18</v>
      </c>
      <c r="I152" s="16">
        <v>6.75</v>
      </c>
      <c r="J152" s="16">
        <v>53.21</v>
      </c>
      <c r="P152" s="18">
        <v>2.7900000000000001E-2</v>
      </c>
      <c r="Q152" s="18">
        <v>2.1433303959704211</v>
      </c>
      <c r="R152" s="21" t="s">
        <v>50</v>
      </c>
      <c r="S152" s="21">
        <v>1.7153153057314181</v>
      </c>
      <c r="T152" s="21">
        <v>5.5830360525225284</v>
      </c>
      <c r="U152" s="21">
        <v>0.1111044008734686</v>
      </c>
      <c r="W152" s="18">
        <v>0.16295458540411659</v>
      </c>
      <c r="Y152" s="92">
        <v>0.237583769716955</v>
      </c>
      <c r="Z152" s="20">
        <v>-6.1984640668662658</v>
      </c>
      <c r="AA152" s="10">
        <v>-30.389361736902242</v>
      </c>
      <c r="AB152" s="17">
        <v>3.9732529165557788</v>
      </c>
      <c r="AC152" s="18">
        <v>1.36072582388306</v>
      </c>
      <c r="AD152" s="21">
        <v>0.20551900100629189</v>
      </c>
      <c r="AE152" s="21">
        <v>4.9387314785260372</v>
      </c>
      <c r="AF152" s="21">
        <v>3.7732515490663039E-2</v>
      </c>
      <c r="AG152" s="21"/>
      <c r="AH152" s="21">
        <v>5.5636639004881792</v>
      </c>
    </row>
    <row r="153" spans="1:34">
      <c r="A153" s="13" t="s">
        <v>71</v>
      </c>
      <c r="B153" s="13" t="s">
        <v>72</v>
      </c>
      <c r="C153" s="13">
        <v>76</v>
      </c>
      <c r="E153" s="14">
        <v>45132</v>
      </c>
      <c r="H153" s="16">
        <v>14.7</v>
      </c>
      <c r="I153" s="16">
        <v>7.05</v>
      </c>
      <c r="J153" s="16">
        <v>53.64</v>
      </c>
      <c r="P153" s="18">
        <v>1.7100000000000001E-2</v>
      </c>
      <c r="Q153" s="18">
        <v>2.1519657304944859</v>
      </c>
      <c r="R153" s="21" t="s">
        <v>50</v>
      </c>
      <c r="S153" s="21">
        <v>1.752734650655503</v>
      </c>
      <c r="T153" s="21">
        <v>5.2804767534477506</v>
      </c>
      <c r="U153" s="21">
        <v>0.15065117789310051</v>
      </c>
      <c r="W153" s="18">
        <v>0.24934014218093059</v>
      </c>
      <c r="Y153" s="92">
        <v>0.26944505080863113</v>
      </c>
      <c r="Z153" s="20">
        <v>-6.0072326262745301</v>
      </c>
      <c r="AA153" s="10">
        <v>-28.779942080450208</v>
      </c>
      <c r="AB153" s="17">
        <v>3.7941238882600601</v>
      </c>
      <c r="AC153" s="18">
        <v>1.316491679031297</v>
      </c>
      <c r="AD153" s="21">
        <v>0.2003713233306294</v>
      </c>
      <c r="AE153" s="21">
        <v>4.8431620822522614</v>
      </c>
      <c r="AF153" s="21">
        <v>3.7043528733620171E-2</v>
      </c>
      <c r="AG153" s="21"/>
      <c r="AH153" s="21">
        <v>5.7095237344790144</v>
      </c>
    </row>
    <row r="154" spans="1:34">
      <c r="A154" s="13" t="s">
        <v>73</v>
      </c>
      <c r="B154" s="13" t="s">
        <v>74</v>
      </c>
      <c r="C154" s="13">
        <v>76</v>
      </c>
      <c r="E154" s="14">
        <v>45132</v>
      </c>
      <c r="H154" s="16">
        <v>15.2</v>
      </c>
      <c r="I154" s="16">
        <v>6.84</v>
      </c>
      <c r="J154" s="16">
        <v>54.39</v>
      </c>
      <c r="P154" s="18">
        <v>2.6200000000000001E-2</v>
      </c>
      <c r="Q154" s="18">
        <v>1.957529980921674</v>
      </c>
      <c r="R154" s="21" t="s">
        <v>50</v>
      </c>
      <c r="S154" s="21">
        <v>1.4293808079212009</v>
      </c>
      <c r="T154" s="21">
        <v>4.8861427048671926</v>
      </c>
      <c r="U154" s="21">
        <v>0.11327730070971211</v>
      </c>
      <c r="W154" s="18">
        <v>0.23409379594921639</v>
      </c>
      <c r="Y154" s="92">
        <v>0.41625084664758882</v>
      </c>
      <c r="Z154" s="20">
        <v>-6.0459086479672406</v>
      </c>
      <c r="AA154" s="10">
        <v>-28.955597348768411</v>
      </c>
      <c r="AB154" s="17">
        <v>3.846269645357598</v>
      </c>
      <c r="AC154" s="18">
        <v>1.352370559414092</v>
      </c>
      <c r="AD154" s="21">
        <v>0.19318717621785789</v>
      </c>
      <c r="AE154" s="21">
        <v>4.8552807220855874</v>
      </c>
      <c r="AF154" s="21">
        <v>3.7360697502002743E-2</v>
      </c>
      <c r="AG154" s="21"/>
      <c r="AH154" s="21">
        <v>5.65920848616899</v>
      </c>
    </row>
    <row r="155" spans="1:34">
      <c r="A155" s="13" t="s">
        <v>71</v>
      </c>
      <c r="B155" s="13" t="s">
        <v>72</v>
      </c>
      <c r="C155" s="13">
        <v>77</v>
      </c>
      <c r="E155" s="14">
        <v>45139</v>
      </c>
      <c r="H155" s="16">
        <v>13</v>
      </c>
      <c r="I155" s="16">
        <v>6.65</v>
      </c>
      <c r="J155" s="16">
        <v>47.55</v>
      </c>
      <c r="P155" s="18">
        <v>1.7399999999999999E-2</v>
      </c>
      <c r="Q155" s="18">
        <v>2.1250254807891391</v>
      </c>
      <c r="R155" s="21" t="s">
        <v>50</v>
      </c>
      <c r="S155" s="21">
        <v>1.642252294408479</v>
      </c>
      <c r="T155" s="21">
        <v>4.0175642990490337</v>
      </c>
      <c r="U155" s="21">
        <v>0.15065117789310051</v>
      </c>
      <c r="W155" s="18">
        <v>0.1572412949367136</v>
      </c>
      <c r="Y155" s="92">
        <v>0.42079055312301372</v>
      </c>
      <c r="Z155" s="20">
        <v>-5.9606781557184894</v>
      </c>
      <c r="AA155" s="10">
        <v>-28.68567955032302</v>
      </c>
      <c r="AB155" s="17">
        <v>3.4798688000117322</v>
      </c>
      <c r="AC155" s="18">
        <v>1.0881869537264039</v>
      </c>
      <c r="AD155" s="21">
        <v>0.2067597746395918</v>
      </c>
      <c r="AE155" s="21">
        <v>4.1285950691437776</v>
      </c>
      <c r="AF155" s="21">
        <v>3.310447821403268E-2</v>
      </c>
      <c r="AG155" s="21"/>
      <c r="AH155" s="21">
        <v>5.4643692773887729</v>
      </c>
    </row>
    <row r="156" spans="1:34">
      <c r="A156" s="13" t="s">
        <v>73</v>
      </c>
      <c r="B156" s="13" t="s">
        <v>74</v>
      </c>
      <c r="C156" s="13">
        <v>77</v>
      </c>
      <c r="E156" s="14">
        <v>45139</v>
      </c>
      <c r="H156" s="16">
        <v>14.2</v>
      </c>
      <c r="I156" s="16">
        <v>6.62</v>
      </c>
      <c r="J156" s="16">
        <v>47.65</v>
      </c>
      <c r="P156" s="18">
        <v>1.9E-2</v>
      </c>
      <c r="Q156" s="18">
        <v>1.8699446354205209</v>
      </c>
      <c r="R156" s="21" t="s">
        <v>50</v>
      </c>
      <c r="S156" s="21">
        <v>1.1710051873990071</v>
      </c>
      <c r="T156" s="21">
        <v>4.2104630262735441</v>
      </c>
      <c r="U156" s="21">
        <v>0.108931501037225</v>
      </c>
      <c r="W156" s="18">
        <v>0.1685317682439606</v>
      </c>
      <c r="Y156" s="92">
        <v>0.27372118498633541</v>
      </c>
      <c r="Z156" s="20">
        <v>-5.9259413584574432</v>
      </c>
      <c r="AA156" s="10">
        <v>-28.263411241930381</v>
      </c>
      <c r="AB156" s="17">
        <v>3.4407058174257958</v>
      </c>
      <c r="AC156" s="18">
        <v>1.1362523947095251</v>
      </c>
      <c r="AD156" s="21">
        <v>0.2436932963949057</v>
      </c>
      <c r="AE156" s="21">
        <v>4.0944227230207</v>
      </c>
      <c r="AF156" s="21">
        <v>3.4412822762994517E-2</v>
      </c>
      <c r="AG156" s="21"/>
      <c r="AH156" s="21">
        <v>5.2560135214418953</v>
      </c>
    </row>
    <row r="157" spans="1:34">
      <c r="A157" s="13" t="s">
        <v>71</v>
      </c>
      <c r="B157" s="13" t="s">
        <v>72</v>
      </c>
      <c r="C157" s="13">
        <v>78</v>
      </c>
      <c r="E157" s="14">
        <v>45146</v>
      </c>
      <c r="H157" s="16">
        <v>14.5</v>
      </c>
      <c r="I157" s="16">
        <v>7.26</v>
      </c>
      <c r="J157" s="16">
        <v>53.57</v>
      </c>
      <c r="W157" s="18">
        <v>0.37851913457043768</v>
      </c>
      <c r="Y157" s="92">
        <v>0.67869064080406361</v>
      </c>
      <c r="Z157" s="20">
        <v>-6.1612204904214334</v>
      </c>
      <c r="AA157" s="10">
        <v>-29.015424489660941</v>
      </c>
      <c r="AB157" s="17">
        <v>3.733773366567775</v>
      </c>
      <c r="AC157" s="18">
        <v>1.144653257104018</v>
      </c>
      <c r="AD157" s="21">
        <v>0.293148753953059</v>
      </c>
      <c r="AE157" s="21">
        <v>4.3521477702100633</v>
      </c>
      <c r="AF157" s="21">
        <v>3.5239162140151027E-2</v>
      </c>
      <c r="AG157" s="21"/>
      <c r="AH157" s="21">
        <v>5.576809090962227</v>
      </c>
    </row>
    <row r="158" spans="1:34">
      <c r="A158" s="13" t="s">
        <v>73</v>
      </c>
      <c r="B158" s="13" t="s">
        <v>74</v>
      </c>
      <c r="C158" s="13">
        <v>78</v>
      </c>
      <c r="E158" s="14">
        <v>45146</v>
      </c>
      <c r="H158" s="16">
        <v>15.3</v>
      </c>
      <c r="I158" s="16">
        <v>7.25</v>
      </c>
      <c r="J158" s="16">
        <v>51.22</v>
      </c>
      <c r="W158" s="18">
        <v>0.1652327010629569</v>
      </c>
      <c r="Y158" s="92">
        <v>0.34954623287540021</v>
      </c>
      <c r="Z158" s="20">
        <v>-6.1511933736862856</v>
      </c>
      <c r="AA158" s="10">
        <v>-29.3552565632191</v>
      </c>
      <c r="AB158" s="17">
        <v>3.735885538769971</v>
      </c>
      <c r="AC158" s="18">
        <v>1.218225800634426</v>
      </c>
      <c r="AD158" s="21">
        <v>0.24440791855350169</v>
      </c>
      <c r="AE158" s="21">
        <v>4.4112710869159706</v>
      </c>
      <c r="AF158" s="21">
        <v>3.576460130246268E-2</v>
      </c>
      <c r="AG158" s="21"/>
      <c r="AH158" s="21">
        <v>5.4082930944904657</v>
      </c>
    </row>
    <row r="159" spans="1:34">
      <c r="A159" s="13" t="s">
        <v>71</v>
      </c>
      <c r="B159" s="13" t="s">
        <v>72</v>
      </c>
      <c r="C159" s="13">
        <v>79</v>
      </c>
      <c r="E159" s="14">
        <v>45153</v>
      </c>
      <c r="H159" s="16">
        <v>17.2</v>
      </c>
      <c r="I159" s="16">
        <v>7.66</v>
      </c>
      <c r="J159" s="16">
        <v>52.62</v>
      </c>
      <c r="P159" s="18">
        <v>2.86E-2</v>
      </c>
      <c r="Q159" s="18">
        <v>2.1092429674388229</v>
      </c>
      <c r="R159" s="21" t="s">
        <v>50</v>
      </c>
      <c r="S159" s="21">
        <v>1.443197531878323</v>
      </c>
      <c r="T159" s="21">
        <v>5.4174515325981814</v>
      </c>
      <c r="U159" s="21">
        <v>0.100239901692251</v>
      </c>
      <c r="W159" s="18">
        <v>0.13826667052627339</v>
      </c>
      <c r="Y159" s="92">
        <v>0.30216142599211471</v>
      </c>
      <c r="Z159" s="20">
        <v>-6.1844977256994538</v>
      </c>
      <c r="AA159" s="10">
        <v>-29.481171824865019</v>
      </c>
      <c r="AB159" s="17">
        <v>3.475783007202732</v>
      </c>
      <c r="AC159" s="18">
        <v>1.1543284975622949</v>
      </c>
      <c r="AD159" s="21">
        <v>0.2180800602225709</v>
      </c>
      <c r="AE159" s="21">
        <v>4.2421456929640371</v>
      </c>
      <c r="AF159" s="21">
        <v>3.4266255531438743E-2</v>
      </c>
      <c r="AG159" s="21"/>
      <c r="AH159" s="21">
        <v>5.4632161748130423</v>
      </c>
    </row>
    <row r="160" spans="1:34">
      <c r="A160" s="13" t="s">
        <v>73</v>
      </c>
      <c r="B160" s="13" t="s">
        <v>74</v>
      </c>
      <c r="C160" s="13">
        <v>79</v>
      </c>
      <c r="E160" s="14">
        <v>45153</v>
      </c>
      <c r="H160" s="16">
        <v>17.399999999999999</v>
      </c>
      <c r="I160" s="16">
        <v>7.18</v>
      </c>
      <c r="J160" s="16">
        <v>51.75</v>
      </c>
      <c r="P160" s="18">
        <v>2.52E-2</v>
      </c>
      <c r="Q160" s="18">
        <v>2.1058464668761672</v>
      </c>
      <c r="R160" s="21" t="s">
        <v>50</v>
      </c>
      <c r="S160" s="21">
        <v>1.7773097742927511</v>
      </c>
      <c r="T160" s="21">
        <v>4.5590667671119531</v>
      </c>
      <c r="U160" s="21">
        <v>0.1341371391376498</v>
      </c>
      <c r="W160" s="18">
        <v>0.27487617991297181</v>
      </c>
      <c r="Y160" s="92">
        <v>0.50872561358074575</v>
      </c>
      <c r="Z160" s="20">
        <v>-6.2253224152639817</v>
      </c>
      <c r="AA160" s="10">
        <v>-29.807786274272509</v>
      </c>
      <c r="AB160" s="17">
        <v>3.490128721448329</v>
      </c>
      <c r="AC160" s="18">
        <v>1.199764240461461</v>
      </c>
      <c r="AD160" s="21">
        <v>0.21674408025967151</v>
      </c>
      <c r="AE160" s="21">
        <v>4.3315662234335894</v>
      </c>
      <c r="AF160" s="21">
        <v>3.5474974279120622E-2</v>
      </c>
      <c r="AG160" s="21"/>
      <c r="AH160" s="21">
        <v>5.3652564580942466</v>
      </c>
    </row>
    <row r="161" spans="1:34">
      <c r="A161" s="13" t="s">
        <v>71</v>
      </c>
      <c r="B161" s="13" t="s">
        <v>72</v>
      </c>
      <c r="C161" s="13">
        <v>80</v>
      </c>
      <c r="E161" s="14">
        <v>45160</v>
      </c>
      <c r="H161" s="16">
        <v>14.8</v>
      </c>
      <c r="I161" s="16">
        <v>7.19</v>
      </c>
      <c r="J161" s="16">
        <v>50.55</v>
      </c>
      <c r="P161" s="18">
        <v>1.9E-2</v>
      </c>
      <c r="Q161" s="18">
        <v>1.9916560106466641</v>
      </c>
      <c r="R161" s="21" t="s">
        <v>50</v>
      </c>
      <c r="S161" s="21">
        <v>1.7757527760006651</v>
      </c>
      <c r="T161" s="21">
        <v>4.3527995381557343</v>
      </c>
      <c r="U161" s="21">
        <v>0.15065117789310051</v>
      </c>
      <c r="W161" s="18">
        <v>0.16283417971209271</v>
      </c>
      <c r="Y161" s="92">
        <v>0.20449263115828589</v>
      </c>
      <c r="Z161" s="20">
        <v>-6.23463330937519</v>
      </c>
      <c r="AA161" s="10">
        <v>-29.83004753599997</v>
      </c>
      <c r="AB161" s="17">
        <v>3.6035686981691319</v>
      </c>
      <c r="AC161" s="18">
        <v>1.212913578144291</v>
      </c>
      <c r="AD161" s="21">
        <v>0.23035434616662101</v>
      </c>
      <c r="AE161" s="21">
        <v>4.4632897729987677</v>
      </c>
      <c r="AF161" s="21">
        <v>3.5217269359738068E-2</v>
      </c>
      <c r="AG161" s="21"/>
      <c r="AH161" s="21">
        <v>5.5375954076098388</v>
      </c>
    </row>
    <row r="162" spans="1:34">
      <c r="A162" s="13" t="s">
        <v>73</v>
      </c>
      <c r="B162" s="13" t="s">
        <v>74</v>
      </c>
      <c r="C162" s="13">
        <v>80</v>
      </c>
      <c r="E162" s="14">
        <v>45160</v>
      </c>
      <c r="H162" s="16">
        <v>15.8</v>
      </c>
      <c r="I162" s="16">
        <v>6.69</v>
      </c>
      <c r="J162" s="16">
        <v>52.57</v>
      </c>
      <c r="P162" s="18">
        <v>2.86E-2</v>
      </c>
      <c r="Q162" s="18">
        <v>2.1092429674388229</v>
      </c>
      <c r="R162" s="21" t="s">
        <v>50</v>
      </c>
      <c r="S162" s="21">
        <v>1.443197531878323</v>
      </c>
      <c r="T162" s="21">
        <v>5.4174515325981814</v>
      </c>
      <c r="U162" s="21">
        <v>0.100239901692251</v>
      </c>
      <c r="W162" s="18">
        <v>0.25022352651707869</v>
      </c>
      <c r="Y162" s="92">
        <v>0.21895192954441761</v>
      </c>
      <c r="Z162" s="20">
        <v>-6.2031195139218704</v>
      </c>
      <c r="AA162" s="10">
        <v>-30.031790220405021</v>
      </c>
      <c r="AB162" s="17">
        <v>3.6442251496358722</v>
      </c>
      <c r="AC162" s="18">
        <v>1.2898100260842</v>
      </c>
      <c r="AD162" s="21">
        <v>0.2359419860455666</v>
      </c>
      <c r="AE162" s="21">
        <v>4.6461604670214767</v>
      </c>
      <c r="AF162" s="21">
        <v>3.6596200148398247E-2</v>
      </c>
      <c r="AG162" s="21"/>
      <c r="AH162" s="21">
        <v>5.3525708034750874</v>
      </c>
    </row>
    <row r="163" spans="1:34" ht="16.2">
      <c r="A163" s="13" t="s">
        <v>71</v>
      </c>
      <c r="B163" s="13" t="s">
        <v>72</v>
      </c>
      <c r="C163" s="13">
        <v>81</v>
      </c>
      <c r="E163" s="14">
        <v>45168</v>
      </c>
      <c r="H163" s="16">
        <v>18.5</v>
      </c>
      <c r="I163" s="16">
        <v>6.86</v>
      </c>
      <c r="J163" s="16">
        <v>57.31</v>
      </c>
      <c r="P163" s="18">
        <v>2.23E-2</v>
      </c>
      <c r="Q163" s="18">
        <v>2.133690374050599</v>
      </c>
      <c r="R163" s="21" t="s">
        <v>50</v>
      </c>
      <c r="S163" s="21">
        <v>1.719587884128998</v>
      </c>
      <c r="T163" s="21">
        <v>4.947274049916401</v>
      </c>
      <c r="U163" s="21">
        <v>0.1096173795084584</v>
      </c>
      <c r="V163" s="21">
        <v>2.7695389578606788E-2</v>
      </c>
      <c r="W163" s="18">
        <v>0.151239786417907</v>
      </c>
      <c r="Y163" s="94">
        <v>0.44935934437582253</v>
      </c>
      <c r="Z163" s="20">
        <v>-6.2084911836014136</v>
      </c>
      <c r="AA163" s="10">
        <v>-29.660653247542609</v>
      </c>
      <c r="AB163" s="17">
        <v>3.6821006910498468</v>
      </c>
      <c r="AC163" s="18">
        <v>1.2589985822171921</v>
      </c>
      <c r="AD163" s="21">
        <v>0.24251452358848549</v>
      </c>
      <c r="AE163" s="21">
        <v>4.6742240944598779</v>
      </c>
      <c r="AF163" s="21">
        <v>3.6144839166277053E-2</v>
      </c>
      <c r="AG163" s="21"/>
      <c r="AH163" s="21">
        <v>5.6904872989858823</v>
      </c>
    </row>
    <row r="164" spans="1:34" ht="16.2">
      <c r="A164" s="13" t="s">
        <v>73</v>
      </c>
      <c r="B164" s="13" t="s">
        <v>74</v>
      </c>
      <c r="C164" s="13">
        <v>81</v>
      </c>
      <c r="E164" s="14">
        <v>45168</v>
      </c>
      <c r="H164" s="16">
        <v>18.3</v>
      </c>
      <c r="I164" s="16">
        <v>6.9</v>
      </c>
      <c r="J164" s="16">
        <v>59.96</v>
      </c>
      <c r="P164" s="18">
        <v>1.7600000000000001E-2</v>
      </c>
      <c r="Q164" s="18">
        <v>1.445942880231968</v>
      </c>
      <c r="R164" s="21" t="s">
        <v>50</v>
      </c>
      <c r="S164" s="21">
        <v>0.9902946608082781</v>
      </c>
      <c r="T164" s="21">
        <v>3.9397184917642609</v>
      </c>
      <c r="U164" s="21" t="s">
        <v>50</v>
      </c>
      <c r="V164" s="21" t="s">
        <v>50</v>
      </c>
      <c r="W164" s="18">
        <v>0.13883925781233911</v>
      </c>
      <c r="Y164" s="94">
        <v>0.34772762214440373</v>
      </c>
      <c r="Z164" s="20">
        <v>-6.2292616396956468</v>
      </c>
      <c r="AA164" s="10">
        <v>-29.73821983137422</v>
      </c>
      <c r="AB164" s="17">
        <v>3.8175250944609291</v>
      </c>
      <c r="AC164" s="18">
        <v>1.3510896135041699</v>
      </c>
      <c r="AD164" s="21">
        <v>0.24280973622938989</v>
      </c>
      <c r="AE164" s="21">
        <v>4.8802198789250806</v>
      </c>
      <c r="AF164" s="21">
        <v>3.7438858846653503E-2</v>
      </c>
      <c r="AG164" s="21"/>
      <c r="AH164" s="21">
        <v>5.5377661659603774</v>
      </c>
    </row>
    <row r="165" spans="1:34">
      <c r="A165" s="13" t="s">
        <v>71</v>
      </c>
      <c r="B165" s="13" t="s">
        <v>72</v>
      </c>
      <c r="C165" s="13">
        <v>82</v>
      </c>
      <c r="E165" s="14">
        <v>45174</v>
      </c>
      <c r="H165" s="16">
        <v>18.5</v>
      </c>
      <c r="I165" s="16">
        <v>6.42</v>
      </c>
      <c r="J165" s="16">
        <v>35.24</v>
      </c>
      <c r="P165" s="18">
        <v>1.6299999999999999E-2</v>
      </c>
      <c r="Q165" s="18">
        <v>1.9066994678138891</v>
      </c>
      <c r="R165" s="21" t="s">
        <v>50</v>
      </c>
      <c r="S165" s="21">
        <v>1.928309834498757</v>
      </c>
      <c r="T165" s="21">
        <v>2.4402019395104189</v>
      </c>
      <c r="U165" s="21" t="s">
        <v>50</v>
      </c>
      <c r="W165" s="18">
        <v>0.1191560637046529</v>
      </c>
      <c r="Y165" s="92">
        <v>0.23065178448493009</v>
      </c>
      <c r="Z165" s="20">
        <v>-6.1716057184685491</v>
      </c>
      <c r="AA165" s="10">
        <v>-30.88989229355548</v>
      </c>
      <c r="AB165" s="17">
        <v>2.326612242567383</v>
      </c>
      <c r="AC165" s="18">
        <v>0.71450871572412489</v>
      </c>
      <c r="AD165" s="21">
        <v>0.27607478375890532</v>
      </c>
      <c r="AE165" s="21">
        <v>2.752172419210694</v>
      </c>
      <c r="AF165" s="21">
        <v>2.8726039977023669E-2</v>
      </c>
      <c r="AG165" s="21"/>
      <c r="AH165" s="21">
        <v>4.2373304365448439</v>
      </c>
    </row>
    <row r="166" spans="1:34">
      <c r="A166" s="13" t="s">
        <v>73</v>
      </c>
      <c r="B166" s="13" t="s">
        <v>74</v>
      </c>
      <c r="C166" s="13">
        <v>82</v>
      </c>
      <c r="E166" s="14">
        <v>45174</v>
      </c>
      <c r="H166" s="16">
        <v>19.2</v>
      </c>
      <c r="I166" s="16">
        <v>6</v>
      </c>
      <c r="J166" s="16">
        <v>36.049999999999997</v>
      </c>
      <c r="P166" s="18">
        <v>1.9300000000000001E-2</v>
      </c>
      <c r="Q166" s="18">
        <v>2.003725610663019</v>
      </c>
      <c r="R166" s="21" t="s">
        <v>50</v>
      </c>
      <c r="S166" s="21">
        <v>1.898341492407414</v>
      </c>
      <c r="T166" s="21">
        <v>3.0933359802312901</v>
      </c>
      <c r="U166" s="21" t="s">
        <v>50</v>
      </c>
      <c r="W166" s="18">
        <v>0.13451163991944901</v>
      </c>
      <c r="Y166" s="92">
        <v>0.18631986123975561</v>
      </c>
      <c r="Z166" s="20">
        <v>-6.4760003336426619</v>
      </c>
      <c r="AA166" s="10">
        <v>-33.871162203961873</v>
      </c>
      <c r="AB166" s="17">
        <v>2.4056338286270971</v>
      </c>
      <c r="AC166" s="18">
        <v>0.73443258369620079</v>
      </c>
      <c r="AD166" s="21">
        <v>0.2239726249309138</v>
      </c>
      <c r="AE166" s="21">
        <v>2.6673939419154129</v>
      </c>
      <c r="AF166" s="21">
        <v>2.913026822992976E-2</v>
      </c>
      <c r="AG166" s="21"/>
      <c r="AH166" s="21">
        <v>4.2868790420312628</v>
      </c>
    </row>
    <row r="167" spans="1:34" ht="16.2">
      <c r="A167" s="13" t="s">
        <v>71</v>
      </c>
      <c r="B167" s="13" t="s">
        <v>72</v>
      </c>
      <c r="C167" s="13">
        <v>83</v>
      </c>
      <c r="E167" s="14">
        <v>45181</v>
      </c>
      <c r="H167" s="16">
        <v>16.8</v>
      </c>
      <c r="I167" s="16">
        <v>6.57</v>
      </c>
      <c r="J167" s="16">
        <v>43.69</v>
      </c>
      <c r="P167" s="18">
        <v>1.8700000000000001E-2</v>
      </c>
      <c r="Q167" s="18">
        <v>2.1550967837254751</v>
      </c>
      <c r="R167" s="21" t="s">
        <v>50</v>
      </c>
      <c r="S167" s="21">
        <v>1.719995196336173</v>
      </c>
      <c r="T167" s="21">
        <v>3.589795567341028</v>
      </c>
      <c r="U167" s="21">
        <v>0.15586613750008491</v>
      </c>
      <c r="W167" s="18">
        <v>0.1924983770033607</v>
      </c>
      <c r="Y167" s="94">
        <v>0.40066719544026747</v>
      </c>
      <c r="Z167" s="20">
        <v>-6.0572600568501089</v>
      </c>
      <c r="AA167" s="10">
        <v>-28.749059542520602</v>
      </c>
      <c r="AB167" s="17">
        <v>3.3925013410983951</v>
      </c>
      <c r="AC167" s="18">
        <v>0.93734556474064579</v>
      </c>
      <c r="AD167" s="21">
        <v>0.22952666723738049</v>
      </c>
      <c r="AE167" s="21">
        <v>3.483874030338681</v>
      </c>
      <c r="AF167" s="21">
        <v>2.867575810469904E-2</v>
      </c>
      <c r="AG167" s="21"/>
      <c r="AH167" s="21">
        <v>5.3714907817630051</v>
      </c>
    </row>
    <row r="168" spans="1:34" ht="16.2">
      <c r="A168" s="13" t="s">
        <v>73</v>
      </c>
      <c r="B168" s="13" t="s">
        <v>74</v>
      </c>
      <c r="C168" s="13">
        <v>83</v>
      </c>
      <c r="E168" s="14">
        <v>45181</v>
      </c>
      <c r="H168" s="16">
        <v>17.600000000000001</v>
      </c>
      <c r="I168" s="16">
        <v>6.53</v>
      </c>
      <c r="J168" s="16">
        <v>44.79</v>
      </c>
      <c r="P168" s="18">
        <v>2.0799999999999999E-2</v>
      </c>
      <c r="Q168" s="18">
        <v>2.1607646698585858</v>
      </c>
      <c r="R168" s="21" t="s">
        <v>50</v>
      </c>
      <c r="S168" s="21">
        <v>1.460503622479622</v>
      </c>
      <c r="T168" s="21">
        <v>4.4279423758892156</v>
      </c>
      <c r="U168" s="21">
        <v>0.1054548612992354</v>
      </c>
      <c r="W168" s="18">
        <v>0.1587563166882407</v>
      </c>
      <c r="Y168" s="94">
        <v>0.34060751172289477</v>
      </c>
      <c r="Z168" s="20">
        <v>-6.1545836991799243</v>
      </c>
      <c r="AA168" s="10">
        <v>-29.821913218410309</v>
      </c>
      <c r="AB168" s="17">
        <v>3.2602594877333662</v>
      </c>
      <c r="AC168" s="18">
        <v>0.99216584396634977</v>
      </c>
      <c r="AD168" s="21">
        <v>0.21821321494947149</v>
      </c>
      <c r="AE168" s="21">
        <v>3.6350293926369921</v>
      </c>
      <c r="AF168" s="21">
        <v>3.0181751334115749E-2</v>
      </c>
      <c r="AG168" s="21"/>
      <c r="AH168" s="21">
        <v>5.1575757314170598</v>
      </c>
    </row>
    <row r="169" spans="1:34" ht="16.2">
      <c r="A169" s="13" t="s">
        <v>71</v>
      </c>
      <c r="B169" s="13" t="s">
        <v>72</v>
      </c>
      <c r="C169" s="13">
        <v>84</v>
      </c>
      <c r="E169" s="14">
        <v>45188</v>
      </c>
      <c r="H169" s="16">
        <v>17.3</v>
      </c>
      <c r="I169" s="16">
        <v>6.3</v>
      </c>
      <c r="J169" s="16">
        <v>49.7</v>
      </c>
      <c r="P169" s="18">
        <v>2.18E-2</v>
      </c>
      <c r="Q169" s="18">
        <v>2.15162719450176</v>
      </c>
      <c r="R169" s="21" t="s">
        <v>50</v>
      </c>
      <c r="S169" s="21">
        <v>1.582424846223021</v>
      </c>
      <c r="T169" s="21">
        <v>4.1472234748822494</v>
      </c>
      <c r="U169" s="21">
        <v>0.14456705835161859</v>
      </c>
      <c r="W169" s="18">
        <v>0.19535629588939171</v>
      </c>
      <c r="Y169" s="94">
        <v>0.42298745946490596</v>
      </c>
      <c r="Z169" s="20">
        <v>-6.0828511341161153</v>
      </c>
      <c r="AA169" s="10">
        <v>-28.511566189398948</v>
      </c>
      <c r="AB169" s="17">
        <v>3.6089828962882451</v>
      </c>
      <c r="AC169" s="18">
        <v>1.099173991745459</v>
      </c>
      <c r="AD169" s="21">
        <v>0.23637157281309931</v>
      </c>
      <c r="AE169" s="21">
        <v>4.0733054480402737</v>
      </c>
      <c r="AF169" s="21">
        <v>3.1755541862228023E-2</v>
      </c>
      <c r="AG169" s="21"/>
      <c r="AH169" s="21">
        <v>5.6020808138620666</v>
      </c>
    </row>
    <row r="170" spans="1:34" ht="16.2">
      <c r="A170" s="13" t="s">
        <v>73</v>
      </c>
      <c r="B170" s="13" t="s">
        <v>74</v>
      </c>
      <c r="C170" s="13">
        <v>84</v>
      </c>
      <c r="E170" s="14">
        <v>45188</v>
      </c>
      <c r="H170" s="16">
        <v>17.5</v>
      </c>
      <c r="I170" s="16">
        <v>6.03</v>
      </c>
      <c r="J170" s="16">
        <v>51.4</v>
      </c>
      <c r="P170" s="18">
        <v>2.3400000000000001E-2</v>
      </c>
      <c r="Q170" s="18">
        <v>2.202143562785333</v>
      </c>
      <c r="R170" s="21" t="s">
        <v>50</v>
      </c>
      <c r="S170" s="21">
        <v>1.3768571463716719</v>
      </c>
      <c r="T170" s="21">
        <v>5.1979909055132989</v>
      </c>
      <c r="U170" s="21">
        <v>0.1319642393014063</v>
      </c>
      <c r="W170" s="18">
        <v>0.18425722942242029</v>
      </c>
      <c r="Y170" s="94">
        <v>0.34987785978783809</v>
      </c>
      <c r="Z170" s="20">
        <v>-6.1825012380155684</v>
      </c>
      <c r="AA170" s="10">
        <v>-29.537071506913151</v>
      </c>
      <c r="AB170" s="17">
        <v>3.691697993678531</v>
      </c>
      <c r="AC170" s="18">
        <v>1.1962182385349669</v>
      </c>
      <c r="AD170" s="21">
        <v>0.2212375031550847</v>
      </c>
      <c r="AE170" s="21">
        <v>4.3554346595072566</v>
      </c>
      <c r="AF170" s="21">
        <v>3.3519451587558542E-2</v>
      </c>
      <c r="AG170" s="21"/>
      <c r="AH170" s="21">
        <v>5.4122137341225596</v>
      </c>
    </row>
    <row r="171" spans="1:34" ht="16.2">
      <c r="A171" s="13" t="s">
        <v>71</v>
      </c>
      <c r="B171" s="13" t="s">
        <v>72</v>
      </c>
      <c r="C171" s="13">
        <v>85</v>
      </c>
      <c r="E171" s="14">
        <v>45196</v>
      </c>
      <c r="H171" s="16">
        <v>13.5</v>
      </c>
      <c r="I171" s="16">
        <v>7.36</v>
      </c>
      <c r="J171" s="16">
        <v>47.43</v>
      </c>
      <c r="P171" s="18">
        <v>2.9499999999999998E-2</v>
      </c>
      <c r="Q171" s="18">
        <v>2.1849319967288068</v>
      </c>
      <c r="R171" s="21" t="s">
        <v>50</v>
      </c>
      <c r="S171" s="21">
        <v>1.659796134855237</v>
      </c>
      <c r="T171" s="21">
        <v>4.6183799865829576</v>
      </c>
      <c r="U171" s="21">
        <v>0.17151101632103821</v>
      </c>
      <c r="W171" s="18">
        <v>0.14379079915408541</v>
      </c>
      <c r="Y171" s="94">
        <v>0.38520928438047625</v>
      </c>
      <c r="Z171" s="20">
        <v>-6.1448901093064361</v>
      </c>
      <c r="AA171" s="10">
        <v>-29.31799140427087</v>
      </c>
      <c r="AB171" s="17">
        <v>3.8388528719692401</v>
      </c>
      <c r="AC171" s="18">
        <v>1.2050846616866411</v>
      </c>
      <c r="AD171" s="21">
        <v>0.22513775987732931</v>
      </c>
      <c r="AE171" s="21">
        <v>4.4630156649981778</v>
      </c>
      <c r="AF171" s="21">
        <v>3.3551040814187048E-2</v>
      </c>
      <c r="AG171" s="21"/>
      <c r="AH171" s="21">
        <v>5.7030350538911661</v>
      </c>
    </row>
    <row r="172" spans="1:34" ht="16.2">
      <c r="A172" s="13" t="s">
        <v>73</v>
      </c>
      <c r="B172" s="13" t="s">
        <v>74</v>
      </c>
      <c r="C172" s="13">
        <v>85</v>
      </c>
      <c r="E172" s="14">
        <v>45196</v>
      </c>
      <c r="H172" s="16">
        <v>15.2</v>
      </c>
      <c r="I172" s="16">
        <v>6.8</v>
      </c>
      <c r="J172" s="16">
        <v>49.06</v>
      </c>
      <c r="P172" s="18">
        <v>2.8299999999999999E-2</v>
      </c>
      <c r="Q172" s="18">
        <v>1.998077331204819</v>
      </c>
      <c r="R172" s="21" t="s">
        <v>50</v>
      </c>
      <c r="S172" s="21">
        <v>1.3296867692226051</v>
      </c>
      <c r="T172" s="21">
        <v>4.7135730195725083</v>
      </c>
      <c r="U172" s="21">
        <v>9.5024942085266559E-2</v>
      </c>
      <c r="W172" s="18">
        <v>0.16485062498328601</v>
      </c>
      <c r="Y172" s="94">
        <v>0.33662909815740855</v>
      </c>
      <c r="Z172" s="20">
        <v>-6.1646650326483501</v>
      </c>
      <c r="AA172" s="10">
        <v>-29.84145381075577</v>
      </c>
      <c r="AB172" s="17">
        <v>3.8471051986891429</v>
      </c>
      <c r="AC172" s="18">
        <v>1.2784916733134939</v>
      </c>
      <c r="AD172" s="21">
        <v>0.23302396478845849</v>
      </c>
      <c r="AE172" s="21">
        <v>4.5498908294607574</v>
      </c>
      <c r="AF172" s="21">
        <v>3.5147343779436728E-2</v>
      </c>
      <c r="AG172" s="21"/>
      <c r="AH172" s="21">
        <v>5.5546540829716546</v>
      </c>
    </row>
    <row r="173" spans="1:34" ht="16.2">
      <c r="A173" s="13" t="s">
        <v>71</v>
      </c>
      <c r="B173" s="13" t="s">
        <v>72</v>
      </c>
      <c r="C173" s="13">
        <v>86</v>
      </c>
      <c r="E173" s="14">
        <v>45204</v>
      </c>
      <c r="H173" s="16">
        <v>19.7</v>
      </c>
      <c r="I173" s="16">
        <v>7.09</v>
      </c>
      <c r="J173" s="16">
        <v>51.57</v>
      </c>
      <c r="P173" s="18">
        <v>2.53E-2</v>
      </c>
      <c r="Q173" s="18">
        <v>2.29211317481156</v>
      </c>
      <c r="R173" s="21" t="s">
        <v>50</v>
      </c>
      <c r="S173" s="21">
        <v>1.854872025538326</v>
      </c>
      <c r="T173" s="21">
        <v>5.1859380747585071</v>
      </c>
      <c r="U173" s="21">
        <v>0.11096834859488471</v>
      </c>
      <c r="V173" s="21">
        <v>3.2256717848784568E-2</v>
      </c>
      <c r="W173" s="18">
        <v>0.14479067417939631</v>
      </c>
      <c r="Y173" s="94">
        <v>0.444528241572203</v>
      </c>
      <c r="Z173" s="20">
        <v>-6.1952967766485711</v>
      </c>
      <c r="AA173" s="10">
        <v>-30.22061645838194</v>
      </c>
      <c r="AB173" s="17">
        <v>3.8015814731538939</v>
      </c>
      <c r="AC173" s="18">
        <v>1.263781153878375</v>
      </c>
      <c r="AD173" s="21">
        <v>0.24553657423480779</v>
      </c>
      <c r="AE173" s="21">
        <v>4.6694597302546166</v>
      </c>
      <c r="AF173" s="21">
        <v>3.4724388693197557E-2</v>
      </c>
      <c r="AG173" s="21"/>
      <c r="AH173" s="21">
        <v>5.6864107590777691</v>
      </c>
    </row>
    <row r="174" spans="1:34" ht="16.2">
      <c r="A174" s="13" t="s">
        <v>73</v>
      </c>
      <c r="B174" s="13" t="s">
        <v>74</v>
      </c>
      <c r="C174" s="13">
        <v>86</v>
      </c>
      <c r="E174" s="14">
        <v>45204</v>
      </c>
      <c r="H174" s="16">
        <v>20.3</v>
      </c>
      <c r="I174" s="16">
        <v>6.67</v>
      </c>
      <c r="J174" s="16">
        <v>52.42</v>
      </c>
      <c r="P174" s="18">
        <v>2.5600000000000001E-2</v>
      </c>
      <c r="Q174" s="18">
        <v>2.199411512093874</v>
      </c>
      <c r="R174" s="21" t="s">
        <v>50</v>
      </c>
      <c r="S174" s="21">
        <v>1.561065090197475</v>
      </c>
      <c r="T174" s="21">
        <v>5.1731858917474822</v>
      </c>
      <c r="U174" s="21">
        <v>0.10611424060625189</v>
      </c>
      <c r="V174" s="21">
        <v>1.8045064491974929E-2</v>
      </c>
      <c r="W174" s="18">
        <v>0.1061832730675142</v>
      </c>
      <c r="Y174" s="94">
        <v>0.40173446532278489</v>
      </c>
      <c r="Z174" s="20">
        <v>-6.1293803655088572</v>
      </c>
      <c r="AA174" s="10">
        <v>-29.543835558109659</v>
      </c>
      <c r="AB174" s="17">
        <v>3.815839382685891</v>
      </c>
      <c r="AC174" s="18">
        <v>1.324515613930398</v>
      </c>
      <c r="AD174" s="21">
        <v>0.22835623871092431</v>
      </c>
      <c r="AE174" s="21">
        <v>4.7367123080522271</v>
      </c>
      <c r="AF174" s="21">
        <v>3.5738175141287319E-2</v>
      </c>
      <c r="AG174" s="21"/>
      <c r="AH174" s="21">
        <v>5.5771046604095638</v>
      </c>
    </row>
    <row r="175" spans="1:34">
      <c r="A175" s="13" t="s">
        <v>71</v>
      </c>
      <c r="B175" s="13" t="s">
        <v>72</v>
      </c>
      <c r="C175" s="13">
        <v>87</v>
      </c>
      <c r="E175" s="14">
        <v>45210</v>
      </c>
      <c r="H175" s="16">
        <v>14.2</v>
      </c>
      <c r="I175" s="16">
        <v>7.29</v>
      </c>
      <c r="J175" s="16">
        <v>40.83</v>
      </c>
      <c r="P175" s="18">
        <v>2.81E-2</v>
      </c>
      <c r="Q175" s="18">
        <v>2.0472077473307131</v>
      </c>
      <c r="R175" s="21" t="s">
        <v>50</v>
      </c>
      <c r="S175" s="21">
        <v>2.2006289171336988</v>
      </c>
      <c r="T175" s="21">
        <v>3.3936573972033659</v>
      </c>
      <c r="U175" s="21">
        <v>0.14587079825336469</v>
      </c>
      <c r="W175" s="18">
        <v>0.32088283386338678</v>
      </c>
      <c r="Y175" s="92">
        <v>0.48441484660455797</v>
      </c>
      <c r="Z175" s="20">
        <v>-6.3407006247508848</v>
      </c>
      <c r="AA175" s="10">
        <v>-32.709787298694913</v>
      </c>
      <c r="AB175" s="17">
        <v>3.2421244946390848</v>
      </c>
      <c r="AC175" s="18">
        <v>0.9765675844775028</v>
      </c>
      <c r="AD175" s="21">
        <v>0.21452068084251169</v>
      </c>
      <c r="AE175" s="21">
        <v>3.6293385819973012</v>
      </c>
      <c r="AF175" s="21">
        <v>2.9511996547074849E-2</v>
      </c>
      <c r="AG175" s="21"/>
      <c r="AH175" s="21">
        <v>5.0011891503442207</v>
      </c>
    </row>
    <row r="176" spans="1:34">
      <c r="A176" s="13" t="s">
        <v>73</v>
      </c>
      <c r="B176" s="13" t="s">
        <v>74</v>
      </c>
      <c r="C176" s="13">
        <v>87</v>
      </c>
      <c r="E176" s="14">
        <v>45210</v>
      </c>
      <c r="H176" s="16">
        <v>14.6</v>
      </c>
      <c r="I176" s="16">
        <v>6.69</v>
      </c>
      <c r="J176" s="16">
        <v>42.67</v>
      </c>
      <c r="P176" s="18">
        <v>2.5499999999999998E-2</v>
      </c>
      <c r="Q176" s="18">
        <v>2.0248432437871111</v>
      </c>
      <c r="R176" s="21" t="s">
        <v>50</v>
      </c>
      <c r="S176" s="21">
        <v>1.8767944022044589</v>
      </c>
      <c r="T176" s="21">
        <v>3.7026533696334321</v>
      </c>
      <c r="U176" s="21">
        <v>0.12718385966167059</v>
      </c>
      <c r="W176" s="18">
        <v>0.17824056464498589</v>
      </c>
      <c r="Y176" s="92">
        <v>0.36002610447965894</v>
      </c>
      <c r="Z176" s="20">
        <v>-6.4973490371064457</v>
      </c>
      <c r="AA176" s="10">
        <v>-34.36773140308209</v>
      </c>
      <c r="AB176" s="17">
        <v>3.0798241214586941</v>
      </c>
      <c r="AC176" s="18">
        <v>1.0141417221162301</v>
      </c>
      <c r="AD176" s="21">
        <v>0.23177658091071279</v>
      </c>
      <c r="AE176" s="21">
        <v>3.7249948545212099</v>
      </c>
      <c r="AF176" s="21">
        <v>3.0994270842757909E-2</v>
      </c>
      <c r="AG176" s="21"/>
      <c r="AH176" s="21">
        <v>4.7383885005192043</v>
      </c>
    </row>
    <row r="177" spans="1:34">
      <c r="A177" s="13" t="s">
        <v>71</v>
      </c>
      <c r="B177" s="13" t="s">
        <v>72</v>
      </c>
      <c r="C177" s="13">
        <v>88</v>
      </c>
      <c r="E177" s="14">
        <v>45216</v>
      </c>
      <c r="H177" s="16">
        <v>12.7</v>
      </c>
      <c r="I177" s="16">
        <v>7.47</v>
      </c>
      <c r="J177" s="16">
        <v>44.99</v>
      </c>
      <c r="P177" s="18">
        <v>5.4954664E-2</v>
      </c>
      <c r="Q177" s="18">
        <v>2.173208722</v>
      </c>
      <c r="R177" s="21" t="s">
        <v>50</v>
      </c>
      <c r="S177" s="21">
        <v>1.810417006</v>
      </c>
      <c r="T177" s="21">
        <v>4.0269035359999998</v>
      </c>
      <c r="U177" s="21" t="s">
        <v>50</v>
      </c>
      <c r="V177" s="21">
        <v>1.4451958000000001E-2</v>
      </c>
      <c r="W177" s="18">
        <v>0.33087752450706781</v>
      </c>
      <c r="Y177" s="92">
        <v>0.35957836290224665</v>
      </c>
      <c r="Z177" s="20">
        <v>-6.2038271357372397</v>
      </c>
      <c r="AA177" s="10">
        <v>-30.591887712945521</v>
      </c>
      <c r="AB177" s="17">
        <v>3.5180312100236648</v>
      </c>
      <c r="AC177" s="18">
        <v>1.0500595935916639</v>
      </c>
      <c r="AD177" s="21">
        <v>0.20234911994970059</v>
      </c>
      <c r="AE177" s="21">
        <v>3.901353927292138</v>
      </c>
      <c r="AF177" s="21">
        <v>3.027423030537665E-2</v>
      </c>
      <c r="AG177" s="21"/>
      <c r="AH177" s="21">
        <v>5.4138482749932431</v>
      </c>
    </row>
    <row r="178" spans="1:34">
      <c r="A178" s="13" t="s">
        <v>73</v>
      </c>
      <c r="B178" s="13" t="s">
        <v>74</v>
      </c>
      <c r="C178" s="13">
        <v>88</v>
      </c>
      <c r="E178" s="14">
        <v>45216</v>
      </c>
      <c r="H178" s="16">
        <v>12.2</v>
      </c>
      <c r="I178" s="16">
        <v>7.01</v>
      </c>
      <c r="J178" s="16">
        <v>47.44</v>
      </c>
      <c r="P178" s="18">
        <v>5.5817485E-2</v>
      </c>
      <c r="Q178" s="18">
        <v>2.2230529560000001</v>
      </c>
      <c r="R178" s="21" t="s">
        <v>50</v>
      </c>
      <c r="S178" s="21">
        <v>1.4938660340000001</v>
      </c>
      <c r="T178" s="21">
        <v>4.8996762780000003</v>
      </c>
      <c r="U178" s="21" t="s">
        <v>50</v>
      </c>
      <c r="V178" s="21">
        <v>1.2292004E-2</v>
      </c>
      <c r="W178" s="18">
        <v>0.1803646238854496</v>
      </c>
      <c r="Y178" s="92">
        <v>0.29166331703871662</v>
      </c>
      <c r="Z178" s="20">
        <v>-6.2080923152815748</v>
      </c>
      <c r="AA178" s="10">
        <v>-30.45810981150359</v>
      </c>
      <c r="AB178" s="17">
        <v>3.427590507734052</v>
      </c>
      <c r="AC178" s="18">
        <v>1.11408436951086</v>
      </c>
      <c r="AD178" s="21">
        <v>0.21524199665334609</v>
      </c>
      <c r="AE178" s="21">
        <v>3.9766066732355378</v>
      </c>
      <c r="AF178" s="21">
        <v>3.2311343229232188E-2</v>
      </c>
      <c r="AG178" s="21"/>
      <c r="AH178" s="21">
        <v>5.1806418479486931</v>
      </c>
    </row>
    <row r="179" spans="1:34">
      <c r="A179" s="13" t="s">
        <v>71</v>
      </c>
      <c r="B179" s="13" t="s">
        <v>72</v>
      </c>
      <c r="C179" s="13">
        <v>89</v>
      </c>
      <c r="E179" s="14">
        <v>45224</v>
      </c>
      <c r="H179" s="16">
        <v>15.2</v>
      </c>
      <c r="I179" s="16">
        <v>7.27</v>
      </c>
      <c r="J179" s="16">
        <v>50.7</v>
      </c>
      <c r="P179" s="18">
        <v>2.9399999999999999E-2</v>
      </c>
      <c r="Q179" s="18">
        <v>1.9520771798433889</v>
      </c>
      <c r="R179" s="21" t="s">
        <v>50</v>
      </c>
      <c r="S179" s="21">
        <v>1.7277805701683939</v>
      </c>
      <c r="T179" s="21">
        <v>3.7619939462386869</v>
      </c>
      <c r="U179" s="21">
        <v>0.2283955166077096</v>
      </c>
      <c r="V179" s="21">
        <v>9.4255557874960844E-3</v>
      </c>
      <c r="W179" s="18">
        <v>0.33108438690084863</v>
      </c>
      <c r="Y179" s="92"/>
      <c r="Z179" s="20">
        <v>-6.245315700395766</v>
      </c>
      <c r="AA179" s="10">
        <v>-30.940987910809469</v>
      </c>
      <c r="AB179" s="17">
        <v>3.53694661191073</v>
      </c>
      <c r="AC179" s="18">
        <v>1.1221518894772859</v>
      </c>
      <c r="AD179" s="21">
        <v>0.2373002673865722</v>
      </c>
      <c r="AE179" s="21">
        <v>4.1355671058778833</v>
      </c>
      <c r="AF179" s="21">
        <v>3.1822805949180369E-2</v>
      </c>
      <c r="AG179" s="21"/>
      <c r="AH179" s="21">
        <v>5.4605136094141633</v>
      </c>
    </row>
    <row r="180" spans="1:34">
      <c r="A180" s="13" t="s">
        <v>73</v>
      </c>
      <c r="B180" s="13" t="s">
        <v>74</v>
      </c>
      <c r="C180" s="13">
        <v>89</v>
      </c>
      <c r="E180" s="14">
        <v>45224</v>
      </c>
      <c r="H180" s="16">
        <v>15.9</v>
      </c>
      <c r="I180" s="16">
        <v>7.02</v>
      </c>
      <c r="J180" s="16">
        <v>88.5</v>
      </c>
      <c r="P180" s="18">
        <v>2.3300000000000001E-2</v>
      </c>
      <c r="Q180" s="18">
        <v>2.0738139728564979</v>
      </c>
      <c r="R180" s="21" t="s">
        <v>50</v>
      </c>
      <c r="S180" s="21">
        <v>1.518983880826253</v>
      </c>
      <c r="T180" s="21">
        <v>4.5068145350815287</v>
      </c>
      <c r="U180" s="21">
        <v>0.1194521111567482</v>
      </c>
      <c r="V180" s="21">
        <v>1.015355912743972E-2</v>
      </c>
      <c r="W180" s="18">
        <v>0.1284408671455361</v>
      </c>
      <c r="Y180" s="92"/>
      <c r="Z180" s="20">
        <v>-6.3019262652569346</v>
      </c>
      <c r="AA180" s="10">
        <v>-31.64294611275762</v>
      </c>
      <c r="AB180" s="17">
        <v>3.539503012113526</v>
      </c>
      <c r="AC180" s="18">
        <v>1.242680807206729</v>
      </c>
      <c r="AD180" s="21">
        <v>0.2209064839107745</v>
      </c>
      <c r="AE180" s="21">
        <v>4.4011029049659767</v>
      </c>
      <c r="AF180" s="21">
        <v>3.4434627692373522E-2</v>
      </c>
      <c r="AG180" s="21"/>
      <c r="AH180" s="21">
        <v>5.219567196925996</v>
      </c>
    </row>
    <row r="181" spans="1:34">
      <c r="A181" s="13" t="s">
        <v>71</v>
      </c>
      <c r="B181" s="13" t="s">
        <v>72</v>
      </c>
      <c r="C181" s="13">
        <v>90</v>
      </c>
      <c r="E181" s="14">
        <v>45230</v>
      </c>
      <c r="H181" s="16">
        <v>14.3</v>
      </c>
      <c r="I181" s="16">
        <v>6.9</v>
      </c>
      <c r="J181" s="16">
        <v>45.17</v>
      </c>
      <c r="P181" s="18">
        <v>2.3099999999999999E-2</v>
      </c>
      <c r="Q181" s="18">
        <v>2.0461839577217571</v>
      </c>
      <c r="R181" s="21" t="s">
        <v>50</v>
      </c>
      <c r="S181" s="21">
        <v>1.673751964943504</v>
      </c>
      <c r="T181" s="21">
        <v>4.6592064610796706</v>
      </c>
      <c r="U181" s="21">
        <v>7.0564253168930446E-2</v>
      </c>
      <c r="W181" s="18">
        <v>0.2133779633893978</v>
      </c>
      <c r="Y181" s="92"/>
      <c r="Z181" s="20">
        <v>-6.1638895454584706</v>
      </c>
      <c r="AA181" s="10">
        <v>-29.880159214824641</v>
      </c>
      <c r="AB181" s="17">
        <v>3.6035265913075589</v>
      </c>
      <c r="AC181" s="18">
        <v>1.11809213350915</v>
      </c>
      <c r="AD181" s="21">
        <v>0.2241866908182597</v>
      </c>
      <c r="AE181" s="21">
        <v>4.0801549064662774</v>
      </c>
      <c r="AF181" s="21">
        <v>3.1787699851270737E-2</v>
      </c>
      <c r="AG181" s="21"/>
      <c r="AH181" s="21">
        <v>5.3281388812836754</v>
      </c>
    </row>
    <row r="182" spans="1:34">
      <c r="A182" s="13" t="s">
        <v>73</v>
      </c>
      <c r="B182" s="13" t="s">
        <v>74</v>
      </c>
      <c r="C182" s="13">
        <v>90</v>
      </c>
      <c r="E182" s="14">
        <v>45230</v>
      </c>
      <c r="H182" s="16">
        <v>14</v>
      </c>
      <c r="I182" s="16">
        <v>6.62</v>
      </c>
      <c r="J182" s="16">
        <v>48.5</v>
      </c>
      <c r="P182" s="18">
        <v>2.41E-2</v>
      </c>
      <c r="Q182" s="18">
        <v>2.0942434973930961</v>
      </c>
      <c r="R182" s="21" t="s">
        <v>50</v>
      </c>
      <c r="S182" s="21">
        <v>2.172180744261988</v>
      </c>
      <c r="T182" s="21">
        <v>4.1230239473652652</v>
      </c>
      <c r="U182" s="21">
        <v>0.1182847826556393</v>
      </c>
      <c r="W182" s="18">
        <v>0.1197042541667315</v>
      </c>
      <c r="Y182" s="92"/>
      <c r="Z182" s="20">
        <v>-6.2740087264212896</v>
      </c>
      <c r="AA182" s="10">
        <v>-31.136393834263991</v>
      </c>
      <c r="AB182" s="17">
        <v>3.584600730615251</v>
      </c>
      <c r="AC182" s="18">
        <v>1.2104579551303409</v>
      </c>
      <c r="AD182" s="21">
        <v>0.203242891257013</v>
      </c>
      <c r="AE182" s="21">
        <v>4.4531486650977996</v>
      </c>
      <c r="AF182" s="21">
        <v>3.4668592094719397E-2</v>
      </c>
      <c r="AG182" s="21"/>
      <c r="AH182" s="21">
        <v>5.2029303443238177</v>
      </c>
    </row>
    <row r="183" spans="1:34" ht="16.2">
      <c r="A183" s="13" t="s">
        <v>71</v>
      </c>
      <c r="B183" s="13" t="s">
        <v>72</v>
      </c>
      <c r="C183" s="13">
        <v>91</v>
      </c>
      <c r="E183" s="14">
        <v>45237</v>
      </c>
      <c r="H183" s="16">
        <v>14.8</v>
      </c>
      <c r="I183" s="16">
        <v>7.02</v>
      </c>
      <c r="J183" s="16">
        <v>44.89</v>
      </c>
      <c r="P183" s="18">
        <v>2.7900000000000001E-2</v>
      </c>
      <c r="Q183" s="18">
        <v>2.169579878182732</v>
      </c>
      <c r="R183" s="21" t="s">
        <v>50</v>
      </c>
      <c r="S183" s="21">
        <v>1.6039184529794199</v>
      </c>
      <c r="T183" s="21">
        <v>4.9742745680430707</v>
      </c>
      <c r="U183" s="21">
        <v>9.6517523591526502E-2</v>
      </c>
      <c r="W183" s="18">
        <v>0.23445701736473989</v>
      </c>
      <c r="Y183" s="94">
        <v>0.50036161755004382</v>
      </c>
      <c r="Z183" s="20">
        <v>-6.1154215960910339</v>
      </c>
      <c r="AA183" s="10">
        <v>-30.009803529424271</v>
      </c>
      <c r="AB183" s="17">
        <v>2.5444515802254202</v>
      </c>
      <c r="AC183" s="18">
        <v>0.82236846770378791</v>
      </c>
      <c r="AD183" s="21">
        <v>0.16084056448675821</v>
      </c>
      <c r="AE183" s="21">
        <v>3.604987042800416</v>
      </c>
      <c r="AF183" s="21">
        <v>2.935373401368473E-2</v>
      </c>
      <c r="AG183" s="21"/>
      <c r="AH183" s="21">
        <v>3.6373027268821749</v>
      </c>
    </row>
    <row r="184" spans="1:34" ht="16.2">
      <c r="A184" s="13" t="s">
        <v>73</v>
      </c>
      <c r="B184" s="13" t="s">
        <v>74</v>
      </c>
      <c r="C184" s="13">
        <v>91</v>
      </c>
      <c r="E184" s="14">
        <v>45237</v>
      </c>
      <c r="H184" s="16">
        <v>13.7</v>
      </c>
      <c r="I184" s="16">
        <v>6.8</v>
      </c>
      <c r="J184" s="16">
        <v>48.45</v>
      </c>
      <c r="P184" s="18">
        <v>2.4299999999999999E-2</v>
      </c>
      <c r="Q184" s="18">
        <v>2.023861590085557</v>
      </c>
      <c r="R184" s="21" t="s">
        <v>50</v>
      </c>
      <c r="S184" s="21">
        <v>1.85253799824202</v>
      </c>
      <c r="T184" s="21">
        <v>3.9428923274174692</v>
      </c>
      <c r="U184" s="21">
        <v>0.1145173724330044</v>
      </c>
      <c r="W184" s="18">
        <v>0.21666744268017479</v>
      </c>
      <c r="Y184" s="94">
        <v>0.379857634457824</v>
      </c>
      <c r="Z184" s="20">
        <v>-6.2038271357372414</v>
      </c>
      <c r="AA184" s="10">
        <v>-30.573098681844129</v>
      </c>
      <c r="AB184" s="17">
        <v>3.3250850461872878</v>
      </c>
      <c r="AC184" s="18">
        <v>1.061947442240492</v>
      </c>
      <c r="AD184" s="21">
        <v>0.16986509739762859</v>
      </c>
      <c r="AE184" s="21">
        <v>4.0531846417537132</v>
      </c>
      <c r="AF184" s="21">
        <v>3.2868601109541047E-2</v>
      </c>
      <c r="AG184" s="21"/>
      <c r="AH184" s="21">
        <v>1.958375153394573</v>
      </c>
    </row>
    <row r="185" spans="1:34">
      <c r="A185" s="13" t="s">
        <v>71</v>
      </c>
      <c r="B185" s="13" t="s">
        <v>72</v>
      </c>
      <c r="C185" s="13">
        <v>92</v>
      </c>
      <c r="E185" s="14">
        <v>45244</v>
      </c>
      <c r="H185" s="16">
        <v>13.9</v>
      </c>
      <c r="I185" s="16">
        <v>6.53</v>
      </c>
      <c r="J185" s="16">
        <v>44.13</v>
      </c>
      <c r="P185" s="18">
        <v>2.23E-2</v>
      </c>
      <c r="Q185" s="18">
        <v>2.072176139922087</v>
      </c>
      <c r="R185" s="21" t="s">
        <v>50</v>
      </c>
      <c r="S185" s="21">
        <v>2.02269424600098</v>
      </c>
      <c r="T185" s="21">
        <v>4.4513569455361548</v>
      </c>
      <c r="U185" s="21">
        <v>9.6517523591526502E-2</v>
      </c>
      <c r="W185" s="18">
        <v>0.23503837927370189</v>
      </c>
      <c r="Y185" s="92">
        <v>0.5068487552077382</v>
      </c>
      <c r="Z185" s="20">
        <v>-6.092932467584542</v>
      </c>
      <c r="AA185" s="10">
        <v>-29.515276230835521</v>
      </c>
      <c r="AB185" s="17">
        <v>3.3968998995579729</v>
      </c>
      <c r="AC185" s="18">
        <v>1.069569872068693</v>
      </c>
      <c r="AD185" s="21">
        <v>0.20897038862365669</v>
      </c>
      <c r="AE185" s="21">
        <v>3.9627716342423671</v>
      </c>
      <c r="AF185" s="21">
        <v>3.1099851213044E-2</v>
      </c>
      <c r="AG185" s="21"/>
      <c r="AH185" s="21">
        <v>5.0973155292416479</v>
      </c>
    </row>
    <row r="186" spans="1:34">
      <c r="A186" s="13" t="s">
        <v>73</v>
      </c>
      <c r="B186" s="13" t="s">
        <v>74</v>
      </c>
      <c r="C186" s="13">
        <v>92</v>
      </c>
      <c r="E186" s="14">
        <v>45244</v>
      </c>
      <c r="H186" s="16">
        <v>15.3</v>
      </c>
      <c r="I186" s="16">
        <v>6.55</v>
      </c>
      <c r="J186" s="16">
        <v>48.81</v>
      </c>
      <c r="P186" s="18">
        <v>2.3199999999999998E-2</v>
      </c>
      <c r="Q186" s="18">
        <v>2.0659362363928322</v>
      </c>
      <c r="R186" s="21" t="s">
        <v>50</v>
      </c>
      <c r="S186" s="21">
        <v>2.5008036510101821</v>
      </c>
      <c r="T186" s="21">
        <v>4.0327898739771628</v>
      </c>
      <c r="U186" s="21">
        <v>0.15051707011596019</v>
      </c>
      <c r="W186" s="18">
        <v>0.1704070995710068</v>
      </c>
      <c r="Y186" s="92">
        <v>0.381689473684517</v>
      </c>
      <c r="Z186" s="20">
        <v>-6.2584989826237098</v>
      </c>
      <c r="AA186" s="10">
        <v>-31.458437827341921</v>
      </c>
      <c r="AB186" s="17">
        <v>3.3639887569158078</v>
      </c>
      <c r="AC186" s="18">
        <v>1.2243903084995711</v>
      </c>
      <c r="AD186" s="21">
        <v>0.19424618139030089</v>
      </c>
      <c r="AE186" s="21">
        <v>4.3792342014141186</v>
      </c>
      <c r="AF186" s="21">
        <v>3.481842220950615E-2</v>
      </c>
      <c r="AG186" s="21"/>
      <c r="AH186" s="21">
        <v>4.9670682379344573</v>
      </c>
    </row>
    <row r="187" spans="1:34">
      <c r="A187" s="13" t="s">
        <v>71</v>
      </c>
      <c r="B187" s="13" t="s">
        <v>72</v>
      </c>
      <c r="C187" s="13">
        <v>93</v>
      </c>
      <c r="E187" s="14">
        <v>45252</v>
      </c>
      <c r="H187" s="16">
        <v>15.5</v>
      </c>
      <c r="I187" s="16">
        <v>7.75</v>
      </c>
      <c r="J187" s="16">
        <v>69.739999999999995</v>
      </c>
      <c r="P187" s="18">
        <v>2.5499999999999998E-2</v>
      </c>
      <c r="Q187" s="18">
        <v>1.9971745842405619</v>
      </c>
      <c r="R187" s="21" t="s">
        <v>50</v>
      </c>
      <c r="S187" s="21">
        <v>1.4276206814022321</v>
      </c>
      <c r="T187" s="21">
        <v>4.4990310930955113</v>
      </c>
      <c r="U187" s="21">
        <v>7.4331663391565356E-2</v>
      </c>
      <c r="W187" s="18">
        <v>0.29552278588290892</v>
      </c>
      <c r="Y187" s="92">
        <v>0.38186057608556284</v>
      </c>
      <c r="Z187" s="20">
        <v>-6.1952967766485711</v>
      </c>
      <c r="AA187" s="10">
        <v>-30.412264575616192</v>
      </c>
      <c r="AB187" s="17">
        <v>3.55971120434319</v>
      </c>
      <c r="AC187" s="18">
        <v>1.1124016728310819</v>
      </c>
      <c r="AD187" s="21">
        <v>0.20237227548314901</v>
      </c>
      <c r="AE187" s="21">
        <v>4.0996145893749558</v>
      </c>
      <c r="AF187" s="21">
        <v>3.1808450089950237E-2</v>
      </c>
      <c r="AG187" s="21"/>
      <c r="AH187" s="21">
        <v>5.4582192401387237</v>
      </c>
    </row>
    <row r="188" spans="1:34">
      <c r="A188" s="13" t="s">
        <v>73</v>
      </c>
      <c r="B188" s="13" t="s">
        <v>74</v>
      </c>
      <c r="C188" s="13">
        <v>93</v>
      </c>
      <c r="E188" s="14">
        <v>45252</v>
      </c>
      <c r="H188" s="16">
        <v>15.4</v>
      </c>
      <c r="I188" s="16">
        <v>6.52</v>
      </c>
      <c r="J188" s="16">
        <v>46.43</v>
      </c>
      <c r="P188" s="18">
        <v>3.1399999999999997E-2</v>
      </c>
      <c r="Q188" s="18">
        <v>2.176770425378141</v>
      </c>
      <c r="R188" s="21" t="s">
        <v>50</v>
      </c>
      <c r="S188" s="21">
        <v>1.879952309326459</v>
      </c>
      <c r="T188" s="21">
        <v>4.2577696349565759</v>
      </c>
      <c r="U188" s="21">
        <v>0.12456379969336411</v>
      </c>
      <c r="W188" s="18">
        <v>0.1060330904380526</v>
      </c>
      <c r="Y188" s="92">
        <v>0.29070389109265088</v>
      </c>
      <c r="Z188" s="20">
        <v>-6.1983987254080866</v>
      </c>
      <c r="AA188" s="10">
        <v>-30.779026462715429</v>
      </c>
      <c r="AB188" s="17">
        <v>3.4578629317736049</v>
      </c>
      <c r="AC188" s="18">
        <v>1.180092583126866</v>
      </c>
      <c r="AD188" s="21">
        <v>0.18599212590452949</v>
      </c>
      <c r="AE188" s="21">
        <v>4.2319214135143941</v>
      </c>
      <c r="AF188" s="21">
        <v>3.3566759180850253E-2</v>
      </c>
      <c r="AG188" s="21"/>
      <c r="AH188" s="21">
        <v>5.1739214342967106</v>
      </c>
    </row>
    <row r="189" spans="1:34" ht="16.2">
      <c r="A189" s="13" t="s">
        <v>71</v>
      </c>
      <c r="B189" s="13" t="s">
        <v>72</v>
      </c>
      <c r="C189" s="13">
        <v>94</v>
      </c>
      <c r="E189" s="14">
        <v>45258</v>
      </c>
      <c r="H189" s="16">
        <v>14.7</v>
      </c>
      <c r="I189" s="16">
        <v>7.31</v>
      </c>
      <c r="J189" s="16">
        <v>45.13</v>
      </c>
      <c r="P189" s="18">
        <v>2.41E-2</v>
      </c>
      <c r="Q189" s="18">
        <v>2.240462797581078</v>
      </c>
      <c r="R189" s="21" t="s">
        <v>50</v>
      </c>
      <c r="S189" s="21">
        <v>1.9244458195260941</v>
      </c>
      <c r="T189" s="21">
        <v>4.6792284259152028</v>
      </c>
      <c r="U189" s="21">
        <v>5.9680623636874049E-2</v>
      </c>
      <c r="W189" s="18">
        <v>0.27575447306525608</v>
      </c>
      <c r="Y189" s="94">
        <v>0.57320973693430033</v>
      </c>
      <c r="Z189" s="20">
        <v>-6.094483441964301</v>
      </c>
      <c r="AA189" s="10">
        <v>-29.39540221240863</v>
      </c>
      <c r="AB189" s="17">
        <v>3.7015318281860972</v>
      </c>
      <c r="AC189" s="18">
        <v>1.1014429215207451</v>
      </c>
      <c r="AD189" s="21">
        <v>0.27381710036839002</v>
      </c>
      <c r="AE189" s="21">
        <v>4.0711965808983184</v>
      </c>
      <c r="AF189" s="21">
        <v>3.1559277657322353E-2</v>
      </c>
      <c r="AG189" s="21"/>
      <c r="AH189" s="21">
        <v>5.272635257156737</v>
      </c>
    </row>
    <row r="190" spans="1:34" ht="16.2">
      <c r="A190" s="13" t="s">
        <v>73</v>
      </c>
      <c r="B190" s="13" t="s">
        <v>74</v>
      </c>
      <c r="C190" s="13">
        <v>94</v>
      </c>
      <c r="E190" s="14">
        <v>45258</v>
      </c>
      <c r="H190" s="16">
        <v>14.9</v>
      </c>
      <c r="I190" s="16">
        <v>7.37</v>
      </c>
      <c r="J190" s="16">
        <v>55.65</v>
      </c>
      <c r="P190" s="18">
        <v>2.5399999999999999E-2</v>
      </c>
      <c r="Q190" s="18">
        <v>2.2682850356661199</v>
      </c>
      <c r="R190" s="21" t="s">
        <v>50</v>
      </c>
      <c r="S190" s="21">
        <v>2.321947871219133</v>
      </c>
      <c r="T190" s="21">
        <v>4.2481693533180147</v>
      </c>
      <c r="U190" s="21">
        <v>0.1065639508518862</v>
      </c>
      <c r="W190" s="18">
        <v>0.1867457695507502</v>
      </c>
      <c r="Y190" s="94">
        <v>0.46781063341436568</v>
      </c>
      <c r="Z190" s="20">
        <v>-6.1980109818131481</v>
      </c>
      <c r="AA190" s="10">
        <v>-30.274353087331932</v>
      </c>
      <c r="AB190" s="17">
        <v>3.5505035591895742</v>
      </c>
      <c r="AC190" s="18">
        <v>1.245354018608726</v>
      </c>
      <c r="AD190" s="21">
        <v>0.1873588753134223</v>
      </c>
      <c r="AE190" s="21">
        <v>4.4138992862658961</v>
      </c>
      <c r="AF190" s="21">
        <v>3.4605827006956157E-2</v>
      </c>
      <c r="AG190" s="21"/>
      <c r="AH190" s="21">
        <v>5.0141367979487192</v>
      </c>
    </row>
    <row r="191" spans="1:34" ht="16.2">
      <c r="A191" s="13" t="s">
        <v>71</v>
      </c>
      <c r="B191" s="13" t="s">
        <v>72</v>
      </c>
      <c r="C191" s="13">
        <v>95</v>
      </c>
      <c r="E191" s="14">
        <v>45265</v>
      </c>
      <c r="H191" s="16">
        <v>14.2</v>
      </c>
      <c r="I191" s="16">
        <v>6.69</v>
      </c>
      <c r="J191" s="16">
        <v>43.01</v>
      </c>
      <c r="P191" s="18">
        <v>2.2499999999999999E-2</v>
      </c>
      <c r="Q191" s="18">
        <v>1.627527544209777</v>
      </c>
      <c r="R191" s="21" t="s">
        <v>50</v>
      </c>
      <c r="S191" s="21">
        <v>1.800707508748473</v>
      </c>
      <c r="T191" s="21">
        <v>2.8342248598752309</v>
      </c>
      <c r="U191" s="21">
        <v>0.116610378112246</v>
      </c>
      <c r="W191" s="18">
        <v>0.1674699571270217</v>
      </c>
      <c r="Y191" s="94">
        <v>0.57661993513920473</v>
      </c>
      <c r="Z191" s="20">
        <v>-6.1080544677871833</v>
      </c>
      <c r="AA191" s="10">
        <v>-29.25448447914815</v>
      </c>
      <c r="AB191" s="17">
        <v>3.1841456403625128</v>
      </c>
      <c r="AC191" s="18">
        <v>1.0239932433947909</v>
      </c>
      <c r="AD191" s="21">
        <v>0.22478235092521409</v>
      </c>
      <c r="AE191" s="21">
        <v>3.803679822689964</v>
      </c>
      <c r="AF191" s="21">
        <v>3.0270818515821592E-2</v>
      </c>
      <c r="AG191" s="21"/>
      <c r="AH191" s="21">
        <v>5.1248910095438234</v>
      </c>
    </row>
    <row r="192" spans="1:34" ht="16.2">
      <c r="A192" s="13" t="s">
        <v>73</v>
      </c>
      <c r="B192" s="13" t="s">
        <v>74</v>
      </c>
      <c r="C192" s="13">
        <v>95</v>
      </c>
      <c r="E192" s="14">
        <v>45265</v>
      </c>
      <c r="H192" s="16">
        <v>14.3</v>
      </c>
      <c r="I192" s="16">
        <v>6.69</v>
      </c>
      <c r="J192" s="16">
        <v>42.77</v>
      </c>
      <c r="P192" s="18">
        <v>2.06E-2</v>
      </c>
      <c r="Q192" s="18">
        <v>2.026146396652611</v>
      </c>
      <c r="R192" s="21" t="s">
        <v>50</v>
      </c>
      <c r="S192" s="21">
        <v>2.2991692201891998</v>
      </c>
      <c r="T192" s="21">
        <v>3.5829999747127088</v>
      </c>
      <c r="U192" s="21">
        <v>0.14088924399144881</v>
      </c>
      <c r="W192" s="18">
        <v>0.1518513855212919</v>
      </c>
      <c r="Y192" s="94">
        <v>0.48700446400165154</v>
      </c>
      <c r="Z192" s="20">
        <v>-6.1669914942179869</v>
      </c>
      <c r="AA192" s="10">
        <v>-30.43105360671758</v>
      </c>
      <c r="AB192" s="17">
        <v>3.0258417911123492</v>
      </c>
      <c r="AC192" s="18">
        <v>1.05605695031792</v>
      </c>
      <c r="AD192" s="21">
        <v>0.2081277388051217</v>
      </c>
      <c r="AE192" s="21">
        <v>3.7665160007949172</v>
      </c>
      <c r="AF192" s="21">
        <v>3.1414463926691817E-2</v>
      </c>
      <c r="AG192" s="21"/>
      <c r="AH192" s="21">
        <v>4.716809362666508</v>
      </c>
    </row>
    <row r="193" spans="1:34" ht="16.2">
      <c r="A193" s="13" t="s">
        <v>71</v>
      </c>
      <c r="B193" s="13" t="s">
        <v>72</v>
      </c>
      <c r="C193" s="13">
        <v>96</v>
      </c>
      <c r="E193" s="14">
        <v>45272</v>
      </c>
      <c r="H193" s="16">
        <v>12.5</v>
      </c>
      <c r="I193" s="16">
        <v>7.02</v>
      </c>
      <c r="J193" s="16">
        <v>47.64</v>
      </c>
      <c r="P193" s="18">
        <v>2.06E-2</v>
      </c>
      <c r="Q193" s="18">
        <v>2.2129928127951239</v>
      </c>
      <c r="R193" s="21" t="s">
        <v>50</v>
      </c>
      <c r="S193" s="21">
        <v>1.611672476711888</v>
      </c>
      <c r="T193" s="21">
        <v>5.8580300740282798</v>
      </c>
      <c r="U193" s="21">
        <v>0.104889546308493</v>
      </c>
      <c r="W193" s="18">
        <v>0.20185511885943341</v>
      </c>
      <c r="Y193" s="94">
        <v>0.47023786696806841</v>
      </c>
      <c r="Z193" s="20">
        <v>-6.5277292398280879</v>
      </c>
      <c r="AA193" s="10">
        <v>-31.99222027422767</v>
      </c>
      <c r="AB193" s="17">
        <v>3.4089332413648989</v>
      </c>
      <c r="AC193" s="18">
        <v>1.105063507588272</v>
      </c>
      <c r="AD193" s="21">
        <v>0.13956889342792869</v>
      </c>
      <c r="AE193" s="21">
        <v>3.982738129144646</v>
      </c>
      <c r="AF193" s="21">
        <v>2.3360184024407191E-2</v>
      </c>
      <c r="AG193" s="21"/>
      <c r="AH193" s="21">
        <v>5.9452097984375847</v>
      </c>
    </row>
    <row r="194" spans="1:34" ht="16.2">
      <c r="A194" s="13" t="s">
        <v>73</v>
      </c>
      <c r="B194" s="13" t="s">
        <v>74</v>
      </c>
      <c r="C194" s="13">
        <v>96</v>
      </c>
      <c r="E194" s="14">
        <v>45272</v>
      </c>
      <c r="H194" s="16">
        <v>13.9</v>
      </c>
      <c r="I194" s="16">
        <v>6.61</v>
      </c>
      <c r="J194" s="16">
        <v>48.87</v>
      </c>
      <c r="P194" s="18">
        <v>2.35E-2</v>
      </c>
      <c r="Q194" s="18">
        <v>2.1617155851525451</v>
      </c>
      <c r="R194" s="21" t="s">
        <v>50</v>
      </c>
      <c r="S194" s="21">
        <v>1.8977989317144131</v>
      </c>
      <c r="T194" s="21">
        <v>4.2210221267897881</v>
      </c>
      <c r="U194" s="21">
        <v>0.12833120991599911</v>
      </c>
      <c r="W194" s="18">
        <v>0.14465903898418339</v>
      </c>
      <c r="Y194" s="94">
        <v>0.37048414991412515</v>
      </c>
      <c r="Z194" s="20">
        <v>-6.5667198122479213</v>
      </c>
      <c r="AA194" s="10">
        <v>-32.312561060692047</v>
      </c>
      <c r="AB194" s="17">
        <v>3.3642969149429121</v>
      </c>
      <c r="AC194" s="18">
        <v>1.152618023786429</v>
      </c>
      <c r="AD194" s="21">
        <v>0.1168502835869879</v>
      </c>
      <c r="AE194" s="21">
        <v>4.1142889841447801</v>
      </c>
      <c r="AF194" s="21">
        <v>2.4450577412152352E-2</v>
      </c>
      <c r="AG194" s="21"/>
      <c r="AH194" s="21">
        <v>5.6532060953513028</v>
      </c>
    </row>
    <row r="195" spans="1:34" ht="16.2">
      <c r="A195" s="13" t="s">
        <v>71</v>
      </c>
      <c r="B195" s="13" t="s">
        <v>72</v>
      </c>
      <c r="C195" s="13">
        <v>97</v>
      </c>
      <c r="E195" s="14">
        <v>45279</v>
      </c>
      <c r="H195" s="16">
        <v>18.3</v>
      </c>
      <c r="I195" s="16">
        <v>7.5</v>
      </c>
      <c r="J195" s="16">
        <v>47.85</v>
      </c>
      <c r="P195" s="18">
        <v>1.9599999999999999E-2</v>
      </c>
      <c r="Q195" s="18">
        <v>2.1335572040921451</v>
      </c>
      <c r="R195" s="21" t="s">
        <v>50</v>
      </c>
      <c r="S195" s="21">
        <v>2.0891037468454829</v>
      </c>
      <c r="T195" s="21">
        <v>4.2449012400586748</v>
      </c>
      <c r="U195" s="21">
        <v>0.17159140651830981</v>
      </c>
      <c r="V195" s="21" t="s">
        <v>50</v>
      </c>
      <c r="W195" s="18">
        <v>0.14945046953170901</v>
      </c>
      <c r="Y195" s="94">
        <v>0.4848088566077563</v>
      </c>
      <c r="Z195" s="20">
        <v>-6.412529821314946</v>
      </c>
      <c r="AA195" s="10">
        <v>-30.748584629987992</v>
      </c>
      <c r="AB195" s="17">
        <v>3.3270204218318691</v>
      </c>
      <c r="AC195" s="18">
        <v>1.11214245927473</v>
      </c>
      <c r="AD195" s="21">
        <v>0.15057066170372779</v>
      </c>
      <c r="AE195" s="21">
        <v>4.1348593857710849</v>
      </c>
      <c r="AF195" s="21">
        <v>2.3578182845984359E-2</v>
      </c>
      <c r="AG195" s="21"/>
      <c r="AH195" s="21">
        <v>5.7767111826824404</v>
      </c>
    </row>
    <row r="196" spans="1:34" ht="16.2">
      <c r="A196" s="13" t="s">
        <v>73</v>
      </c>
      <c r="B196" s="13" t="s">
        <v>74</v>
      </c>
      <c r="C196" s="13">
        <v>97</v>
      </c>
      <c r="E196" s="14">
        <v>45279</v>
      </c>
      <c r="H196" s="16">
        <v>16.399999999999999</v>
      </c>
      <c r="I196" s="16">
        <v>6.87</v>
      </c>
      <c r="J196" s="16">
        <v>49.69</v>
      </c>
      <c r="P196" s="18">
        <v>0.02</v>
      </c>
      <c r="Q196" s="18">
        <v>2.1713907884269861</v>
      </c>
      <c r="R196" s="21" t="s">
        <v>50</v>
      </c>
      <c r="S196" s="21">
        <v>1.775345866529694</v>
      </c>
      <c r="T196" s="21">
        <v>4.9039974445076648</v>
      </c>
      <c r="U196" s="21">
        <v>0.14537044582724559</v>
      </c>
      <c r="V196" s="21" t="s">
        <v>50</v>
      </c>
      <c r="W196" s="18">
        <v>0.12987154306003179</v>
      </c>
      <c r="Y196" s="94">
        <v>0.4140555015335815</v>
      </c>
      <c r="Z196" s="20">
        <v>-6.4575462094723894</v>
      </c>
      <c r="AA196" s="10">
        <v>-30.90635418220814</v>
      </c>
      <c r="AB196" s="17">
        <v>3.4037398969335628</v>
      </c>
      <c r="AC196" s="18">
        <v>1.217611879254652</v>
      </c>
      <c r="AD196" s="21">
        <v>0.1306328840793885</v>
      </c>
      <c r="AE196" s="21">
        <v>4.3041296441536936</v>
      </c>
      <c r="AF196" s="21">
        <v>2.5743242206978038E-2</v>
      </c>
      <c r="AG196" s="21"/>
      <c r="AH196" s="21">
        <v>5.4334402439875227</v>
      </c>
    </row>
    <row r="197" spans="1:34">
      <c r="A197" s="13" t="s">
        <v>71</v>
      </c>
      <c r="B197" s="13" t="s">
        <v>72</v>
      </c>
      <c r="C197" s="13">
        <v>98</v>
      </c>
      <c r="E197" s="14" t="s">
        <v>70</v>
      </c>
      <c r="H197" s="16">
        <v>8.4</v>
      </c>
      <c r="I197" s="16">
        <v>7.56</v>
      </c>
      <c r="J197" s="16">
        <v>47.1</v>
      </c>
      <c r="W197" s="18">
        <v>0.13841130933892709</v>
      </c>
      <c r="Y197" s="92">
        <v>0.44355725892929831</v>
      </c>
      <c r="Z197" s="20">
        <v>-6.4362786245161159</v>
      </c>
      <c r="AA197" s="10">
        <v>-30.611050737726519</v>
      </c>
      <c r="AB197" s="17">
        <v>3.37725844185722</v>
      </c>
      <c r="AC197" s="18">
        <v>1.1080844121296181</v>
      </c>
      <c r="AD197" s="21">
        <v>0.14379802828017019</v>
      </c>
      <c r="AE197" s="21">
        <v>4.0721547840161652</v>
      </c>
      <c r="AF197" s="21">
        <v>2.2712348295589189E-2</v>
      </c>
      <c r="AG197" s="21"/>
      <c r="AH197" s="21">
        <v>5.6497112379374119</v>
      </c>
    </row>
    <row r="198" spans="1:34">
      <c r="A198" s="13" t="s">
        <v>73</v>
      </c>
      <c r="B198" s="13" t="s">
        <v>74</v>
      </c>
      <c r="C198" s="13">
        <v>98</v>
      </c>
      <c r="E198" s="14">
        <v>45286</v>
      </c>
      <c r="H198" s="16">
        <v>8.3000000000000007</v>
      </c>
      <c r="I198" s="16">
        <v>7.38</v>
      </c>
      <c r="J198" s="16">
        <v>49.5</v>
      </c>
      <c r="P198" s="18">
        <v>1.47E-2</v>
      </c>
      <c r="Q198" s="18">
        <v>2.4783607644808479</v>
      </c>
      <c r="R198" s="21" t="s">
        <v>50</v>
      </c>
      <c r="S198" s="21">
        <v>2.060147766510354</v>
      </c>
      <c r="T198" s="21">
        <v>5.5740338639074807</v>
      </c>
      <c r="U198" s="21">
        <v>0.12001974032551389</v>
      </c>
      <c r="V198" s="21">
        <v>1.0758591279926301E-2</v>
      </c>
      <c r="W198" s="18">
        <v>0.13886941435791389</v>
      </c>
      <c r="Y198" s="92">
        <v>0.34252547755675938</v>
      </c>
      <c r="Z198" s="20">
        <v>-6.4518748534840498</v>
      </c>
      <c r="AA198" s="10">
        <v>-31.09773550859693</v>
      </c>
      <c r="AB198" s="17">
        <v>3.266523096958776</v>
      </c>
      <c r="AC198" s="18">
        <v>1.2183268272840071</v>
      </c>
      <c r="AD198" s="21">
        <v>0.1151359447760916</v>
      </c>
      <c r="AE198" s="21">
        <v>4.3174356931972602</v>
      </c>
      <c r="AF198" s="21">
        <v>2.5688078531702761E-2</v>
      </c>
      <c r="AG198" s="21"/>
      <c r="AH198" s="21">
        <v>5.3416358216219226</v>
      </c>
    </row>
    <row r="199" spans="1:34">
      <c r="A199" s="13" t="s">
        <v>71</v>
      </c>
      <c r="B199" s="13" t="s">
        <v>72</v>
      </c>
      <c r="C199" s="13">
        <v>99</v>
      </c>
      <c r="E199" s="14">
        <v>45294</v>
      </c>
      <c r="H199" s="16">
        <v>8.4</v>
      </c>
      <c r="I199" s="16">
        <v>7.41</v>
      </c>
      <c r="J199" s="16">
        <v>48.4</v>
      </c>
      <c r="P199" s="18">
        <v>1.4500000000000001E-2</v>
      </c>
      <c r="Q199" s="18">
        <v>2.5320574383555519</v>
      </c>
      <c r="R199" s="21" t="s">
        <v>50</v>
      </c>
      <c r="S199" s="21">
        <v>2.3643358060704962</v>
      </c>
      <c r="T199" s="21">
        <v>4.9032568511595516</v>
      </c>
      <c r="U199" s="21">
        <v>0.16301998204378551</v>
      </c>
      <c r="V199" s="21">
        <v>7.8536230260947901E-3</v>
      </c>
      <c r="W199" s="18">
        <v>0.22020533481726631</v>
      </c>
      <c r="Y199" s="92">
        <v>0.436669242800721</v>
      </c>
      <c r="Z199" s="20">
        <v>-6.4362786245161168</v>
      </c>
      <c r="AA199" s="10">
        <v>-30.919730296418109</v>
      </c>
      <c r="AB199" s="17">
        <v>3.4610565335893768</v>
      </c>
      <c r="AC199" s="18">
        <v>1.1961471011214451</v>
      </c>
      <c r="AD199" s="21">
        <v>0.16128782990637641</v>
      </c>
      <c r="AE199" s="21">
        <v>4.34869625112636</v>
      </c>
      <c r="AF199" s="21">
        <v>2.512333450966037E-2</v>
      </c>
      <c r="AG199" s="21"/>
      <c r="AH199" s="21">
        <v>5.8117255511736916</v>
      </c>
    </row>
    <row r="200" spans="1:34">
      <c r="A200" s="13" t="s">
        <v>73</v>
      </c>
      <c r="B200" s="13" t="s">
        <v>74</v>
      </c>
      <c r="C200" s="13">
        <v>99</v>
      </c>
      <c r="E200" s="14">
        <v>45294</v>
      </c>
      <c r="H200" s="16">
        <v>8.4</v>
      </c>
      <c r="I200" s="16">
        <v>7.22</v>
      </c>
      <c r="J200" s="16">
        <v>50.32</v>
      </c>
      <c r="P200" s="18">
        <v>1.55E-2</v>
      </c>
      <c r="Q200" s="18">
        <v>2.5370704415156178</v>
      </c>
      <c r="R200" s="21" t="s">
        <v>50</v>
      </c>
      <c r="S200" s="21">
        <v>1.9768861346692139</v>
      </c>
      <c r="T200" s="21">
        <v>5.8110385432329226</v>
      </c>
      <c r="U200" s="21">
        <v>0.10939046709178391</v>
      </c>
      <c r="V200" s="21">
        <v>7.1273809626369103E-3</v>
      </c>
      <c r="W200" s="18">
        <v>0.117438205286011</v>
      </c>
      <c r="Y200" s="92">
        <v>0.32038741945952648</v>
      </c>
      <c r="Z200" s="20">
        <v>-6.4816494724228297</v>
      </c>
      <c r="AA200" s="10">
        <v>-31.219492445636391</v>
      </c>
      <c r="AB200" s="17">
        <v>3.3762630932293529</v>
      </c>
      <c r="AC200" s="18">
        <v>1.2654558029427281</v>
      </c>
      <c r="AD200" s="21">
        <v>0.12649026062508989</v>
      </c>
      <c r="AE200" s="21">
        <v>4.4846772486411091</v>
      </c>
      <c r="AF200" s="21">
        <v>2.5940830298429089E-2</v>
      </c>
      <c r="AG200" s="21"/>
      <c r="AH200" s="21">
        <v>5.5552538829850784</v>
      </c>
    </row>
    <row r="201" spans="1:34" ht="16.2">
      <c r="A201" s="13" t="s">
        <v>71</v>
      </c>
      <c r="B201" s="13" t="s">
        <v>72</v>
      </c>
      <c r="C201" s="13">
        <v>100</v>
      </c>
      <c r="E201" s="14">
        <v>45300</v>
      </c>
      <c r="H201" s="16">
        <v>10.5</v>
      </c>
      <c r="I201" s="16">
        <v>7.43</v>
      </c>
      <c r="J201" s="16">
        <v>49.53</v>
      </c>
      <c r="P201" s="18">
        <v>1.72E-2</v>
      </c>
      <c r="Q201" s="18">
        <v>2.5341541645202308</v>
      </c>
      <c r="R201" s="21" t="s">
        <v>50</v>
      </c>
      <c r="S201" s="21">
        <v>2.286587813162551</v>
      </c>
      <c r="T201" s="21">
        <v>5.2376623392411208</v>
      </c>
      <c r="U201" s="21">
        <v>0.15915479177697461</v>
      </c>
      <c r="V201" s="21">
        <v>7.1273809626369103E-3</v>
      </c>
      <c r="W201" s="18">
        <v>0.21840901759504289</v>
      </c>
      <c r="Y201" s="94">
        <v>0.47981142745652605</v>
      </c>
      <c r="Z201" s="20">
        <v>-6.5436799285452922</v>
      </c>
      <c r="AA201" s="10">
        <v>-32.164051895232653</v>
      </c>
      <c r="AB201" s="17">
        <v>3.4825830526032799</v>
      </c>
      <c r="AC201" s="18">
        <v>1.216499249821509</v>
      </c>
      <c r="AD201" s="21">
        <v>0.1287556181903857</v>
      </c>
      <c r="AE201" s="21">
        <v>4.332687717956067</v>
      </c>
      <c r="AF201" s="21">
        <v>2.5147626969338279E-2</v>
      </c>
      <c r="AG201" s="21"/>
      <c r="AH201" s="21">
        <v>5.8525592376102793</v>
      </c>
    </row>
    <row r="202" spans="1:34" ht="16.2">
      <c r="A202" s="13" t="s">
        <v>73</v>
      </c>
      <c r="B202" s="13" t="s">
        <v>74</v>
      </c>
      <c r="C202" s="13">
        <v>100</v>
      </c>
      <c r="E202" s="14">
        <v>45300</v>
      </c>
      <c r="H202" s="16">
        <v>11.3</v>
      </c>
      <c r="I202" s="16">
        <v>7.02</v>
      </c>
      <c r="J202" s="16">
        <v>51.17</v>
      </c>
      <c r="P202" s="18" t="s">
        <v>50</v>
      </c>
      <c r="Q202" s="18">
        <v>2.370129339</v>
      </c>
      <c r="R202" s="21" t="s">
        <v>50</v>
      </c>
      <c r="S202" s="21">
        <v>1.3274744169999999</v>
      </c>
      <c r="T202" s="21">
        <v>5.8715139169999997</v>
      </c>
      <c r="U202" s="21">
        <v>7.6920928999999999E-2</v>
      </c>
      <c r="V202" s="21">
        <v>1.1085552E-2</v>
      </c>
      <c r="W202" s="18">
        <v>0.13328819681715179</v>
      </c>
      <c r="Y202" s="94">
        <v>0.40770839138462817</v>
      </c>
      <c r="Z202" s="20">
        <v>-6.5585672380146844</v>
      </c>
      <c r="AA202" s="10">
        <v>-31.853657450103881</v>
      </c>
      <c r="AB202" s="17">
        <v>3.452063705060322</v>
      </c>
      <c r="AC202" s="18">
        <v>1.2889333941659691</v>
      </c>
      <c r="AD202" s="21">
        <v>0.1209169255710885</v>
      </c>
      <c r="AE202" s="21">
        <v>4.5438845272897508</v>
      </c>
      <c r="AF202" s="21">
        <v>2.6755102025383639E-2</v>
      </c>
      <c r="AG202" s="21"/>
      <c r="AH202" s="21">
        <v>5.6686957556390754</v>
      </c>
    </row>
    <row r="203" spans="1:34" ht="16.2">
      <c r="A203" s="13" t="s">
        <v>71</v>
      </c>
      <c r="B203" s="13" t="s">
        <v>72</v>
      </c>
      <c r="C203" s="13">
        <v>101</v>
      </c>
      <c r="E203" s="14">
        <v>45307</v>
      </c>
      <c r="H203" s="16">
        <v>11.9</v>
      </c>
      <c r="I203" s="16">
        <v>7.57</v>
      </c>
      <c r="J203" s="16">
        <v>50.47</v>
      </c>
      <c r="P203" s="18" t="s">
        <v>50</v>
      </c>
      <c r="Q203" s="18">
        <v>2.3866077699999999</v>
      </c>
      <c r="R203" s="21" t="s">
        <v>50</v>
      </c>
      <c r="S203" s="21">
        <v>1.6292097720000001</v>
      </c>
      <c r="T203" s="21">
        <v>5.0874198059999998</v>
      </c>
      <c r="U203" s="21">
        <v>0.112351905</v>
      </c>
      <c r="V203" s="21">
        <v>1.8956296000000001E-2</v>
      </c>
      <c r="W203" s="18">
        <v>0.1920467359306943</v>
      </c>
      <c r="Y203" s="94">
        <v>0.70033673647545913</v>
      </c>
      <c r="Z203" s="20">
        <v>-6.4079218445744193</v>
      </c>
      <c r="AA203" s="10">
        <v>-30.393603137492661</v>
      </c>
      <c r="AB203" s="17">
        <v>3.4787439081057929</v>
      </c>
      <c r="AC203" s="18">
        <v>1.2417487787576971</v>
      </c>
      <c r="AD203" s="21">
        <v>0.1571574614311797</v>
      </c>
      <c r="AE203" s="21">
        <v>4.453593599290099</v>
      </c>
      <c r="AF203" s="21">
        <v>2.526762945686287E-2</v>
      </c>
      <c r="AG203" s="21"/>
      <c r="AH203" s="21">
        <v>5.7785205479884754</v>
      </c>
    </row>
    <row r="204" spans="1:34" ht="16.2">
      <c r="A204" s="13" t="s">
        <v>73</v>
      </c>
      <c r="B204" s="13" t="s">
        <v>74</v>
      </c>
      <c r="C204" s="13">
        <v>101</v>
      </c>
      <c r="E204" s="14">
        <v>45307</v>
      </c>
      <c r="H204" s="16">
        <v>12.5</v>
      </c>
      <c r="I204" s="16">
        <v>7.05</v>
      </c>
      <c r="J204" s="16">
        <v>51.88</v>
      </c>
      <c r="P204" s="18" t="s">
        <v>50</v>
      </c>
      <c r="Q204" s="18">
        <v>2.376225303</v>
      </c>
      <c r="R204" s="21" t="s">
        <v>50</v>
      </c>
      <c r="S204" s="21">
        <v>1.3568948219999999</v>
      </c>
      <c r="T204" s="21">
        <v>5.9388417569999996</v>
      </c>
      <c r="U204" s="21">
        <v>8.4516000999999993E-2</v>
      </c>
      <c r="V204" s="21">
        <v>1.8956296000000001E-2</v>
      </c>
      <c r="W204" s="18">
        <v>0.17306739021830991</v>
      </c>
      <c r="Y204" s="94">
        <v>0.55475212657496642</v>
      </c>
      <c r="Z204" s="20">
        <v>-6.4571917497231182</v>
      </c>
      <c r="AA204" s="10">
        <v>-30.97151986682081</v>
      </c>
      <c r="AB204" s="17">
        <v>3.538536113307623</v>
      </c>
      <c r="AC204" s="18">
        <v>1.32162299911825</v>
      </c>
      <c r="AD204" s="21">
        <v>0.15373318619587709</v>
      </c>
      <c r="AE204" s="21">
        <v>4.6660014624458999</v>
      </c>
      <c r="AF204" s="21">
        <v>2.7011825530902062E-2</v>
      </c>
      <c r="AG204" s="21"/>
      <c r="AH204" s="21">
        <v>5.5654450647224838</v>
      </c>
    </row>
    <row r="205" spans="1:34" ht="16.2">
      <c r="A205" s="13" t="s">
        <v>71</v>
      </c>
      <c r="B205" s="13" t="s">
        <v>72</v>
      </c>
      <c r="C205" s="13">
        <v>102</v>
      </c>
      <c r="E205" s="14">
        <v>45314</v>
      </c>
      <c r="H205" s="16">
        <v>12.2</v>
      </c>
      <c r="I205" s="16">
        <v>7.25</v>
      </c>
      <c r="J205" s="16">
        <v>46.3</v>
      </c>
      <c r="P205" s="18" t="s">
        <v>50</v>
      </c>
      <c r="Q205" s="18">
        <v>2.3271210180000002</v>
      </c>
      <c r="R205" s="21" t="s">
        <v>50</v>
      </c>
      <c r="S205" s="21">
        <v>1.6812761700000001</v>
      </c>
      <c r="T205" s="21">
        <v>5.2989449730000002</v>
      </c>
      <c r="U205" s="21">
        <v>9.6448116E-2</v>
      </c>
      <c r="V205" s="21">
        <v>2.1818384E-2</v>
      </c>
      <c r="W205" s="18">
        <v>0.212088578748684</v>
      </c>
      <c r="Y205" s="94">
        <v>0.54595760191134957</v>
      </c>
      <c r="Z205" s="20">
        <v>-6.4334429465219456</v>
      </c>
      <c r="AA205" s="10">
        <v>-30.584984463881451</v>
      </c>
      <c r="AB205" s="17">
        <v>3.5500270052792899</v>
      </c>
      <c r="AC205" s="18">
        <v>1.1991426980107369</v>
      </c>
      <c r="AD205" s="21">
        <v>0.1589242345854564</v>
      </c>
      <c r="AE205" s="21">
        <v>4.3033002229810098</v>
      </c>
      <c r="AF205" s="21">
        <v>2.4962367316991481E-2</v>
      </c>
      <c r="AG205" s="21"/>
      <c r="AH205" s="21">
        <v>5.6918819335894133</v>
      </c>
    </row>
    <row r="206" spans="1:34" ht="16.2">
      <c r="A206" s="13" t="s">
        <v>73</v>
      </c>
      <c r="B206" s="13" t="s">
        <v>74</v>
      </c>
      <c r="C206" s="13">
        <v>102</v>
      </c>
      <c r="E206" s="14">
        <v>45314</v>
      </c>
      <c r="H206" s="16">
        <v>12.6</v>
      </c>
      <c r="I206" s="16">
        <v>6.94</v>
      </c>
      <c r="J206" s="16">
        <v>51.82</v>
      </c>
      <c r="P206" s="18" t="s">
        <v>50</v>
      </c>
      <c r="Q206" s="18">
        <v>2.2671096350000002</v>
      </c>
      <c r="R206" s="21" t="s">
        <v>50</v>
      </c>
      <c r="S206" s="21">
        <v>1.3963133320000001</v>
      </c>
      <c r="T206" s="21">
        <v>5.7762600979999998</v>
      </c>
      <c r="U206" s="21">
        <v>8.1622815000000001E-2</v>
      </c>
      <c r="V206" s="21">
        <v>2.8258083999999999E-2</v>
      </c>
      <c r="W206" s="18">
        <v>0.14748232537589009</v>
      </c>
      <c r="Y206" s="94">
        <v>0.90749219281463067</v>
      </c>
      <c r="Z206" s="20">
        <v>-6.4784593346793891</v>
      </c>
      <c r="AA206" s="10">
        <v>-31.113512463818939</v>
      </c>
      <c r="AB206" s="17">
        <v>3.452437299505859</v>
      </c>
      <c r="AC206" s="18">
        <v>1.324985942475698</v>
      </c>
      <c r="AD206" s="21">
        <v>0.15718765458669401</v>
      </c>
      <c r="AE206" s="21">
        <v>4.5858116836720644</v>
      </c>
      <c r="AF206" s="21">
        <v>2.6909308639476819E-2</v>
      </c>
      <c r="AG206" s="21"/>
      <c r="AH206" s="21">
        <v>5.4029960500910992</v>
      </c>
    </row>
    <row r="207" spans="1:34" ht="16.2">
      <c r="A207" s="13" t="s">
        <v>71</v>
      </c>
      <c r="B207" s="13" t="s">
        <v>72</v>
      </c>
      <c r="C207" s="13">
        <v>103</v>
      </c>
      <c r="E207" s="14">
        <v>45321</v>
      </c>
      <c r="H207" s="16">
        <v>12.7</v>
      </c>
      <c r="I207" s="16">
        <v>7.27</v>
      </c>
      <c r="J207" s="16">
        <v>52.52</v>
      </c>
      <c r="P207" s="18">
        <v>1.8599999999999998E-2</v>
      </c>
      <c r="Q207" s="18">
        <v>2.4770749300826811</v>
      </c>
      <c r="R207" s="21" t="s">
        <v>50</v>
      </c>
      <c r="S207" s="21">
        <v>2.3302048517298539</v>
      </c>
      <c r="T207" s="21">
        <v>5.520698033813928</v>
      </c>
      <c r="U207" s="21">
        <v>9.3093174517047586E-2</v>
      </c>
      <c r="V207" s="21">
        <v>1.5627098060898081E-2</v>
      </c>
      <c r="W207" s="18">
        <v>0.18603822363076361</v>
      </c>
      <c r="Y207" s="94">
        <v>0.53815703918808078</v>
      </c>
      <c r="Z207" s="20">
        <v>-6.4678255422012541</v>
      </c>
      <c r="AA207" s="10">
        <v>-30.573323236108649</v>
      </c>
      <c r="AB207" s="17">
        <v>3.4665336940985672</v>
      </c>
      <c r="AC207" s="18">
        <v>1.3050767415446241</v>
      </c>
      <c r="AD207" s="21">
        <v>0.1481755802143353</v>
      </c>
      <c r="AE207" s="21">
        <v>4.6535078354003216</v>
      </c>
      <c r="AF207" s="21">
        <v>2.6702292874106311E-2</v>
      </c>
      <c r="AG207" s="21"/>
      <c r="AH207" s="21">
        <v>5.705802568709581</v>
      </c>
    </row>
    <row r="208" spans="1:34" ht="16.2">
      <c r="A208" s="13" t="s">
        <v>73</v>
      </c>
      <c r="B208" s="13" t="s">
        <v>74</v>
      </c>
      <c r="C208" s="13">
        <v>103</v>
      </c>
      <c r="E208" s="14">
        <v>45321</v>
      </c>
      <c r="H208" s="16">
        <v>11.8</v>
      </c>
      <c r="I208" s="16">
        <v>6.77</v>
      </c>
      <c r="J208" s="16">
        <v>52.45</v>
      </c>
      <c r="P208" s="18">
        <v>2.1299999999999999E-2</v>
      </c>
      <c r="Q208" s="18">
        <v>2.5017983089888469</v>
      </c>
      <c r="R208" s="21" t="s">
        <v>50</v>
      </c>
      <c r="S208" s="21">
        <v>2.130961806322901</v>
      </c>
      <c r="T208" s="21">
        <v>5.8992687516461064</v>
      </c>
      <c r="U208" s="21">
        <v>9.3093174517047586E-2</v>
      </c>
      <c r="V208" s="21">
        <v>4.0087772994747591E-3</v>
      </c>
      <c r="W208" s="18">
        <v>0.1498685346684385</v>
      </c>
      <c r="Y208" s="94">
        <v>0.47421188892725019</v>
      </c>
      <c r="Z208" s="20">
        <v>-6.4362786245161159</v>
      </c>
      <c r="AA208" s="10">
        <v>-30.560633076473561</v>
      </c>
      <c r="AB208" s="17">
        <v>3.3996409597430399</v>
      </c>
      <c r="AC208" s="18">
        <v>1.312380194459847</v>
      </c>
      <c r="AD208" s="21">
        <v>0.12899858550057519</v>
      </c>
      <c r="AE208" s="21">
        <v>4.6623614901234207</v>
      </c>
      <c r="AF208" s="21">
        <v>2.715342350162191E-2</v>
      </c>
      <c r="AG208" s="21"/>
      <c r="AH208" s="21">
        <v>5.4246364053526177</v>
      </c>
    </row>
    <row r="209" spans="1:34" ht="16.2">
      <c r="A209" s="13" t="s">
        <v>71</v>
      </c>
      <c r="B209" s="13" t="s">
        <v>72</v>
      </c>
      <c r="C209" s="13">
        <v>104</v>
      </c>
      <c r="E209" s="14">
        <v>45328</v>
      </c>
      <c r="H209" s="16">
        <v>10.199999999999999</v>
      </c>
      <c r="I209" s="16">
        <v>7.27</v>
      </c>
      <c r="J209" s="16">
        <v>53.12</v>
      </c>
      <c r="P209" s="18">
        <v>2.0400000000000001E-2</v>
      </c>
      <c r="Q209" s="18">
        <v>2.4232245489150781</v>
      </c>
      <c r="R209" s="21" t="s">
        <v>50</v>
      </c>
      <c r="S209" s="21">
        <v>2.3188097634710512</v>
      </c>
      <c r="T209" s="21">
        <v>5.5060533925503137</v>
      </c>
      <c r="U209" s="21">
        <v>0.12396463778882701</v>
      </c>
      <c r="V209" s="21">
        <v>6.3324414517594227E-3</v>
      </c>
      <c r="W209" s="18">
        <v>0.19335973677738971</v>
      </c>
      <c r="Y209" s="94">
        <v>0.55424233083651409</v>
      </c>
      <c r="Z209" s="20">
        <v>-6.4104030628193156</v>
      </c>
      <c r="AA209" s="10">
        <v>-30.350387999275839</v>
      </c>
      <c r="AB209" s="17">
        <v>3.5031395020562299</v>
      </c>
      <c r="AC209" s="18">
        <v>1.3133463174591229</v>
      </c>
      <c r="AD209" s="21">
        <v>0.1339892231895167</v>
      </c>
      <c r="AE209" s="21">
        <v>4.7532199328816844</v>
      </c>
      <c r="AF209" s="21">
        <v>2.676984879976604E-2</v>
      </c>
      <c r="AG209" s="21"/>
      <c r="AH209" s="21">
        <v>5.8752393798458424</v>
      </c>
    </row>
    <row r="210" spans="1:34" ht="16.2">
      <c r="A210" s="13" t="s">
        <v>73</v>
      </c>
      <c r="B210" s="13" t="s">
        <v>74</v>
      </c>
      <c r="C210" s="13">
        <v>104</v>
      </c>
      <c r="E210" s="14">
        <v>45328</v>
      </c>
      <c r="H210" s="16">
        <v>11.7</v>
      </c>
      <c r="I210" s="16">
        <v>7.02</v>
      </c>
      <c r="J210" s="16">
        <v>54.57</v>
      </c>
      <c r="P210" s="18">
        <v>2.0299999999999999E-2</v>
      </c>
      <c r="Q210" s="18">
        <v>2.4153526550658979</v>
      </c>
      <c r="R210" s="21" t="s">
        <v>50</v>
      </c>
      <c r="S210" s="21">
        <v>2.0356692450495779</v>
      </c>
      <c r="T210" s="21">
        <v>5.8978338351487336</v>
      </c>
      <c r="U210" s="21">
        <v>8.1788131628790312E-2</v>
      </c>
      <c r="V210" s="21">
        <v>1.407798862604164E-2</v>
      </c>
      <c r="W210" s="18">
        <v>0.1252189454948695</v>
      </c>
      <c r="Y210" s="94">
        <v>0.47199893983679664</v>
      </c>
      <c r="Z210" s="20">
        <v>-6.4238725332916244</v>
      </c>
      <c r="AA210" s="10">
        <v>-30.391202296480621</v>
      </c>
      <c r="AB210" s="17">
        <v>3.4830914471338148</v>
      </c>
      <c r="AC210" s="18">
        <v>1.3989578253961801</v>
      </c>
      <c r="AD210" s="21">
        <v>0.13269104262601589</v>
      </c>
      <c r="AE210" s="21">
        <v>4.9709294376865323</v>
      </c>
      <c r="AF210" s="21">
        <v>2.91447453741016E-2</v>
      </c>
      <c r="AG210" s="21"/>
      <c r="AH210" s="21">
        <v>5.5959775456509284</v>
      </c>
    </row>
    <row r="211" spans="1:34">
      <c r="A211" s="13" t="s">
        <v>71</v>
      </c>
      <c r="B211" s="13" t="s">
        <v>72</v>
      </c>
      <c r="C211" s="13">
        <v>105</v>
      </c>
      <c r="E211" s="14">
        <v>45335</v>
      </c>
      <c r="Y211" s="92"/>
      <c r="AC211" s="18"/>
      <c r="AD211" s="21"/>
      <c r="AE211" s="21"/>
      <c r="AF211" s="21"/>
      <c r="AG211" s="21"/>
      <c r="AH211" s="21"/>
    </row>
    <row r="212" spans="1:34">
      <c r="A212" s="13" t="s">
        <v>73</v>
      </c>
      <c r="B212" s="13" t="s">
        <v>74</v>
      </c>
      <c r="C212" s="13">
        <v>105</v>
      </c>
      <c r="E212" s="14">
        <v>45335</v>
      </c>
      <c r="Y212" s="92"/>
      <c r="AC212" s="18"/>
      <c r="AD212" s="21"/>
      <c r="AE212" s="21"/>
      <c r="AF212" s="21"/>
      <c r="AG212" s="21"/>
      <c r="AH212" s="21"/>
    </row>
    <row r="213" spans="1:34">
      <c r="A213" s="13" t="s">
        <v>71</v>
      </c>
      <c r="B213" s="13" t="s">
        <v>72</v>
      </c>
      <c r="C213" s="13">
        <v>106</v>
      </c>
      <c r="E213" s="14">
        <v>45342</v>
      </c>
      <c r="H213" s="16">
        <v>10.1</v>
      </c>
      <c r="I213" s="16">
        <v>7.31</v>
      </c>
      <c r="J213" s="16">
        <v>59.04</v>
      </c>
      <c r="P213" s="18">
        <v>4.0758199999999997E-4</v>
      </c>
      <c r="Q213" s="18">
        <v>2.3138665760000001</v>
      </c>
      <c r="R213" s="21" t="s">
        <v>50</v>
      </c>
      <c r="S213" s="21">
        <v>1.981336161</v>
      </c>
      <c r="T213" s="21">
        <v>5.6103239130000002</v>
      </c>
      <c r="U213" s="21">
        <v>0.15348675000000001</v>
      </c>
      <c r="V213" s="21">
        <v>1.7736037E-2</v>
      </c>
      <c r="W213" s="18">
        <v>0.16826442517407089</v>
      </c>
      <c r="Y213" s="92">
        <v>0.38744327403825207</v>
      </c>
      <c r="Z213" s="20">
        <v>-6.5131963901079688</v>
      </c>
      <c r="AA213" s="10">
        <v>-31.300435085471069</v>
      </c>
      <c r="AB213" s="17">
        <v>3.5707351030139911</v>
      </c>
      <c r="AC213" s="18">
        <v>1.299201124201917</v>
      </c>
      <c r="AD213" s="21">
        <v>0.13139550558324961</v>
      </c>
      <c r="AE213" s="21">
        <v>4.6046057490613492</v>
      </c>
      <c r="AF213" s="21">
        <v>2.6912717267624418E-2</v>
      </c>
      <c r="AG213" s="21"/>
      <c r="AH213" s="21">
        <v>6.0153515397580453</v>
      </c>
    </row>
    <row r="214" spans="1:34">
      <c r="A214" s="13" t="s">
        <v>73</v>
      </c>
      <c r="B214" s="13" t="s">
        <v>74</v>
      </c>
      <c r="C214" s="13">
        <v>106</v>
      </c>
      <c r="E214" s="14">
        <v>45342</v>
      </c>
      <c r="H214" s="16">
        <v>10.6</v>
      </c>
      <c r="I214" s="16">
        <v>6.97</v>
      </c>
      <c r="J214" s="16">
        <v>60</v>
      </c>
      <c r="P214" s="18" t="s">
        <v>50</v>
      </c>
      <c r="Q214" s="18">
        <v>0.74493077399999996</v>
      </c>
      <c r="R214" s="21" t="s">
        <v>50</v>
      </c>
      <c r="S214" s="21">
        <v>0.55443834199999997</v>
      </c>
      <c r="T214" s="21">
        <v>2.004769976</v>
      </c>
      <c r="U214" s="21" t="s">
        <v>50</v>
      </c>
      <c r="V214" s="21">
        <v>1.3391793000000001E-2</v>
      </c>
      <c r="W214" s="18">
        <v>0.14964027840777011</v>
      </c>
      <c r="Y214" s="92">
        <v>0.32959992370184787</v>
      </c>
      <c r="Z214" s="20">
        <v>-6.5153231486035956</v>
      </c>
      <c r="AA214" s="10">
        <v>-31.40572911271364</v>
      </c>
      <c r="AB214" s="17">
        <v>3.5841786812545502</v>
      </c>
      <c r="AC214" s="18">
        <v>1.3727918994824451</v>
      </c>
      <c r="AD214" s="21">
        <v>0.11993966639795529</v>
      </c>
      <c r="AE214" s="21">
        <v>4.8706738071961304</v>
      </c>
      <c r="AF214" s="21">
        <v>2.7899336203659478E-2</v>
      </c>
      <c r="AG214" s="21"/>
      <c r="AH214" s="21">
        <v>5.6466949520196259</v>
      </c>
    </row>
    <row r="215" spans="1:34">
      <c r="A215" s="13" t="s">
        <v>71</v>
      </c>
      <c r="B215" s="13" t="s">
        <v>72</v>
      </c>
      <c r="C215" s="13">
        <v>107</v>
      </c>
      <c r="E215" s="14">
        <v>45349</v>
      </c>
      <c r="H215" s="16">
        <v>13.5</v>
      </c>
      <c r="I215" s="16">
        <v>7.08</v>
      </c>
      <c r="J215" s="16">
        <v>58.47</v>
      </c>
      <c r="P215" s="18">
        <v>2.6576199999999999E-3</v>
      </c>
      <c r="Q215" s="18">
        <v>2.3583939489999999</v>
      </c>
      <c r="R215" s="21" t="s">
        <v>50</v>
      </c>
      <c r="S215" s="21">
        <v>1.9506992400000001</v>
      </c>
      <c r="T215" s="21">
        <v>5.9347379350000002</v>
      </c>
      <c r="U215" s="21">
        <v>0.10963178</v>
      </c>
      <c r="V215" s="21">
        <v>1.7736037E-2</v>
      </c>
      <c r="W215" s="18">
        <v>0.17252456393060919</v>
      </c>
      <c r="Y215" s="92">
        <v>0.37252022816034958</v>
      </c>
      <c r="Z215" s="20">
        <v>-6.506107195122544</v>
      </c>
      <c r="AA215" s="10">
        <v>-31.58339134760503</v>
      </c>
      <c r="AB215" s="17">
        <v>3.666523060730436</v>
      </c>
      <c r="AC215" s="18">
        <v>1.3117545587627339</v>
      </c>
      <c r="AD215" s="21">
        <v>0.13488069988731921</v>
      </c>
      <c r="AE215" s="21">
        <v>4.6785664469714554</v>
      </c>
      <c r="AF215" s="21">
        <v>2.677795009698811E-2</v>
      </c>
      <c r="AG215" s="21"/>
      <c r="AH215" s="21">
        <v>5.8908866430247668</v>
      </c>
    </row>
    <row r="216" spans="1:34">
      <c r="A216" s="13" t="s">
        <v>73</v>
      </c>
      <c r="B216" s="13" t="s">
        <v>74</v>
      </c>
      <c r="C216" s="13">
        <v>107</v>
      </c>
      <c r="E216" s="14">
        <v>45349</v>
      </c>
      <c r="H216" s="16">
        <v>14.8</v>
      </c>
      <c r="I216" s="16">
        <v>6.9</v>
      </c>
      <c r="J216" s="16">
        <v>44.66</v>
      </c>
      <c r="P216" s="18" t="s">
        <v>50</v>
      </c>
      <c r="Q216" s="18">
        <v>2.3298181900000001</v>
      </c>
      <c r="R216" s="21" t="s">
        <v>50</v>
      </c>
      <c r="S216" s="21">
        <v>1.7803130279999999</v>
      </c>
      <c r="T216" s="21">
        <v>6.2793759979999999</v>
      </c>
      <c r="U216" s="21">
        <v>0.10189266700000001</v>
      </c>
      <c r="V216" s="21">
        <v>6.1513870000000003E-3</v>
      </c>
      <c r="W216" s="18">
        <v>0.12505177583794999</v>
      </c>
      <c r="Y216" s="92">
        <v>0.32206881996146747</v>
      </c>
      <c r="Z216" s="20">
        <v>-6.4951189428951377</v>
      </c>
      <c r="AA216" s="10">
        <v>-31.437283023157679</v>
      </c>
      <c r="AB216" s="17">
        <v>3.582843400715737</v>
      </c>
      <c r="AC216" s="18">
        <v>1.366494662957177</v>
      </c>
      <c r="AD216" s="21">
        <v>0.12752093868865849</v>
      </c>
      <c r="AE216" s="21">
        <v>4.8108094815967242</v>
      </c>
      <c r="AF216" s="21">
        <v>2.7755239233551981E-2</v>
      </c>
      <c r="AG216" s="21"/>
      <c r="AH216" s="21">
        <v>5.6200950212665486</v>
      </c>
    </row>
    <row r="217" spans="1:34">
      <c r="A217" s="13" t="s">
        <v>71</v>
      </c>
      <c r="B217" s="13" t="s">
        <v>72</v>
      </c>
      <c r="C217" s="13">
        <v>108</v>
      </c>
      <c r="E217" s="14">
        <v>45356</v>
      </c>
      <c r="H217" s="16">
        <v>14</v>
      </c>
      <c r="I217" s="16">
        <v>6.52</v>
      </c>
      <c r="J217" s="16">
        <v>59.77</v>
      </c>
      <c r="P217" s="18" t="s">
        <v>50</v>
      </c>
      <c r="Q217" s="18">
        <v>2.3259206940000001</v>
      </c>
      <c r="R217" s="21" t="s">
        <v>50</v>
      </c>
      <c r="S217" s="21">
        <v>1.9625287199999999</v>
      </c>
      <c r="T217" s="21">
        <v>6.1439797550000002</v>
      </c>
      <c r="U217" s="21">
        <v>0.121240448</v>
      </c>
      <c r="V217" s="21">
        <v>2.7148564E-2</v>
      </c>
      <c r="W217" s="18">
        <v>0.1700526939388014</v>
      </c>
      <c r="Y217" s="92">
        <v>0.47752049025046428</v>
      </c>
      <c r="Z217" s="20">
        <v>-6.4837762309184566</v>
      </c>
      <c r="AA217" s="10">
        <v>-31.422534999797971</v>
      </c>
      <c r="AC217" s="18">
        <v>1.3355182160446559</v>
      </c>
      <c r="AD217" s="21">
        <v>0.11310850521438449</v>
      </c>
      <c r="AE217" s="21">
        <v>4.7956924444542564</v>
      </c>
      <c r="AF217" s="21">
        <v>2.743620775014154E-2</v>
      </c>
      <c r="AG217" s="21"/>
      <c r="AH217" s="21">
        <v>5.7684326631289977</v>
      </c>
    </row>
    <row r="218" spans="1:34">
      <c r="A218" s="13" t="s">
        <v>73</v>
      </c>
      <c r="B218" s="13" t="s">
        <v>74</v>
      </c>
      <c r="C218" s="13">
        <v>108</v>
      </c>
      <c r="E218" s="14">
        <v>45356</v>
      </c>
      <c r="H218" s="16">
        <v>13.2</v>
      </c>
      <c r="I218" s="16">
        <v>6.6</v>
      </c>
      <c r="J218" s="16">
        <v>59.35</v>
      </c>
      <c r="P218" s="18">
        <v>2.3099999999999999E-2</v>
      </c>
      <c r="Q218" s="18">
        <v>2.194749898</v>
      </c>
      <c r="R218" s="21" t="s">
        <v>50</v>
      </c>
      <c r="S218" s="21">
        <v>1.7261169759999999</v>
      </c>
      <c r="T218" s="21">
        <v>6.0223518079999998</v>
      </c>
      <c r="U218" s="21">
        <v>0.102032384</v>
      </c>
      <c r="V218" s="21">
        <v>1.6656184000000001E-2</v>
      </c>
      <c r="W218" s="18">
        <v>0.22253782148420301</v>
      </c>
      <c r="Y218" s="92">
        <v>0.43514169424313459</v>
      </c>
      <c r="Z218" s="20">
        <v>-6.4862574491633556</v>
      </c>
      <c r="AA218" s="10">
        <v>-31.32032776814231</v>
      </c>
      <c r="AB218" s="17">
        <v>3.4410010326075682</v>
      </c>
      <c r="AC218" s="18">
        <v>1.3684141581600811</v>
      </c>
      <c r="AD218" s="21">
        <v>0.1005379780988624</v>
      </c>
      <c r="AE218" s="21">
        <v>4.8230702972714612</v>
      </c>
      <c r="AF218" s="21">
        <v>2.775638510123252E-2</v>
      </c>
      <c r="AG218" s="21"/>
      <c r="AH218" s="21">
        <v>5.5878520462192824</v>
      </c>
    </row>
    <row r="219" spans="1:34">
      <c r="A219" s="13" t="s">
        <v>71</v>
      </c>
      <c r="B219" s="13" t="s">
        <v>72</v>
      </c>
      <c r="C219" s="13">
        <v>109</v>
      </c>
      <c r="E219" s="14">
        <v>45363</v>
      </c>
      <c r="H219" s="16">
        <v>15.5</v>
      </c>
      <c r="I219" s="16">
        <v>7.47</v>
      </c>
      <c r="J219" s="16">
        <v>60.71</v>
      </c>
      <c r="P219" s="18">
        <v>2.75E-2</v>
      </c>
      <c r="Q219" s="18">
        <v>2.1735753510000002</v>
      </c>
      <c r="R219" s="21" t="s">
        <v>50</v>
      </c>
      <c r="S219" s="21">
        <v>1.884454879</v>
      </c>
      <c r="T219" s="21">
        <v>5.9224830380000002</v>
      </c>
      <c r="U219" s="21">
        <v>0.119814766</v>
      </c>
      <c r="V219" s="21" t="s">
        <v>50</v>
      </c>
      <c r="W219" s="18">
        <v>0.23765239489716411</v>
      </c>
      <c r="Y219" s="92">
        <v>0.48947227796294729</v>
      </c>
      <c r="Z219" s="20">
        <v>-6.5755147067813784</v>
      </c>
      <c r="AA219" s="10">
        <v>-31.822644548154742</v>
      </c>
      <c r="AB219" s="17">
        <v>3.7755186261550859</v>
      </c>
      <c r="AC219" s="18">
        <v>1.4125506686356371</v>
      </c>
      <c r="AD219" s="21">
        <v>0.24350680071236139</v>
      </c>
      <c r="AE219" s="21">
        <v>5.0638707184941456</v>
      </c>
      <c r="AF219" s="21">
        <v>3.7238181963035653E-2</v>
      </c>
      <c r="AG219" s="21"/>
      <c r="AH219" s="21">
        <v>5.4330198879881877</v>
      </c>
    </row>
    <row r="220" spans="1:34">
      <c r="A220" s="13" t="s">
        <v>73</v>
      </c>
      <c r="B220" s="13" t="s">
        <v>74</v>
      </c>
      <c r="C220" s="13">
        <v>109</v>
      </c>
      <c r="E220" s="14">
        <v>45363</v>
      </c>
      <c r="H220" s="16">
        <v>15.6</v>
      </c>
      <c r="I220" s="16">
        <v>7.28</v>
      </c>
      <c r="J220" s="16">
        <v>59.46</v>
      </c>
      <c r="P220" s="18">
        <v>2.1399999999999999E-2</v>
      </c>
      <c r="Q220" s="18">
        <v>2.1502032340000001</v>
      </c>
      <c r="R220" s="21" t="s">
        <v>50</v>
      </c>
      <c r="S220" s="21">
        <v>1.713889376</v>
      </c>
      <c r="T220" s="21">
        <v>6.0584609309999999</v>
      </c>
      <c r="U220" s="21">
        <v>9.0633421000000006E-2</v>
      </c>
      <c r="V220" s="21" t="s">
        <v>50</v>
      </c>
      <c r="W220" s="18">
        <v>0.1463009863187647</v>
      </c>
      <c r="Y220" s="92">
        <v>0.4156996588871098</v>
      </c>
      <c r="Z220" s="20">
        <v>-6.5772935658441396</v>
      </c>
      <c r="AA220" s="10">
        <v>-31.822644548154742</v>
      </c>
      <c r="AB220" s="17">
        <v>3.5938748409441859</v>
      </c>
      <c r="AC220" s="18">
        <v>1.4310758793556551</v>
      </c>
      <c r="AD220" s="21">
        <v>0.23248274759018961</v>
      </c>
      <c r="AE220" s="21">
        <v>4.9294471766855139</v>
      </c>
      <c r="AF220" s="21">
        <v>3.6669326955805312E-2</v>
      </c>
      <c r="AG220" s="21"/>
      <c r="AH220" s="21">
        <v>5.2127302780445817</v>
      </c>
    </row>
    <row r="221" spans="1:34">
      <c r="A221" s="13" t="s">
        <v>71</v>
      </c>
      <c r="B221" s="13" t="s">
        <v>72</v>
      </c>
      <c r="C221" s="13">
        <v>110</v>
      </c>
      <c r="E221" s="14">
        <v>45370</v>
      </c>
      <c r="H221" s="16">
        <v>14.6</v>
      </c>
      <c r="I221" s="16">
        <v>7.42</v>
      </c>
      <c r="J221" s="16">
        <v>62.74</v>
      </c>
      <c r="P221" s="18">
        <v>2.07E-2</v>
      </c>
      <c r="Q221" s="18">
        <v>2.3410555510000002</v>
      </c>
      <c r="R221" s="21" t="s">
        <v>50</v>
      </c>
      <c r="S221" s="21">
        <v>1.9300505830000001</v>
      </c>
      <c r="T221" s="21">
        <v>6.3165154499999998</v>
      </c>
      <c r="U221" s="21">
        <v>0.125442997</v>
      </c>
      <c r="V221" s="21">
        <v>1.6584908999999998E-2</v>
      </c>
      <c r="W221" s="18">
        <v>0.20139796207529909</v>
      </c>
      <c r="Y221" s="92"/>
      <c r="Z221" s="20">
        <v>-6.6367074585403998</v>
      </c>
      <c r="AA221" s="10">
        <v>-32.451502346365253</v>
      </c>
      <c r="AB221" s="17">
        <v>3.95763178683185</v>
      </c>
      <c r="AC221" s="18">
        <v>1.485961944929669</v>
      </c>
      <c r="AD221" s="21">
        <v>0.38145766211566517</v>
      </c>
      <c r="AE221" s="21">
        <v>5.3392113951356572</v>
      </c>
      <c r="AF221" s="21">
        <v>3.875262287921559E-2</v>
      </c>
      <c r="AG221" s="21"/>
      <c r="AH221" s="21">
        <v>5.567693738232423</v>
      </c>
    </row>
    <row r="222" spans="1:34">
      <c r="A222" s="13" t="s">
        <v>73</v>
      </c>
      <c r="B222" s="13" t="s">
        <v>74</v>
      </c>
      <c r="C222" s="13">
        <v>110</v>
      </c>
      <c r="E222" s="14">
        <v>45370</v>
      </c>
      <c r="H222" s="16">
        <v>14.2</v>
      </c>
      <c r="I222" s="16">
        <v>7.16</v>
      </c>
      <c r="J222" s="16">
        <v>61.09</v>
      </c>
      <c r="P222" s="18">
        <v>1.9E-2</v>
      </c>
      <c r="Q222" s="18">
        <v>2.3600448520000001</v>
      </c>
      <c r="R222" s="21" t="s">
        <v>50</v>
      </c>
      <c r="S222" s="21">
        <v>1.765812267</v>
      </c>
      <c r="T222" s="21">
        <v>6.3598714019999996</v>
      </c>
      <c r="U222" s="21">
        <v>9.2540716999999995E-2</v>
      </c>
      <c r="V222" s="21">
        <v>0.125803684</v>
      </c>
      <c r="W222" s="18">
        <v>0.22039006253200411</v>
      </c>
      <c r="Y222" s="92"/>
      <c r="Z222" s="20">
        <v>-6.5872551765956091</v>
      </c>
      <c r="AA222" s="10">
        <v>-32.083323449761387</v>
      </c>
      <c r="AB222" s="17">
        <v>3.8829569286455188</v>
      </c>
      <c r="AC222" s="18">
        <v>1.498458364030659</v>
      </c>
      <c r="AD222" s="21">
        <v>0.32412600029022248</v>
      </c>
      <c r="AE222" s="21">
        <v>5.1896481859289088</v>
      </c>
      <c r="AF222" s="21">
        <v>3.8670134885598798E-2</v>
      </c>
      <c r="AG222" s="21"/>
      <c r="AH222" s="21">
        <v>5.2609205385510567</v>
      </c>
    </row>
    <row r="223" spans="1:34">
      <c r="A223" s="13" t="s">
        <v>71</v>
      </c>
      <c r="B223" s="13" t="s">
        <v>72</v>
      </c>
      <c r="C223" s="13">
        <v>111</v>
      </c>
      <c r="E223" s="14">
        <v>45377</v>
      </c>
      <c r="H223" s="16">
        <v>18.899999999999999</v>
      </c>
      <c r="I223" s="16">
        <v>7.2</v>
      </c>
      <c r="J223" s="16">
        <v>65.12</v>
      </c>
      <c r="Y223" s="92"/>
      <c r="AC223" s="18"/>
      <c r="AD223" s="21"/>
      <c r="AE223" s="21"/>
      <c r="AF223" s="21"/>
      <c r="AG223" s="21"/>
      <c r="AH223" s="21"/>
    </row>
    <row r="224" spans="1:34">
      <c r="A224" s="13" t="s">
        <v>73</v>
      </c>
      <c r="B224" s="13" t="s">
        <v>74</v>
      </c>
      <c r="C224" s="13">
        <v>111</v>
      </c>
      <c r="E224" s="14">
        <v>45377</v>
      </c>
      <c r="H224" s="16">
        <v>18.600000000000001</v>
      </c>
      <c r="I224" s="16">
        <v>7.23</v>
      </c>
      <c r="J224" s="16">
        <v>64.290000000000006</v>
      </c>
      <c r="Y224" s="92"/>
      <c r="AC224" s="18"/>
      <c r="AD224" s="21"/>
      <c r="AE224" s="21"/>
      <c r="AF224" s="21"/>
      <c r="AG224" s="21"/>
      <c r="AH224" s="21"/>
    </row>
    <row r="225" spans="1:34">
      <c r="A225" s="13" t="s">
        <v>71</v>
      </c>
      <c r="B225" s="13" t="s">
        <v>72</v>
      </c>
      <c r="C225" s="13">
        <v>112</v>
      </c>
      <c r="E225" s="14">
        <v>45384</v>
      </c>
      <c r="H225" s="16">
        <v>14.3</v>
      </c>
      <c r="I225" s="16">
        <v>7.12</v>
      </c>
      <c r="J225" s="16">
        <v>46.6</v>
      </c>
      <c r="P225" s="18">
        <v>2.63E-2</v>
      </c>
      <c r="Q225" s="18">
        <v>2.2996596450000002</v>
      </c>
      <c r="R225" s="21" t="s">
        <v>50</v>
      </c>
      <c r="S225" s="21">
        <v>1.981493867</v>
      </c>
      <c r="T225" s="21">
        <v>6.6110979900000002</v>
      </c>
      <c r="U225" s="21">
        <v>0.12246910699999999</v>
      </c>
      <c r="V225" s="21">
        <v>1.2986017000000001E-2</v>
      </c>
      <c r="W225" s="18">
        <v>0.31635434313005101</v>
      </c>
      <c r="Y225" s="92">
        <v>0.3819217049957005</v>
      </c>
      <c r="Z225" s="20">
        <v>-6.6409767202910297</v>
      </c>
      <c r="AA225" s="10">
        <v>-32.433299471813008</v>
      </c>
      <c r="AB225" s="17">
        <v>3.9975396804366401</v>
      </c>
      <c r="AC225" s="18">
        <v>1.5382775577560379</v>
      </c>
      <c r="AD225" s="21">
        <v>0.26924188308854408</v>
      </c>
      <c r="AE225" s="21">
        <v>5.6240178527009874</v>
      </c>
      <c r="AF225" s="21">
        <v>4.0205673044084428E-2</v>
      </c>
      <c r="AG225" s="21"/>
      <c r="AH225" s="21">
        <v>5.6151712627941937</v>
      </c>
    </row>
    <row r="226" spans="1:34">
      <c r="A226" s="13" t="s">
        <v>73</v>
      </c>
      <c r="B226" s="13" t="s">
        <v>74</v>
      </c>
      <c r="C226" s="13">
        <v>112</v>
      </c>
      <c r="E226" s="14">
        <v>45384</v>
      </c>
      <c r="H226" s="16">
        <v>13.9</v>
      </c>
      <c r="I226" s="16">
        <v>7.16</v>
      </c>
      <c r="J226" s="16">
        <v>65.400000000000006</v>
      </c>
      <c r="P226" s="18">
        <v>2.1999999999999999E-2</v>
      </c>
      <c r="Q226" s="18">
        <v>2.293978385</v>
      </c>
      <c r="R226" s="21" t="s">
        <v>50</v>
      </c>
      <c r="S226" s="21">
        <v>1.8588493100000001</v>
      </c>
      <c r="T226" s="21">
        <v>6.504199957</v>
      </c>
      <c r="U226" s="21">
        <v>0.11488145299999999</v>
      </c>
      <c r="V226" s="21" t="s">
        <v>50</v>
      </c>
      <c r="W226" s="18">
        <v>0.26623276931942352</v>
      </c>
      <c r="Y226" s="92">
        <v>0.3428985415197508</v>
      </c>
      <c r="Z226" s="20">
        <v>-6.5901013510960293</v>
      </c>
      <c r="AA226" s="10">
        <v>-32.155104596580607</v>
      </c>
      <c r="AB226" s="17">
        <v>3.99811250028438</v>
      </c>
      <c r="AC226" s="18">
        <v>1.622204372818405</v>
      </c>
      <c r="AD226" s="21">
        <v>0.24376315026734011</v>
      </c>
      <c r="AE226" s="21">
        <v>5.5677484208558159</v>
      </c>
      <c r="AF226" s="21">
        <v>4.0673235631827773E-2</v>
      </c>
      <c r="AG226" s="21"/>
      <c r="AH226" s="21">
        <v>5.4947396195705744</v>
      </c>
    </row>
    <row r="227" spans="1:34">
      <c r="A227" s="13" t="s">
        <v>71</v>
      </c>
      <c r="B227" s="13" t="s">
        <v>72</v>
      </c>
      <c r="C227" s="13">
        <v>113</v>
      </c>
      <c r="E227" s="14">
        <v>45391</v>
      </c>
      <c r="H227" s="16">
        <v>15.9</v>
      </c>
      <c r="I227" s="16">
        <v>7.34</v>
      </c>
      <c r="J227" s="16">
        <v>66.8</v>
      </c>
      <c r="P227" s="18">
        <v>2.0899999999999998E-2</v>
      </c>
      <c r="Q227" s="18">
        <v>2.3273071399999998</v>
      </c>
      <c r="R227" s="21" t="s">
        <v>50</v>
      </c>
      <c r="S227" s="21">
        <v>1.911113783</v>
      </c>
      <c r="T227" s="21">
        <v>6.8701546340000004</v>
      </c>
      <c r="U227" s="21">
        <v>0.127165483</v>
      </c>
      <c r="V227" s="21" t="s">
        <v>50</v>
      </c>
      <c r="W227" s="18">
        <v>0.36579739126216709</v>
      </c>
      <c r="Y227" s="92">
        <v>0.3633139092360661</v>
      </c>
      <c r="Z227" s="20">
        <v>-6.6498710156048402</v>
      </c>
      <c r="AA227" s="10">
        <v>-32.575487963598462</v>
      </c>
      <c r="AB227" s="17">
        <v>4.0941364396186568</v>
      </c>
      <c r="AC227" s="18">
        <v>1.613628757303174</v>
      </c>
      <c r="AD227" s="21">
        <v>0.27091640509835008</v>
      </c>
      <c r="AE227" s="21">
        <v>5.8283033848354489</v>
      </c>
      <c r="AF227" s="21">
        <v>4.1624224599110089E-2</v>
      </c>
      <c r="AG227" s="21"/>
      <c r="AH227" s="21">
        <v>5.7196785127881338</v>
      </c>
    </row>
    <row r="228" spans="1:34">
      <c r="A228" s="13" t="s">
        <v>73</v>
      </c>
      <c r="B228" s="13" t="s">
        <v>74</v>
      </c>
      <c r="C228" s="13">
        <v>113</v>
      </c>
      <c r="E228" s="14">
        <v>45391</v>
      </c>
      <c r="H228" s="16">
        <v>16.8</v>
      </c>
      <c r="I228" s="16">
        <v>7.06</v>
      </c>
      <c r="J228" s="16">
        <v>66.95</v>
      </c>
      <c r="P228" s="18">
        <v>2.6100000000000002E-2</v>
      </c>
      <c r="Q228" s="18">
        <v>2.3278658210000001</v>
      </c>
      <c r="R228" s="21" t="s">
        <v>50</v>
      </c>
      <c r="S228" s="21">
        <v>1.7681360479999999</v>
      </c>
      <c r="T228" s="21">
        <v>6.9003489519999999</v>
      </c>
      <c r="U228" s="21">
        <v>0.127165483</v>
      </c>
      <c r="V228" s="21" t="s">
        <v>50</v>
      </c>
      <c r="W228" s="18">
        <v>0.16142857690037721</v>
      </c>
      <c r="Y228" s="92">
        <v>0.32104693130826872</v>
      </c>
      <c r="Z228" s="20">
        <v>-6.6477363847295257</v>
      </c>
      <c r="AA228" s="10">
        <v>-32.431238769033513</v>
      </c>
      <c r="AB228" s="17">
        <v>4.136716227606926</v>
      </c>
      <c r="AC228" s="18">
        <v>1.665442631846944</v>
      </c>
      <c r="AD228" s="21">
        <v>0.24672878754946509</v>
      </c>
      <c r="AE228" s="21">
        <v>5.7611139327834779</v>
      </c>
      <c r="AF228" s="21">
        <v>4.2147015883859183E-2</v>
      </c>
      <c r="AG228" s="21"/>
      <c r="AH228" s="21">
        <v>5.6394661525121537</v>
      </c>
    </row>
    <row r="229" spans="1:34">
      <c r="A229" s="13" t="s">
        <v>71</v>
      </c>
      <c r="B229" s="13" t="s">
        <v>72</v>
      </c>
      <c r="C229" s="13">
        <v>114</v>
      </c>
      <c r="E229" s="14">
        <v>45398</v>
      </c>
      <c r="H229" s="16">
        <v>14.4</v>
      </c>
      <c r="I229" s="16">
        <v>7.44</v>
      </c>
      <c r="J229" s="16">
        <v>69.27</v>
      </c>
      <c r="P229" s="18">
        <v>5.9069480000000001E-2</v>
      </c>
      <c r="Q229" s="18">
        <v>2.352346716</v>
      </c>
      <c r="R229" s="21" t="s">
        <v>50</v>
      </c>
      <c r="S229" s="21">
        <v>1.9153109779999999</v>
      </c>
      <c r="T229" s="21">
        <v>7.0518419569999997</v>
      </c>
      <c r="U229" s="21" t="s">
        <v>50</v>
      </c>
      <c r="V229" s="21" t="s">
        <v>50</v>
      </c>
      <c r="W229" s="18">
        <v>0.1963456288456068</v>
      </c>
      <c r="Y229" s="92"/>
      <c r="Z229" s="20">
        <v>-6.6641018881069378</v>
      </c>
      <c r="AA229" s="10">
        <v>-33.35821156934491</v>
      </c>
      <c r="AB229" s="17">
        <v>4.1985898845387846</v>
      </c>
      <c r="AC229" s="18">
        <v>1.6652861708373059</v>
      </c>
      <c r="AD229" s="21">
        <v>0.29073124518462601</v>
      </c>
      <c r="AE229" s="21">
        <v>5.9987177074800258</v>
      </c>
      <c r="AF229" s="21">
        <v>4.2671875031510507E-2</v>
      </c>
      <c r="AG229" s="21"/>
      <c r="AH229" s="21">
        <v>5.7837654327734542</v>
      </c>
    </row>
    <row r="230" spans="1:34">
      <c r="A230" s="13" t="s">
        <v>73</v>
      </c>
      <c r="B230" s="13" t="s">
        <v>74</v>
      </c>
      <c r="C230" s="13">
        <v>114</v>
      </c>
      <c r="E230" s="14">
        <v>45398</v>
      </c>
      <c r="H230" s="16">
        <v>14.3</v>
      </c>
      <c r="I230" s="16">
        <v>7.14</v>
      </c>
      <c r="J230" s="16">
        <v>70.97</v>
      </c>
      <c r="P230" s="18">
        <v>5.3723252999999999E-2</v>
      </c>
      <c r="Q230" s="18">
        <v>2.3497133899999998</v>
      </c>
      <c r="R230" s="21" t="s">
        <v>50</v>
      </c>
      <c r="S230" s="21">
        <v>1.8143140230000001</v>
      </c>
      <c r="T230" s="21">
        <v>6.9004384319999996</v>
      </c>
      <c r="U230" s="21" t="s">
        <v>50</v>
      </c>
      <c r="V230" s="21" t="s">
        <v>50</v>
      </c>
      <c r="W230" s="18">
        <v>0.15393758361961879</v>
      </c>
      <c r="Y230" s="92"/>
      <c r="Z230" s="20">
        <v>-6.6491594719797336</v>
      </c>
      <c r="AA230" s="10">
        <v>-32.630440037718436</v>
      </c>
      <c r="AB230" s="17">
        <v>4.2297924950683852</v>
      </c>
      <c r="AC230" s="18">
        <v>1.781098517431231</v>
      </c>
      <c r="AD230" s="21">
        <v>0.26471495712978721</v>
      </c>
      <c r="AE230" s="21">
        <v>6.085652349537308</v>
      </c>
      <c r="AF230" s="21">
        <v>4.3785004532761101E-2</v>
      </c>
      <c r="AG230" s="21"/>
      <c r="AH230" s="21">
        <v>5.7038223478918306</v>
      </c>
    </row>
    <row r="231" spans="1:34">
      <c r="A231" s="13" t="s">
        <v>71</v>
      </c>
      <c r="B231" s="13" t="s">
        <v>72</v>
      </c>
      <c r="C231" s="13">
        <v>115</v>
      </c>
      <c r="E231" s="14">
        <v>45405</v>
      </c>
      <c r="H231" s="16">
        <v>14.1</v>
      </c>
      <c r="I231" s="16">
        <v>7.27</v>
      </c>
      <c r="J231" s="16">
        <v>70.64</v>
      </c>
      <c r="P231" s="18">
        <v>5.8739722000000001E-2</v>
      </c>
      <c r="Q231" s="18">
        <v>2.404974127</v>
      </c>
      <c r="R231" s="21" t="s">
        <v>50</v>
      </c>
      <c r="S231" s="21">
        <v>2.0590473650000001</v>
      </c>
      <c r="T231" s="21">
        <v>7.1504596610000002</v>
      </c>
      <c r="U231" s="21" t="s">
        <v>50</v>
      </c>
      <c r="V231" s="21">
        <v>1.1572020000000001E-2</v>
      </c>
      <c r="X231" s="19">
        <v>4.5857983548965144</v>
      </c>
      <c r="Y231" s="92"/>
      <c r="Z231" s="20">
        <v>-6.6520056464801547</v>
      </c>
      <c r="AA231" s="10">
        <v>-32.881845776817343</v>
      </c>
      <c r="AB231" s="17">
        <v>4.2421145543640106</v>
      </c>
      <c r="AC231" s="18">
        <v>1.7162848746620969</v>
      </c>
      <c r="AD231" s="21">
        <v>0.29710781692712318</v>
      </c>
      <c r="AE231" s="21">
        <v>6.1196723597725304</v>
      </c>
      <c r="AF231" s="21">
        <v>4.3618053822013329E-2</v>
      </c>
      <c r="AG231" s="21"/>
      <c r="AH231" s="21">
        <v>5.8692783678006801</v>
      </c>
    </row>
    <row r="232" spans="1:34">
      <c r="A232" s="13" t="s">
        <v>73</v>
      </c>
      <c r="B232" s="13" t="s">
        <v>74</v>
      </c>
      <c r="C232" s="13">
        <v>115</v>
      </c>
      <c r="E232" s="14">
        <v>45405</v>
      </c>
      <c r="H232" s="16">
        <v>14.4</v>
      </c>
      <c r="I232" s="16">
        <v>7.05</v>
      </c>
      <c r="J232" s="16">
        <v>72.069999999999993</v>
      </c>
      <c r="P232" s="18">
        <v>5.0446335000000002E-2</v>
      </c>
      <c r="Q232" s="18">
        <v>2.2693265669999998</v>
      </c>
      <c r="R232" s="21" t="s">
        <v>50</v>
      </c>
      <c r="S232" s="21">
        <v>1.865257054</v>
      </c>
      <c r="T232" s="21">
        <v>6.5766985829999998</v>
      </c>
      <c r="U232" s="21" t="s">
        <v>50</v>
      </c>
      <c r="V232" s="21" t="s">
        <v>50</v>
      </c>
      <c r="W232" s="18">
        <v>0.14241885965443829</v>
      </c>
      <c r="Y232" s="92"/>
      <c r="Z232" s="20">
        <v>-6.5982841027847359</v>
      </c>
      <c r="AA232" s="10">
        <v>-32.260887339261572</v>
      </c>
      <c r="AB232" s="17">
        <v>4.2865339058227159</v>
      </c>
      <c r="AC232" s="18">
        <v>1.801176820988476</v>
      </c>
      <c r="AD232" s="21">
        <v>0.27216194192022769</v>
      </c>
      <c r="AE232" s="21">
        <v>6.2376673752898393</v>
      </c>
      <c r="AF232" s="21">
        <v>4.4616606688910931E-2</v>
      </c>
      <c r="AG232" s="21"/>
      <c r="AH232" s="21">
        <v>5.7452565185009554</v>
      </c>
    </row>
    <row r="233" spans="1:34">
      <c r="A233" s="13" t="s">
        <v>71</v>
      </c>
      <c r="B233" s="13" t="s">
        <v>72</v>
      </c>
      <c r="C233" s="13">
        <v>116</v>
      </c>
      <c r="E233" s="14">
        <v>45412</v>
      </c>
      <c r="H233" s="16">
        <v>20.399999999999999</v>
      </c>
      <c r="I233" s="16">
        <v>7.33</v>
      </c>
      <c r="J233" s="16">
        <v>62.76</v>
      </c>
      <c r="P233" s="18">
        <v>5.2493242000000002E-2</v>
      </c>
      <c r="Q233" s="18">
        <v>2.2987715909999999</v>
      </c>
      <c r="R233" s="21" t="s">
        <v>50</v>
      </c>
      <c r="S233" s="21">
        <v>2.2342106070000001</v>
      </c>
      <c r="T233" s="21">
        <v>6.9849960510000004</v>
      </c>
      <c r="U233" s="21" t="s">
        <v>50</v>
      </c>
      <c r="V233" s="21" t="s">
        <v>50</v>
      </c>
      <c r="W233" s="18">
        <v>0.26394358680226632</v>
      </c>
      <c r="Y233" s="92"/>
      <c r="Z233" s="20">
        <v>-6.5356682637755048</v>
      </c>
      <c r="AA233" s="10">
        <v>-31.715144553157529</v>
      </c>
      <c r="AB233" s="17">
        <v>3.9814917118787032</v>
      </c>
      <c r="AC233" s="18">
        <v>1.684639128434666</v>
      </c>
      <c r="AD233" s="21">
        <v>0.29261139153641008</v>
      </c>
      <c r="AE233" s="21">
        <v>5.9731671733900544</v>
      </c>
      <c r="AF233" s="21">
        <v>4.2864585735086128E-2</v>
      </c>
      <c r="AG233" s="21"/>
      <c r="AH233" s="21">
        <v>5.7011062145065177</v>
      </c>
    </row>
    <row r="234" spans="1:34">
      <c r="A234" s="13" t="s">
        <v>73</v>
      </c>
      <c r="B234" s="13" t="s">
        <v>74</v>
      </c>
      <c r="C234" s="13">
        <v>116</v>
      </c>
      <c r="E234" s="14">
        <v>45412</v>
      </c>
      <c r="H234" s="16">
        <v>20.3</v>
      </c>
      <c r="I234" s="16">
        <v>7.18</v>
      </c>
      <c r="J234" s="16">
        <v>64.58</v>
      </c>
      <c r="P234" s="18" t="s">
        <v>50</v>
      </c>
      <c r="Q234" s="18">
        <v>2.4175343169999999</v>
      </c>
      <c r="R234" s="21" t="s">
        <v>50</v>
      </c>
      <c r="S234" s="21">
        <v>2.1401344920000001</v>
      </c>
      <c r="T234" s="21">
        <v>7.2603430119999999</v>
      </c>
      <c r="U234" s="21" t="s">
        <v>50</v>
      </c>
      <c r="V234" s="21" t="s">
        <v>50</v>
      </c>
      <c r="W234" s="18">
        <v>0.31165211337379878</v>
      </c>
      <c r="Y234" s="92"/>
      <c r="Z234" s="20">
        <v>-6.5225047067110644</v>
      </c>
      <c r="AA234" s="10">
        <v>-31.523842645127349</v>
      </c>
      <c r="AB234" s="17">
        <v>4.0443093983735929</v>
      </c>
      <c r="AC234" s="18">
        <v>1.8094812268082721</v>
      </c>
      <c r="AD234" s="21">
        <v>0.25301896968242948</v>
      </c>
      <c r="AE234" s="21">
        <v>6.2035157537038383</v>
      </c>
      <c r="AF234" s="21">
        <v>4.448370470412618E-2</v>
      </c>
      <c r="AG234" s="21"/>
      <c r="AH234" s="21">
        <v>5.6959290403829206</v>
      </c>
    </row>
    <row r="235" spans="1:34">
      <c r="A235" s="13" t="s">
        <v>71</v>
      </c>
      <c r="B235" s="13" t="s">
        <v>72</v>
      </c>
      <c r="C235" s="13">
        <v>117</v>
      </c>
      <c r="E235" s="14">
        <v>45419</v>
      </c>
      <c r="H235" s="16">
        <v>16.899999999999999</v>
      </c>
      <c r="I235" s="16">
        <v>7.52</v>
      </c>
      <c r="J235" s="16">
        <v>53.95</v>
      </c>
      <c r="P235" s="18">
        <v>6.2229462999999999E-2</v>
      </c>
      <c r="Q235" s="18">
        <v>2.4269479239999998</v>
      </c>
      <c r="R235" s="21" t="s">
        <v>50</v>
      </c>
      <c r="S235" s="21">
        <v>2.3693437799999999</v>
      </c>
      <c r="T235" s="21">
        <v>7.3347928400000004</v>
      </c>
      <c r="U235" s="21" t="s">
        <v>50</v>
      </c>
      <c r="V235" s="21" t="s">
        <v>50</v>
      </c>
      <c r="W235" s="18">
        <v>0.19818848388567109</v>
      </c>
      <c r="Y235" s="92"/>
      <c r="Z235" s="20">
        <v>-6.5413606127763444</v>
      </c>
      <c r="AA235" s="10">
        <v>-31.651606217456301</v>
      </c>
      <c r="AB235" s="17">
        <v>4.0367833109611722</v>
      </c>
      <c r="AC235" s="18">
        <v>1.7049855264127869</v>
      </c>
      <c r="AD235" s="21">
        <v>0.26070716520846848</v>
      </c>
      <c r="AE235" s="21">
        <v>6.1819824141289423</v>
      </c>
      <c r="AF235" s="21">
        <v>4.3604777312729458E-2</v>
      </c>
      <c r="AG235" s="21"/>
      <c r="AH235" s="21">
        <v>5.7767510846217682</v>
      </c>
    </row>
    <row r="236" spans="1:34">
      <c r="A236" s="13" t="s">
        <v>73</v>
      </c>
      <c r="B236" s="13" t="s">
        <v>74</v>
      </c>
      <c r="C236" s="13">
        <v>117</v>
      </c>
      <c r="E236" s="14">
        <v>45419</v>
      </c>
      <c r="Y236" s="92"/>
      <c r="AC236" s="18"/>
      <c r="AD236" s="21"/>
      <c r="AE236" s="21"/>
      <c r="AF236" s="21"/>
      <c r="AG236" s="21"/>
      <c r="AH236" s="21"/>
    </row>
    <row r="237" spans="1:34">
      <c r="A237" s="13" t="s">
        <v>71</v>
      </c>
      <c r="B237" s="13" t="s">
        <v>72</v>
      </c>
      <c r="C237" s="13">
        <v>118</v>
      </c>
      <c r="E237" s="14">
        <v>45426</v>
      </c>
      <c r="H237" s="16">
        <v>17.899999999999999</v>
      </c>
      <c r="I237" s="16">
        <v>7.39</v>
      </c>
      <c r="J237" s="16">
        <v>69.92</v>
      </c>
      <c r="P237" s="18">
        <v>2.4799999999999999E-2</v>
      </c>
      <c r="Q237" s="18">
        <v>2.2830083220000001</v>
      </c>
      <c r="R237" s="21" t="s">
        <v>50</v>
      </c>
      <c r="S237" s="21">
        <v>2.129200403</v>
      </c>
      <c r="T237" s="21">
        <v>7.2686016369999997</v>
      </c>
      <c r="U237" s="21">
        <v>0.123552937</v>
      </c>
      <c r="V237" s="21">
        <v>3.1146955E-2</v>
      </c>
      <c r="W237" s="18">
        <v>0.18292016028287761</v>
      </c>
      <c r="Y237" s="92">
        <v>0.4033187224403153</v>
      </c>
      <c r="Z237" s="20">
        <v>-6.5858320893454003</v>
      </c>
      <c r="AA237" s="10">
        <v>-32.083323449761387</v>
      </c>
      <c r="AB237" s="17">
        <v>4.045641853975753</v>
      </c>
      <c r="AC237" s="18">
        <v>1.719536699638482</v>
      </c>
      <c r="AD237" s="21">
        <v>0.2668678530370267</v>
      </c>
      <c r="AE237" s="21">
        <v>6.147258879931762</v>
      </c>
      <c r="AF237" s="21">
        <v>4.4090480456051948E-2</v>
      </c>
      <c r="AG237" s="21"/>
      <c r="AH237" s="21">
        <v>5.7661366133935168</v>
      </c>
    </row>
    <row r="238" spans="1:34">
      <c r="A238" s="13" t="s">
        <v>73</v>
      </c>
      <c r="B238" s="13" t="s">
        <v>74</v>
      </c>
      <c r="C238" s="13">
        <v>118</v>
      </c>
      <c r="E238" s="14">
        <v>45426</v>
      </c>
      <c r="H238" s="16">
        <v>19.399999999999999</v>
      </c>
      <c r="I238" s="16">
        <v>6.98</v>
      </c>
      <c r="J238" s="16">
        <v>70.53</v>
      </c>
      <c r="P238" s="18">
        <v>1.9800000000000002E-2</v>
      </c>
      <c r="Q238" s="18">
        <v>2.2592722489999999</v>
      </c>
      <c r="R238" s="21" t="s">
        <v>50</v>
      </c>
      <c r="S238" s="21">
        <v>1.908092302</v>
      </c>
      <c r="T238" s="21">
        <v>6.9973791590000003</v>
      </c>
      <c r="U238" s="21">
        <v>0.100786159</v>
      </c>
      <c r="V238" s="21">
        <v>2.2823191E-2</v>
      </c>
      <c r="W238" s="18">
        <v>0.29507226477725318</v>
      </c>
      <c r="Y238" s="92">
        <v>0.36108879504525415</v>
      </c>
      <c r="Z238" s="20">
        <v>-6.4986679952700506</v>
      </c>
      <c r="AA238" s="10">
        <v>-31.71617490454728</v>
      </c>
      <c r="AB238" s="17">
        <v>4.2028374674505864</v>
      </c>
      <c r="AC238" s="18">
        <v>1.833612127107878</v>
      </c>
      <c r="AD238" s="21">
        <v>0.28287958611370689</v>
      </c>
      <c r="AE238" s="21">
        <v>6.3032001327768192</v>
      </c>
      <c r="AF238" s="21">
        <v>4.572442252276418E-2</v>
      </c>
      <c r="AG238" s="21"/>
      <c r="AH238" s="21">
        <v>5.760036960438371</v>
      </c>
    </row>
    <row r="239" spans="1:34">
      <c r="A239" s="13" t="s">
        <v>71</v>
      </c>
      <c r="B239" s="13" t="s">
        <v>72</v>
      </c>
      <c r="C239" s="13">
        <v>119</v>
      </c>
      <c r="E239" s="14">
        <v>45433</v>
      </c>
      <c r="H239" s="16">
        <v>15.5</v>
      </c>
      <c r="I239" s="16">
        <v>7.18</v>
      </c>
      <c r="J239" s="16">
        <v>72.739999999999995</v>
      </c>
      <c r="P239" s="18">
        <v>7.0539410000000002E-3</v>
      </c>
      <c r="Q239" s="18">
        <v>2.440060238</v>
      </c>
      <c r="R239" s="21" t="s">
        <v>50</v>
      </c>
      <c r="S239" s="21">
        <v>2.4032915039999998</v>
      </c>
      <c r="T239" s="21">
        <v>8.1186938889999993</v>
      </c>
      <c r="U239" s="21">
        <v>0.17283978999999999</v>
      </c>
      <c r="V239" s="21">
        <v>2.2557385999999999E-2</v>
      </c>
      <c r="W239" s="18">
        <v>0.2100604862960595</v>
      </c>
      <c r="Y239" s="92">
        <v>0.63077572234244528</v>
      </c>
      <c r="Z239" s="20">
        <v>-6.6135822907244908</v>
      </c>
      <c r="AA239" s="10">
        <v>-32.351214811096277</v>
      </c>
      <c r="AB239" s="17">
        <v>4.1329509936641102</v>
      </c>
      <c r="AC239" s="18">
        <v>1.7850039029600071</v>
      </c>
      <c r="AD239" s="21">
        <v>0.29733372819129678</v>
      </c>
      <c r="AE239" s="21">
        <v>6.3609602273547683</v>
      </c>
      <c r="AF239" s="21">
        <v>4.5391140245176917E-2</v>
      </c>
      <c r="AG239" s="21"/>
      <c r="AH239" s="21">
        <v>5.7704280118211164</v>
      </c>
    </row>
    <row r="240" spans="1:34">
      <c r="A240" s="13" t="s">
        <v>73</v>
      </c>
      <c r="B240" s="13" t="s">
        <v>74</v>
      </c>
      <c r="C240" s="13">
        <v>119</v>
      </c>
      <c r="E240" s="14">
        <v>45433</v>
      </c>
      <c r="H240" s="16">
        <v>17</v>
      </c>
      <c r="I240" s="16">
        <v>6.85</v>
      </c>
      <c r="J240" s="16">
        <v>75.900000000000006</v>
      </c>
      <c r="P240" s="18">
        <v>6.1111719999999998E-3</v>
      </c>
      <c r="Q240" s="18">
        <v>2.4820684499999999</v>
      </c>
      <c r="R240" s="21" t="s">
        <v>50</v>
      </c>
      <c r="S240" s="21">
        <v>2.362901226</v>
      </c>
      <c r="T240" s="21">
        <v>7.5956397950000003</v>
      </c>
      <c r="U240" s="21">
        <v>9.2981043999999999E-2</v>
      </c>
      <c r="V240" s="21">
        <v>5.499019E-3</v>
      </c>
      <c r="W240" s="18">
        <v>0.32356972920123572</v>
      </c>
      <c r="Y240" s="92">
        <v>0.41173311895527448</v>
      </c>
      <c r="Z240" s="20">
        <v>-6.5545241698407848</v>
      </c>
      <c r="AA240" s="10">
        <v>-31.861111000038719</v>
      </c>
      <c r="AB240" s="17">
        <v>4.1170431475309659</v>
      </c>
      <c r="AC240" s="18">
        <v>1.902773970791904</v>
      </c>
      <c r="AD240" s="21">
        <v>0.25766061844576549</v>
      </c>
      <c r="AE240" s="21">
        <v>6.624804476225453</v>
      </c>
      <c r="AF240" s="21">
        <v>4.7576225501510139E-2</v>
      </c>
      <c r="AG240" s="21"/>
      <c r="AH240" s="21">
        <v>5.7518373093264064</v>
      </c>
    </row>
    <row r="241" spans="1:34">
      <c r="A241" s="13" t="s">
        <v>71</v>
      </c>
      <c r="B241" s="13" t="s">
        <v>72</v>
      </c>
      <c r="C241" s="13">
        <v>120</v>
      </c>
      <c r="E241" s="14">
        <v>45440</v>
      </c>
      <c r="H241" s="16">
        <v>14</v>
      </c>
      <c r="I241" s="16">
        <v>7.11</v>
      </c>
      <c r="J241" s="16">
        <v>67.290000000000006</v>
      </c>
      <c r="P241" s="18">
        <v>6.4445338000000005E-2</v>
      </c>
      <c r="Q241" s="18">
        <v>2.4262697050000002</v>
      </c>
      <c r="R241" s="21" t="s">
        <v>50</v>
      </c>
      <c r="S241" s="21">
        <v>2.711988952</v>
      </c>
      <c r="T241" s="21">
        <v>6.8920528369999996</v>
      </c>
      <c r="U241" s="21" t="s">
        <v>50</v>
      </c>
      <c r="V241" s="21" t="s">
        <v>50</v>
      </c>
      <c r="W241" s="18">
        <v>0.26545732654964188</v>
      </c>
      <c r="Y241" s="92"/>
      <c r="Z241" s="20">
        <v>-6.5410048409637911</v>
      </c>
      <c r="AA241" s="10">
        <v>-31.625160531786062</v>
      </c>
      <c r="AB241" s="17">
        <v>3.940297256597689</v>
      </c>
      <c r="AC241" s="18">
        <v>1.630991318316795</v>
      </c>
      <c r="AD241" s="21">
        <v>0.28167328931323721</v>
      </c>
      <c r="AE241" s="21">
        <v>5.851544717027549</v>
      </c>
      <c r="AF241" s="21">
        <v>4.2153922906422447E-2</v>
      </c>
      <c r="AG241" s="21"/>
      <c r="AH241" s="21">
        <v>5.7442668465299658</v>
      </c>
    </row>
    <row r="242" spans="1:34">
      <c r="A242" s="13" t="s">
        <v>73</v>
      </c>
      <c r="B242" s="13" t="s">
        <v>74</v>
      </c>
      <c r="C242" s="13">
        <v>120</v>
      </c>
      <c r="E242" s="14">
        <v>45440</v>
      </c>
      <c r="Y242" s="92"/>
      <c r="AC242" s="18"/>
      <c r="AD242" s="21"/>
      <c r="AE242" s="21"/>
      <c r="AF242" s="21"/>
      <c r="AG242" s="21"/>
      <c r="AH242" s="21"/>
    </row>
    <row r="243" spans="1:34">
      <c r="A243" s="13" t="s">
        <v>71</v>
      </c>
      <c r="B243" s="13" t="s">
        <v>72</v>
      </c>
      <c r="C243" s="13">
        <v>121</v>
      </c>
      <c r="E243" s="14">
        <v>45447</v>
      </c>
      <c r="H243" s="16">
        <v>16.3</v>
      </c>
      <c r="I243" s="16">
        <v>9.4</v>
      </c>
      <c r="J243" s="16">
        <v>64</v>
      </c>
      <c r="P243" s="18">
        <v>1.0404699999999999E-2</v>
      </c>
      <c r="Q243" s="18">
        <v>2.4573668629999998</v>
      </c>
      <c r="R243" s="21" t="s">
        <v>50</v>
      </c>
      <c r="S243" s="21">
        <v>3.196862232</v>
      </c>
      <c r="T243" s="21">
        <v>6.8981924240000003</v>
      </c>
      <c r="U243" s="21">
        <v>0.12467102200000001</v>
      </c>
      <c r="V243" s="21" t="s">
        <v>50</v>
      </c>
      <c r="W243" s="18">
        <v>0.21539110058377811</v>
      </c>
      <c r="Y243" s="92">
        <v>0.55441495627298454</v>
      </c>
      <c r="Z243" s="20">
        <v>-6.5313990020248758</v>
      </c>
      <c r="AA243" s="10">
        <v>-31.514226032156351</v>
      </c>
      <c r="AB243" s="17">
        <v>3.8116605214064241</v>
      </c>
      <c r="AC243" s="18">
        <v>1.5507556727806251</v>
      </c>
      <c r="AD243" s="21">
        <v>0.27337507366998259</v>
      </c>
      <c r="AE243" s="21">
        <v>5.6274280965560122</v>
      </c>
      <c r="AF243" s="21">
        <v>4.0414334673590728E-2</v>
      </c>
      <c r="AG243" s="21"/>
      <c r="AH243" s="21">
        <v>5.5258170566567406</v>
      </c>
    </row>
    <row r="244" spans="1:34">
      <c r="A244" s="13" t="s">
        <v>73</v>
      </c>
      <c r="B244" s="13" t="s">
        <v>74</v>
      </c>
      <c r="C244" s="13">
        <v>121</v>
      </c>
      <c r="E244" s="14">
        <v>45447</v>
      </c>
      <c r="H244" s="16">
        <v>18.75</v>
      </c>
      <c r="I244" s="16">
        <v>9.24</v>
      </c>
      <c r="J244" s="16">
        <v>60.85</v>
      </c>
      <c r="P244" s="18">
        <v>1.3439566E-2</v>
      </c>
      <c r="Q244" s="18">
        <v>2.3767445409999999</v>
      </c>
      <c r="R244" s="21" t="s">
        <v>50</v>
      </c>
      <c r="S244" s="21">
        <v>2.4614506820000002</v>
      </c>
      <c r="T244" s="21">
        <v>7.5870850059999997</v>
      </c>
      <c r="U244" s="21">
        <v>0.12276962399999999</v>
      </c>
      <c r="V244" s="21" t="s">
        <v>50</v>
      </c>
      <c r="W244" s="18">
        <v>0.20729530584106839</v>
      </c>
      <c r="Y244" s="92">
        <v>0.43224327940178281</v>
      </c>
      <c r="Z244" s="20">
        <v>-6.4755428274541407</v>
      </c>
      <c r="AA244" s="10">
        <v>-31.00488899515679</v>
      </c>
      <c r="AB244" s="17">
        <v>3.658701569436257</v>
      </c>
      <c r="AC244" s="18">
        <v>1.6041784996903721</v>
      </c>
      <c r="AD244" s="21">
        <v>0.29122651453058279</v>
      </c>
      <c r="AE244" s="21">
        <v>5.5813366468099401</v>
      </c>
      <c r="AF244" s="21">
        <v>4.2246517207640583E-2</v>
      </c>
      <c r="AG244" s="21"/>
      <c r="AH244" s="21">
        <v>5.1710526479278851</v>
      </c>
    </row>
    <row r="245" spans="1:34">
      <c r="A245" s="13" t="s">
        <v>71</v>
      </c>
      <c r="B245" s="13" t="s">
        <v>72</v>
      </c>
      <c r="C245" s="13">
        <v>122</v>
      </c>
      <c r="E245" s="14">
        <v>45454</v>
      </c>
      <c r="H245" s="16">
        <v>16.100000000000001</v>
      </c>
      <c r="I245" s="16">
        <v>6.69</v>
      </c>
      <c r="J245" s="16">
        <v>59.86</v>
      </c>
      <c r="P245" s="18">
        <v>6.9079212000000001E-2</v>
      </c>
      <c r="Q245" s="18">
        <v>2.4924350500000001</v>
      </c>
      <c r="R245" s="21" t="s">
        <v>50</v>
      </c>
      <c r="S245" s="21">
        <v>2.0076500080000002</v>
      </c>
      <c r="T245" s="21">
        <v>5.3492599089999997</v>
      </c>
      <c r="U245" s="21">
        <v>0.114520099</v>
      </c>
      <c r="V245" s="21">
        <v>2.0553074000000001E-2</v>
      </c>
      <c r="W245" s="18">
        <v>0.52815393002981026</v>
      </c>
      <c r="Y245" s="92">
        <v>0.57501677488722447</v>
      </c>
      <c r="Z245" s="20">
        <v>-6.5388702100884766</v>
      </c>
      <c r="AA245" s="10">
        <v>-31.964146139013689</v>
      </c>
      <c r="AB245" s="17">
        <v>4.929412341775536</v>
      </c>
      <c r="AC245" s="18">
        <v>1.5293334401245191</v>
      </c>
      <c r="AD245" s="21">
        <v>0.25194094067323042</v>
      </c>
      <c r="AE245" s="21">
        <v>5.5630890335131857</v>
      </c>
      <c r="AF245" s="21">
        <v>4.172589444527347E-2</v>
      </c>
      <c r="AG245" s="21"/>
      <c r="AH245" s="21">
        <v>5.4964213029430384</v>
      </c>
    </row>
    <row r="246" spans="1:34">
      <c r="A246" s="13" t="s">
        <v>73</v>
      </c>
      <c r="B246" s="13" t="s">
        <v>74</v>
      </c>
      <c r="C246" s="13">
        <v>122</v>
      </c>
      <c r="E246" s="14">
        <v>45454</v>
      </c>
      <c r="H246" s="16">
        <v>19</v>
      </c>
      <c r="I246" s="16">
        <v>6.56</v>
      </c>
      <c r="J246" s="16">
        <v>65.23</v>
      </c>
      <c r="P246" s="18">
        <v>3.4580829E-2</v>
      </c>
      <c r="Q246" s="18">
        <v>1.876080848</v>
      </c>
      <c r="R246" s="21" t="s">
        <v>50</v>
      </c>
      <c r="S246" s="21">
        <v>1.5152215069999999</v>
      </c>
      <c r="T246" s="21">
        <v>6.4922779259999999</v>
      </c>
      <c r="U246" s="21">
        <v>8.5962513000000004E-2</v>
      </c>
      <c r="V246" s="21">
        <v>1.9796368000000002E-2</v>
      </c>
      <c r="W246" s="18">
        <v>0.23591490277599411</v>
      </c>
      <c r="Y246" s="92">
        <v>0.46787423693332542</v>
      </c>
      <c r="Z246" s="20">
        <v>-6.6004187336600486</v>
      </c>
      <c r="AA246" s="10">
        <v>-32.140679677124119</v>
      </c>
      <c r="AB246" s="17">
        <v>4.0088351743219626</v>
      </c>
      <c r="AC246" s="18">
        <v>1.6197835432214369</v>
      </c>
      <c r="AD246" s="21">
        <v>0.28962341003880232</v>
      </c>
      <c r="AE246" s="21">
        <v>5.6493916782514209</v>
      </c>
      <c r="AF246" s="21">
        <v>4.1844844117264877E-2</v>
      </c>
      <c r="AG246" s="21"/>
      <c r="AH246" s="21">
        <v>5.3149758900560222</v>
      </c>
    </row>
    <row r="247" spans="1:34">
      <c r="A247" s="13" t="s">
        <v>71</v>
      </c>
      <c r="B247" s="13" t="s">
        <v>72</v>
      </c>
      <c r="C247" s="13">
        <v>123</v>
      </c>
      <c r="E247" s="14">
        <v>45461</v>
      </c>
      <c r="H247" s="16">
        <v>15.3</v>
      </c>
      <c r="I247" s="16">
        <v>7.08</v>
      </c>
      <c r="J247" s="16">
        <v>61.64</v>
      </c>
      <c r="P247" s="18">
        <v>3.6683579000000001E-2</v>
      </c>
      <c r="Q247" s="18">
        <v>1.938391991</v>
      </c>
      <c r="R247" s="21" t="s">
        <v>50</v>
      </c>
      <c r="S247" s="21">
        <v>1.6556504249999999</v>
      </c>
      <c r="T247" s="21">
        <v>5.75871932</v>
      </c>
      <c r="U247" s="21">
        <v>0.10042467400000001</v>
      </c>
      <c r="V247" s="21">
        <v>3.3417071999999999E-2</v>
      </c>
      <c r="W247" s="18">
        <v>0.2210246953085109</v>
      </c>
      <c r="Y247" s="92">
        <v>0.50641405840601172</v>
      </c>
      <c r="Z247" s="20">
        <v>-6.6285247068516933</v>
      </c>
      <c r="AA247" s="10">
        <v>-32.275312258718067</v>
      </c>
      <c r="AB247" s="17">
        <v>4.1576304616100561</v>
      </c>
      <c r="AC247" s="18">
        <v>1.630007170987775</v>
      </c>
      <c r="AD247" s="21">
        <v>0.27927300623366669</v>
      </c>
      <c r="AE247" s="21">
        <v>5.876699003000792</v>
      </c>
      <c r="AF247" s="21">
        <v>4.2071187468556349E-2</v>
      </c>
      <c r="AG247" s="21"/>
      <c r="AH247" s="21">
        <v>5.8623027990765646</v>
      </c>
    </row>
    <row r="248" spans="1:34">
      <c r="A248" s="13" t="s">
        <v>73</v>
      </c>
      <c r="B248" s="13" t="s">
        <v>74</v>
      </c>
      <c r="C248" s="13">
        <v>123</v>
      </c>
      <c r="E248" s="14">
        <v>45461</v>
      </c>
      <c r="H248" s="16">
        <v>19.5</v>
      </c>
      <c r="I248" s="16">
        <v>7.22</v>
      </c>
      <c r="J248" s="16">
        <v>64.17</v>
      </c>
      <c r="P248" s="18">
        <v>3.2268869999999998E-2</v>
      </c>
      <c r="Q248" s="18">
        <v>1.876962652</v>
      </c>
      <c r="R248" s="21" t="s">
        <v>50</v>
      </c>
      <c r="S248" s="21">
        <v>1.2353312160000001</v>
      </c>
      <c r="T248" s="21">
        <v>6.9296337599999998</v>
      </c>
      <c r="U248" s="21">
        <v>8.8132180000000004E-2</v>
      </c>
      <c r="V248" s="21">
        <v>2.660672E-2</v>
      </c>
      <c r="W248" s="18">
        <v>0.13157878249713051</v>
      </c>
      <c r="Y248" s="92">
        <v>0.37170596437634518</v>
      </c>
      <c r="Z248" s="20">
        <v>-6.6349285994776377</v>
      </c>
      <c r="AA248" s="10">
        <v>-32.768163673481638</v>
      </c>
      <c r="AB248" s="17">
        <v>4.034360786266638</v>
      </c>
      <c r="AC248" s="18">
        <v>1.69787995627669</v>
      </c>
      <c r="AD248" s="21">
        <v>0.26047198321336801</v>
      </c>
      <c r="AE248" s="21">
        <v>5.8631267460723864</v>
      </c>
      <c r="AF248" s="21">
        <v>4.3006350885989093E-2</v>
      </c>
      <c r="AG248" s="21"/>
      <c r="AH248" s="21">
        <v>5.6203193284845163</v>
      </c>
    </row>
    <row r="249" spans="1:34">
      <c r="A249" s="13" t="s">
        <v>71</v>
      </c>
      <c r="B249" s="13" t="s">
        <v>72</v>
      </c>
      <c r="C249" s="13">
        <v>124</v>
      </c>
      <c r="E249" s="14">
        <v>45467</v>
      </c>
      <c r="H249" s="16">
        <v>17</v>
      </c>
      <c r="I249" s="16">
        <v>7.08</v>
      </c>
      <c r="J249" s="16">
        <v>60.03</v>
      </c>
      <c r="P249" s="18">
        <v>0.10560816200000001</v>
      </c>
      <c r="Q249" s="18">
        <v>2.2332229589999999</v>
      </c>
      <c r="R249" s="21" t="s">
        <v>50</v>
      </c>
      <c r="S249" s="21">
        <v>2.2001647279999998</v>
      </c>
      <c r="T249" s="21">
        <v>4.8319648E-2</v>
      </c>
      <c r="U249" s="21" t="s">
        <v>50</v>
      </c>
      <c r="V249" s="21">
        <v>4.44444E-4</v>
      </c>
      <c r="W249" s="18">
        <v>0.23010470809379929</v>
      </c>
      <c r="Y249" s="92">
        <v>0.72242608498773697</v>
      </c>
      <c r="Z249" s="20">
        <v>-6.6368621294307131</v>
      </c>
      <c r="AA249" s="10">
        <v>-32.472373594091891</v>
      </c>
      <c r="AB249" s="17">
        <v>4.1350493828295942</v>
      </c>
      <c r="AC249" s="18">
        <v>1.663063522173962</v>
      </c>
      <c r="AD249" s="21">
        <v>0.25082058693128118</v>
      </c>
      <c r="AE249" s="21">
        <v>6.1612086532906574</v>
      </c>
      <c r="AF249" s="21">
        <v>4.2495422542790671E-2</v>
      </c>
      <c r="AG249" s="21"/>
      <c r="AH249" s="21">
        <v>5.8279471132389231</v>
      </c>
    </row>
    <row r="250" spans="1:34">
      <c r="A250" s="13" t="s">
        <v>73</v>
      </c>
      <c r="B250" s="13" t="s">
        <v>74</v>
      </c>
      <c r="C250" s="13">
        <v>124</v>
      </c>
      <c r="E250" s="14">
        <v>45467</v>
      </c>
      <c r="H250" s="16">
        <v>16.3</v>
      </c>
      <c r="I250" s="16">
        <v>6.87</v>
      </c>
      <c r="J250" s="16">
        <v>61.9</v>
      </c>
      <c r="P250" s="18">
        <v>0.107708762</v>
      </c>
      <c r="Q250" s="18">
        <v>2.185117167</v>
      </c>
      <c r="R250" s="21" t="s">
        <v>50</v>
      </c>
      <c r="S250" s="21">
        <v>1.7615387220000001</v>
      </c>
      <c r="T250" s="21">
        <v>7.4311505430000002</v>
      </c>
      <c r="U250" s="21">
        <v>0.114583242</v>
      </c>
      <c r="V250" s="21" t="s">
        <v>50</v>
      </c>
      <c r="W250" s="18">
        <v>0.29829655482924161</v>
      </c>
      <c r="Y250" s="92">
        <v>0.54723900144136839</v>
      </c>
      <c r="Z250" s="20">
        <v>-6.6942086090950674</v>
      </c>
      <c r="AA250" s="10">
        <v>-32.673383438205583</v>
      </c>
      <c r="AB250" s="17">
        <v>4.140552904324859</v>
      </c>
      <c r="AC250" s="18">
        <v>1.715454586553036</v>
      </c>
      <c r="AD250" s="21">
        <v>0.2304617430298519</v>
      </c>
      <c r="AE250" s="21">
        <v>6.0944647211628853</v>
      </c>
      <c r="AF250" s="21">
        <v>4.3402898436122113E-2</v>
      </c>
      <c r="AG250" s="21"/>
      <c r="AH250" s="21">
        <v>5.6864040497339676</v>
      </c>
    </row>
    <row r="251" spans="1:34">
      <c r="A251" s="13" t="s">
        <v>71</v>
      </c>
      <c r="B251" s="13" t="s">
        <v>72</v>
      </c>
      <c r="C251" s="13">
        <v>125</v>
      </c>
      <c r="E251" s="14">
        <v>45477</v>
      </c>
      <c r="H251" s="16">
        <v>16.8</v>
      </c>
      <c r="I251" s="16">
        <v>7.07</v>
      </c>
      <c r="J251" s="16">
        <v>61.71</v>
      </c>
      <c r="P251" s="18">
        <v>0.10360451699999999</v>
      </c>
      <c r="Q251" s="18">
        <v>2.263537484</v>
      </c>
      <c r="R251" s="21" t="s">
        <v>50</v>
      </c>
      <c r="S251" s="21">
        <v>2.383810671</v>
      </c>
      <c r="T251" s="21">
        <v>6.7088812349999998</v>
      </c>
      <c r="U251" s="21" t="s">
        <v>50</v>
      </c>
      <c r="V251" s="21" t="s">
        <v>50</v>
      </c>
      <c r="W251" s="18">
        <v>0.22505712020839541</v>
      </c>
      <c r="Y251" s="92">
        <v>0.60642321708392621</v>
      </c>
      <c r="Z251" s="20">
        <v>-6.6335747516155577</v>
      </c>
      <c r="AA251" s="10">
        <v>-32.44531457661504</v>
      </c>
      <c r="AB251" s="17">
        <v>4.1057928926723912</v>
      </c>
      <c r="AC251" s="18">
        <v>1.6618205274853319</v>
      </c>
      <c r="AD251" s="21">
        <v>0.25854921379780049</v>
      </c>
      <c r="AE251" s="21">
        <v>6.13957577350339</v>
      </c>
      <c r="AF251" s="21">
        <v>4.3226935458067328E-2</v>
      </c>
      <c r="AG251" s="21"/>
      <c r="AH251" s="21">
        <v>5.9073776146586381</v>
      </c>
    </row>
    <row r="252" spans="1:34">
      <c r="A252" s="13" t="s">
        <v>73</v>
      </c>
      <c r="B252" s="13" t="s">
        <v>74</v>
      </c>
      <c r="C252" s="13">
        <v>125</v>
      </c>
      <c r="E252" s="14">
        <v>45477</v>
      </c>
      <c r="H252" s="16">
        <v>17.100000000000001</v>
      </c>
      <c r="I252" s="16">
        <v>6.94</v>
      </c>
      <c r="J252" s="16">
        <v>63.23</v>
      </c>
      <c r="P252" s="18">
        <v>0.10231722</v>
      </c>
      <c r="Q252" s="18">
        <v>2.2201412440000001</v>
      </c>
      <c r="R252" s="21" t="s">
        <v>50</v>
      </c>
      <c r="S252" s="21">
        <v>2.0200551820000001</v>
      </c>
      <c r="T252" s="21">
        <v>7.365843355</v>
      </c>
      <c r="U252" s="21" t="s">
        <v>50</v>
      </c>
      <c r="V252" s="21" t="s">
        <v>50</v>
      </c>
      <c r="W252" s="18">
        <v>0.25440735942203191</v>
      </c>
      <c r="Y252" s="92">
        <v>0.51532108797239828</v>
      </c>
      <c r="Z252" s="20">
        <v>-6.6357663368256601</v>
      </c>
      <c r="AA252" s="10">
        <v>-32.450937229597251</v>
      </c>
      <c r="AB252" s="17">
        <v>4.2048864255295442</v>
      </c>
      <c r="AC252" s="18">
        <v>1.7845445528537109</v>
      </c>
      <c r="AD252" s="21">
        <v>0.24476554022247771</v>
      </c>
      <c r="AE252" s="21">
        <v>6.2968972529703748</v>
      </c>
      <c r="AF252" s="21">
        <v>4.4706811121080402E-2</v>
      </c>
      <c r="AG252" s="21"/>
      <c r="AH252" s="21">
        <v>5.7210636070148624</v>
      </c>
    </row>
    <row r="253" spans="1:34">
      <c r="A253" s="13" t="s">
        <v>71</v>
      </c>
      <c r="B253" s="13" t="s">
        <v>72</v>
      </c>
      <c r="C253" s="13">
        <v>126</v>
      </c>
      <c r="E253" s="14">
        <v>45482</v>
      </c>
      <c r="H253" s="16">
        <v>18.7</v>
      </c>
      <c r="I253" s="16">
        <v>7.17</v>
      </c>
      <c r="J253" s="16">
        <v>61.9</v>
      </c>
      <c r="P253" s="18">
        <v>0.107852042</v>
      </c>
      <c r="Q253" s="18">
        <v>2.2486756040000002</v>
      </c>
      <c r="R253" s="21" t="s">
        <v>50</v>
      </c>
      <c r="S253" s="21">
        <v>2.4760639499999999</v>
      </c>
      <c r="T253" s="21">
        <v>6.9002694179999997</v>
      </c>
      <c r="U253" s="21" t="s">
        <v>50</v>
      </c>
      <c r="V253" s="21" t="s">
        <v>50</v>
      </c>
      <c r="W253" s="18">
        <v>0.32899198118779238</v>
      </c>
      <c r="Y253" s="92">
        <v>0.62227891826339521</v>
      </c>
      <c r="Z253" s="20">
        <v>-6.5937609536320254</v>
      </c>
      <c r="AA253" s="10">
        <v>-31.667631386014321</v>
      </c>
      <c r="AB253" s="17">
        <v>4.0823152138879513</v>
      </c>
      <c r="AC253" s="18">
        <v>1.6284108128231669</v>
      </c>
      <c r="AD253" s="21">
        <v>0.25671725660275058</v>
      </c>
      <c r="AE253" s="21">
        <v>6.2713921822727112</v>
      </c>
      <c r="AF253" s="21">
        <v>4.2630992278610613E-2</v>
      </c>
      <c r="AG253" s="21"/>
      <c r="AH253" s="21">
        <v>5.8362699192301228</v>
      </c>
    </row>
    <row r="254" spans="1:34">
      <c r="A254" s="13" t="s">
        <v>73</v>
      </c>
      <c r="B254" s="13" t="s">
        <v>74</v>
      </c>
      <c r="C254" s="13">
        <v>126</v>
      </c>
      <c r="E254" s="14">
        <v>45482</v>
      </c>
      <c r="H254" s="16">
        <v>20.100000000000001</v>
      </c>
      <c r="I254" s="16">
        <v>6.8</v>
      </c>
      <c r="J254" s="16">
        <v>64.260000000000005</v>
      </c>
      <c r="P254" s="18">
        <v>0.103127671</v>
      </c>
      <c r="Q254" s="18">
        <v>2.285761006</v>
      </c>
      <c r="R254" s="21" t="s">
        <v>50</v>
      </c>
      <c r="S254" s="21">
        <v>2.1539107990000002</v>
      </c>
      <c r="T254" s="21">
        <v>7.4368461369999999</v>
      </c>
      <c r="U254" s="21" t="s">
        <v>50</v>
      </c>
      <c r="V254" s="21" t="s">
        <v>50</v>
      </c>
      <c r="W254" s="18">
        <v>0.24190549763143859</v>
      </c>
      <c r="Y254" s="92">
        <v>0.53587652435071964</v>
      </c>
      <c r="Z254" s="20">
        <v>-6.5207081132952656</v>
      </c>
      <c r="AA254" s="10">
        <v>-31.93962722402831</v>
      </c>
      <c r="AB254" s="17">
        <v>3.7553089584851742</v>
      </c>
      <c r="AC254" s="18">
        <v>1.6599630043417939</v>
      </c>
      <c r="AD254" s="21">
        <v>0.30720503121390541</v>
      </c>
      <c r="AE254" s="21">
        <v>6.0022563166490572</v>
      </c>
      <c r="AF254" s="21">
        <v>5.9879318049133143E-2</v>
      </c>
      <c r="AG254" s="21"/>
      <c r="AH254" s="21">
        <v>5.3472335963770377</v>
      </c>
    </row>
    <row r="255" spans="1:34">
      <c r="A255" s="13" t="s">
        <v>71</v>
      </c>
      <c r="B255" s="13" t="s">
        <v>72</v>
      </c>
      <c r="C255" s="13">
        <v>127</v>
      </c>
      <c r="E255" s="14">
        <v>45491</v>
      </c>
      <c r="H255" s="16">
        <v>14.3</v>
      </c>
      <c r="I255" s="16">
        <v>7.25</v>
      </c>
      <c r="J255" s="16">
        <v>61.95</v>
      </c>
      <c r="W255" s="18">
        <v>0.22984160005240159</v>
      </c>
      <c r="Y255" s="92"/>
      <c r="Z255" s="20">
        <v>-6.5977788598505462</v>
      </c>
      <c r="AA255" s="10">
        <v>-31.67044271250542</v>
      </c>
      <c r="AB255" s="17">
        <v>4.2757086542975173</v>
      </c>
      <c r="AC255" s="18">
        <v>1.7216061905514759</v>
      </c>
      <c r="AD255" s="21">
        <v>0.32818846179828748</v>
      </c>
      <c r="AE255" s="21">
        <v>6.3784541815321072</v>
      </c>
      <c r="AF255" s="21">
        <v>4.4667505357510462E-2</v>
      </c>
      <c r="AG255" s="21"/>
      <c r="AH255" s="21">
        <v>5.979834373403806</v>
      </c>
    </row>
    <row r="256" spans="1:34">
      <c r="A256" s="13" t="s">
        <v>73</v>
      </c>
      <c r="B256" s="13" t="s">
        <v>74</v>
      </c>
      <c r="C256" s="13">
        <v>127</v>
      </c>
      <c r="E256" s="14">
        <v>45491</v>
      </c>
      <c r="H256" s="16">
        <v>15</v>
      </c>
      <c r="I256" s="16">
        <v>6.91</v>
      </c>
      <c r="J256" s="16">
        <v>62.75</v>
      </c>
      <c r="W256" s="18">
        <v>0.165714227722526</v>
      </c>
      <c r="Y256" s="92"/>
      <c r="Z256" s="20">
        <v>-6.6847117398512887</v>
      </c>
      <c r="AA256" s="10">
        <v>-32.665300874543668</v>
      </c>
      <c r="AB256" s="17">
        <v>4.2531606204868853</v>
      </c>
      <c r="AC256" s="18">
        <v>1.763128212917489</v>
      </c>
      <c r="AD256" s="21">
        <v>0.24595205032415249</v>
      </c>
      <c r="AE256" s="21">
        <v>6.3709271780540968</v>
      </c>
      <c r="AF256" s="21">
        <v>4.3531793373884013E-2</v>
      </c>
      <c r="AG256" s="21"/>
      <c r="AH256" s="21">
        <v>5.7682932530740842</v>
      </c>
    </row>
    <row r="257" spans="1:34">
      <c r="A257" s="13" t="s">
        <v>71</v>
      </c>
      <c r="B257" s="13" t="s">
        <v>72</v>
      </c>
      <c r="C257" s="13">
        <v>128</v>
      </c>
      <c r="E257" s="14">
        <v>45496</v>
      </c>
      <c r="H257" s="16">
        <v>18.3</v>
      </c>
      <c r="I257" s="16">
        <v>7.01</v>
      </c>
      <c r="J257" s="16">
        <v>63.57</v>
      </c>
      <c r="P257" s="18">
        <v>9.8668464999999997E-2</v>
      </c>
      <c r="Q257" s="18">
        <v>2.4021741130000001</v>
      </c>
      <c r="R257" s="21" t="s">
        <v>50</v>
      </c>
      <c r="S257" s="21">
        <v>2.3697419609999999</v>
      </c>
      <c r="T257" s="21">
        <v>7.3192797079999998</v>
      </c>
      <c r="U257" s="21">
        <v>0.106659108</v>
      </c>
      <c r="V257" s="21">
        <v>6.577411E-3</v>
      </c>
      <c r="W257" s="18">
        <v>0.34298514918761308</v>
      </c>
      <c r="Y257" s="92"/>
      <c r="Z257" s="20">
        <v>-6.7219686884230336</v>
      </c>
      <c r="AA257" s="10">
        <v>-32.799893130305122</v>
      </c>
      <c r="AB257" s="17">
        <v>4.207684640248452</v>
      </c>
      <c r="AC257" s="18">
        <v>1.715916974618263</v>
      </c>
      <c r="AD257" s="21">
        <v>0.31612679444246028</v>
      </c>
      <c r="AE257" s="21">
        <v>6.413421434911684</v>
      </c>
      <c r="AF257" s="21">
        <v>4.4911316689846513E-2</v>
      </c>
      <c r="AG257" s="21"/>
      <c r="AH257" s="21">
        <v>5.8940792551679229</v>
      </c>
    </row>
    <row r="258" spans="1:34">
      <c r="A258" s="13" t="s">
        <v>73</v>
      </c>
      <c r="B258" s="13" t="s">
        <v>74</v>
      </c>
      <c r="C258" s="13">
        <v>128</v>
      </c>
      <c r="E258" s="14">
        <v>45496</v>
      </c>
      <c r="H258" s="16">
        <v>18.2</v>
      </c>
      <c r="I258" s="16">
        <v>6.86</v>
      </c>
      <c r="J258" s="16">
        <v>65.89</v>
      </c>
      <c r="P258" s="18">
        <v>7.5312206000000007E-2</v>
      </c>
      <c r="Q258" s="18">
        <v>2.2645888630000002</v>
      </c>
      <c r="R258" s="21" t="s">
        <v>50</v>
      </c>
      <c r="S258" s="21">
        <v>2.0320963509999999</v>
      </c>
      <c r="T258" s="21">
        <v>7.4469789000000004</v>
      </c>
      <c r="U258" s="21">
        <v>8.4567251999999996E-2</v>
      </c>
      <c r="V258" s="21" t="s">
        <v>50</v>
      </c>
      <c r="W258" s="18">
        <v>0.2255744871124396</v>
      </c>
      <c r="Y258" s="92"/>
      <c r="Z258" s="20">
        <v>-6.6869033250613903</v>
      </c>
      <c r="AA258" s="10">
        <v>-32.565147368298213</v>
      </c>
      <c r="AB258" s="17">
        <v>4.3892783043602419</v>
      </c>
      <c r="AC258" s="18">
        <v>1.869007598481575</v>
      </c>
      <c r="AD258" s="21">
        <v>0.25235923154344903</v>
      </c>
      <c r="AE258" s="21">
        <v>6.8547136772102801</v>
      </c>
      <c r="AF258" s="21">
        <v>4.6485723470562262E-2</v>
      </c>
      <c r="AG258" s="21"/>
      <c r="AH258" s="21">
        <v>5.9541737972904292</v>
      </c>
    </row>
    <row r="259" spans="1:34">
      <c r="A259" s="13" t="s">
        <v>71</v>
      </c>
      <c r="B259" s="13" t="s">
        <v>72</v>
      </c>
      <c r="C259" s="13">
        <v>129</v>
      </c>
      <c r="E259" s="14">
        <v>45503</v>
      </c>
      <c r="H259" s="16">
        <v>15.5</v>
      </c>
      <c r="I259" s="16">
        <v>7.15</v>
      </c>
      <c r="J259" s="16">
        <v>45.44</v>
      </c>
      <c r="P259" s="18">
        <v>8.3301975E-2</v>
      </c>
      <c r="Q259" s="18">
        <v>2.2170092119999998</v>
      </c>
      <c r="R259" s="21" t="s">
        <v>50</v>
      </c>
      <c r="S259" s="21">
        <v>2.1117350959999999</v>
      </c>
      <c r="T259" s="21">
        <v>4.7086157069999999</v>
      </c>
      <c r="U259" s="21">
        <v>9.6022288999999997E-2</v>
      </c>
      <c r="V259" s="21" t="s">
        <v>50</v>
      </c>
      <c r="W259" s="18">
        <v>0.24151133640322447</v>
      </c>
      <c r="Y259" s="92"/>
      <c r="Z259" s="20">
        <v>-6.9214029425423824</v>
      </c>
      <c r="AA259" s="10">
        <v>-34.405511972534988</v>
      </c>
      <c r="AB259" s="17">
        <v>3.3859406031535362</v>
      </c>
      <c r="AC259" s="18">
        <v>1.146656998287706</v>
      </c>
      <c r="AD259" s="21">
        <v>0.24832486859286881</v>
      </c>
      <c r="AE259" s="21">
        <v>4.349582048376341</v>
      </c>
      <c r="AF259" s="21">
        <v>3.2437112628801168E-2</v>
      </c>
      <c r="AG259" s="21"/>
      <c r="AH259" s="21">
        <v>5.5946736469213576</v>
      </c>
    </row>
    <row r="260" spans="1:34">
      <c r="A260" s="13" t="s">
        <v>73</v>
      </c>
      <c r="B260" s="13" t="s">
        <v>74</v>
      </c>
      <c r="C260" s="13">
        <v>129</v>
      </c>
      <c r="E260" s="14">
        <v>45503</v>
      </c>
      <c r="H260" s="16">
        <v>16.2</v>
      </c>
      <c r="I260" s="16">
        <v>6.71</v>
      </c>
      <c r="J260" s="16">
        <v>45.76</v>
      </c>
      <c r="P260" s="18">
        <v>0.124090809</v>
      </c>
      <c r="Q260" s="18">
        <v>2.2495294920000002</v>
      </c>
      <c r="R260" s="21" t="s">
        <v>50</v>
      </c>
      <c r="S260" s="21">
        <v>1.7630610760000001</v>
      </c>
      <c r="T260" s="21">
        <v>5.9608234680000001</v>
      </c>
      <c r="U260" s="21">
        <v>7.2293997999999998E-2</v>
      </c>
      <c r="V260" s="21">
        <v>0.40501673500000002</v>
      </c>
      <c r="W260" s="18">
        <v>0.24278442209076662</v>
      </c>
      <c r="Y260" s="92"/>
      <c r="Z260" s="20">
        <v>-7.0784665492664089</v>
      </c>
      <c r="AA260" s="10">
        <v>-35.131888454673138</v>
      </c>
      <c r="AB260" s="17">
        <v>3.2241211552588762</v>
      </c>
      <c r="AC260" s="18">
        <v>1.1611603890221629</v>
      </c>
      <c r="AD260" s="21">
        <v>0.24894730734758519</v>
      </c>
      <c r="AE260" s="21">
        <v>4.1577108337578288</v>
      </c>
      <c r="AF260" s="21">
        <v>3.2983853773244767E-2</v>
      </c>
      <c r="AG260" s="21"/>
      <c r="AH260" s="21">
        <v>5.215751865144461</v>
      </c>
    </row>
    <row r="261" spans="1:34">
      <c r="A261" s="13" t="s">
        <v>71</v>
      </c>
      <c r="B261" s="13" t="s">
        <v>72</v>
      </c>
      <c r="C261" s="13">
        <v>130</v>
      </c>
      <c r="E261" s="14">
        <v>45510</v>
      </c>
      <c r="H261" s="16">
        <v>14.3</v>
      </c>
      <c r="I261" s="16">
        <v>7.31</v>
      </c>
      <c r="J261" s="16">
        <v>45.95</v>
      </c>
      <c r="P261" s="18">
        <v>7.6267601000000004E-2</v>
      </c>
      <c r="Q261" s="18">
        <v>2.154709048</v>
      </c>
      <c r="R261" s="21" t="s">
        <v>50</v>
      </c>
      <c r="S261" s="21">
        <v>2.552224839</v>
      </c>
      <c r="T261" s="21">
        <v>5.2133159930000001</v>
      </c>
      <c r="U261" s="21">
        <v>0.100522482</v>
      </c>
      <c r="V261" s="21" t="s">
        <v>50</v>
      </c>
      <c r="W261" s="18">
        <v>0.49086285864528056</v>
      </c>
      <c r="Y261" s="92"/>
      <c r="Z261" s="20">
        <v>-7.4386170521266246</v>
      </c>
      <c r="AA261" s="10">
        <v>-38.501966085880078</v>
      </c>
      <c r="AB261" s="17">
        <v>3.5120172624525838</v>
      </c>
      <c r="AC261" s="18">
        <v>1.2654248716441281</v>
      </c>
      <c r="AD261" s="21">
        <v>0.23395780462140389</v>
      </c>
      <c r="AE261" s="21">
        <v>4.6367133736000952</v>
      </c>
      <c r="AF261" s="21">
        <v>3.4155942766803983E-2</v>
      </c>
      <c r="AG261" s="21"/>
      <c r="AH261" s="21">
        <v>5.5391724965380114</v>
      </c>
    </row>
    <row r="262" spans="1:34">
      <c r="A262" s="13" t="s">
        <v>73</v>
      </c>
      <c r="B262" s="13" t="s">
        <v>74</v>
      </c>
      <c r="C262" s="13">
        <v>130</v>
      </c>
      <c r="E262" s="14">
        <v>45510</v>
      </c>
      <c r="H262" s="16">
        <v>17.3</v>
      </c>
      <c r="I262" s="16">
        <v>6.4</v>
      </c>
      <c r="J262" s="16">
        <v>49.46</v>
      </c>
      <c r="P262" s="18">
        <v>8.4257152000000002E-2</v>
      </c>
      <c r="Q262" s="18">
        <v>2.1386536729999999</v>
      </c>
      <c r="R262" s="21" t="s">
        <v>50</v>
      </c>
      <c r="S262" s="21">
        <v>2.3079386799999999</v>
      </c>
      <c r="T262" s="21">
        <v>6.1115740020000002</v>
      </c>
      <c r="U262" s="21">
        <v>7.3521323999999999E-2</v>
      </c>
      <c r="V262" s="21">
        <v>0.155444851</v>
      </c>
      <c r="W262" s="18">
        <v>0.43342377155822032</v>
      </c>
      <c r="Y262" s="92"/>
      <c r="Z262" s="20">
        <v>-7.6628892719604691</v>
      </c>
      <c r="AA262" s="10">
        <v>-40.955551280988203</v>
      </c>
      <c r="AB262" s="17">
        <v>3.613457071323507</v>
      </c>
      <c r="AC262" s="18">
        <v>1.2897586633059339</v>
      </c>
      <c r="AD262" s="21">
        <v>0.24147601340593761</v>
      </c>
      <c r="AE262" s="21">
        <v>4.6635113659537248</v>
      </c>
      <c r="AF262" s="21">
        <v>3.5390256152600393E-2</v>
      </c>
      <c r="AG262" s="21"/>
      <c r="AH262" s="21">
        <v>5.2637952548123854</v>
      </c>
    </row>
    <row r="263" spans="1:34">
      <c r="A263" s="13" t="s">
        <v>71</v>
      </c>
      <c r="B263" s="13" t="s">
        <v>72</v>
      </c>
      <c r="C263" s="13">
        <v>131</v>
      </c>
      <c r="E263" s="14">
        <v>45517</v>
      </c>
      <c r="H263" s="16">
        <v>14</v>
      </c>
      <c r="I263" s="16">
        <v>7.28</v>
      </c>
      <c r="J263" s="16">
        <v>51.63</v>
      </c>
      <c r="P263" s="18">
        <v>1.8538573999999999E-2</v>
      </c>
      <c r="Q263" s="18">
        <v>2.1861768640000001</v>
      </c>
      <c r="R263" s="21" t="s">
        <v>50</v>
      </c>
      <c r="S263" s="21">
        <v>2.2440161619999999</v>
      </c>
      <c r="T263" s="21">
        <v>5.4723365690000003</v>
      </c>
      <c r="U263" s="21">
        <v>0.103543527</v>
      </c>
      <c r="V263" s="21">
        <v>6.9593040000000004E-3</v>
      </c>
      <c r="W263" s="18">
        <v>0.27820881426048222</v>
      </c>
      <c r="Y263" s="92"/>
      <c r="Z263" s="20">
        <v>-7.2804576527975451</v>
      </c>
      <c r="AA263" s="10">
        <v>-37.597070371557052</v>
      </c>
      <c r="AB263" s="17">
        <v>3.663279709811659</v>
      </c>
      <c r="AC263" s="18">
        <v>1.3350186399629189</v>
      </c>
      <c r="AD263" s="21">
        <v>0.24351557409382341</v>
      </c>
      <c r="AE263" s="21">
        <v>5.06929413265755</v>
      </c>
      <c r="AF263" s="21">
        <v>3.6272949164651201E-2</v>
      </c>
      <c r="AG263" s="21"/>
      <c r="AH263" s="21">
        <v>5.5723566667211522</v>
      </c>
    </row>
    <row r="264" spans="1:34">
      <c r="A264" s="13" t="s">
        <v>73</v>
      </c>
      <c r="B264" s="13" t="s">
        <v>74</v>
      </c>
      <c r="C264" s="13">
        <v>131</v>
      </c>
      <c r="E264" s="14">
        <v>45517</v>
      </c>
      <c r="H264" s="16">
        <v>14.1</v>
      </c>
      <c r="I264" s="16">
        <v>6.77</v>
      </c>
      <c r="J264" s="16">
        <v>53.02</v>
      </c>
      <c r="P264" s="18">
        <v>1.8061239999999999E-2</v>
      </c>
      <c r="Q264" s="18">
        <v>2.168037601</v>
      </c>
      <c r="R264" s="21" t="s">
        <v>50</v>
      </c>
      <c r="S264" s="21">
        <v>1.811862903</v>
      </c>
      <c r="T264" s="21">
        <v>6.3884523460000002</v>
      </c>
      <c r="U264" s="21">
        <v>6.7457226999999995E-2</v>
      </c>
      <c r="V264" s="21" t="s">
        <v>50</v>
      </c>
      <c r="W264" s="18">
        <v>0.21696651603136335</v>
      </c>
      <c r="Y264" s="92"/>
      <c r="Z264" s="20">
        <v>-7.3483967943107276</v>
      </c>
      <c r="AA264" s="10">
        <v>-38.666077269798073</v>
      </c>
      <c r="AB264" s="17">
        <v>3.6673219968030009</v>
      </c>
      <c r="AC264" s="18">
        <v>1.3781163647159009</v>
      </c>
      <c r="AD264" s="21">
        <v>0.21856601157205549</v>
      </c>
      <c r="AE264" s="21">
        <v>4.9647055264455329</v>
      </c>
      <c r="AF264" s="21">
        <v>3.730989394236741E-2</v>
      </c>
      <c r="AG264" s="21"/>
      <c r="AH264" s="21">
        <v>5.327662523364423</v>
      </c>
    </row>
    <row r="265" spans="1:34">
      <c r="A265" s="13" t="s">
        <v>71</v>
      </c>
      <c r="B265" s="13" t="s">
        <v>72</v>
      </c>
      <c r="C265" s="13">
        <v>132</v>
      </c>
      <c r="E265" s="14">
        <v>45524</v>
      </c>
      <c r="H265" s="16">
        <v>18.600000000000001</v>
      </c>
      <c r="I265" s="16">
        <v>7.22</v>
      </c>
      <c r="J265" s="16">
        <v>50.07</v>
      </c>
      <c r="P265" s="18">
        <v>2.5600000000000001E-2</v>
      </c>
      <c r="Q265" s="18">
        <v>2.0874352740000002</v>
      </c>
      <c r="R265" s="21" t="s">
        <v>50</v>
      </c>
      <c r="S265" s="21">
        <v>1.8851348939999999</v>
      </c>
      <c r="T265" s="21">
        <v>4.8519952719999999</v>
      </c>
      <c r="U265" s="21">
        <v>0.128501588</v>
      </c>
      <c r="V265" s="21">
        <v>1.2597929000000001E-2</v>
      </c>
      <c r="W265" s="18">
        <v>0.37325626921591298</v>
      </c>
      <c r="Y265" s="92">
        <v>0.5164968667178903</v>
      </c>
      <c r="Z265" s="20">
        <v>-7.2932418998564774</v>
      </c>
      <c r="AA265" s="10">
        <v>-37.836384539111982</v>
      </c>
      <c r="AB265" s="17">
        <v>3.6424674574072249</v>
      </c>
      <c r="AC265" s="18">
        <v>1.268782724133813</v>
      </c>
      <c r="AD265" s="21">
        <v>0.24330768606106701</v>
      </c>
      <c r="AE265" s="21">
        <v>4.7029544267603791</v>
      </c>
      <c r="AF265" s="21">
        <v>3.4542214258119749E-2</v>
      </c>
      <c r="AG265" s="21"/>
      <c r="AH265" s="21">
        <v>5.6268194324762506</v>
      </c>
    </row>
    <row r="266" spans="1:34">
      <c r="A266" s="13" t="s">
        <v>73</v>
      </c>
      <c r="B266" s="13" t="s">
        <v>74</v>
      </c>
      <c r="C266" s="13">
        <v>132</v>
      </c>
      <c r="E266" s="14">
        <v>45524</v>
      </c>
      <c r="H266" s="16">
        <v>18.399999999999999</v>
      </c>
      <c r="I266" s="16">
        <v>6.77</v>
      </c>
      <c r="J266" s="16">
        <v>51.39</v>
      </c>
      <c r="P266" s="18">
        <v>2.0799999999999999E-2</v>
      </c>
      <c r="Q266" s="18">
        <v>2.0423150799999998</v>
      </c>
      <c r="R266" s="21" t="s">
        <v>50</v>
      </c>
      <c r="S266" s="21">
        <v>1.4210367960000001</v>
      </c>
      <c r="T266" s="21">
        <v>5.9186478969999996</v>
      </c>
      <c r="U266" s="21">
        <v>8.3327509999999994E-2</v>
      </c>
      <c r="V266" s="21" t="s">
        <v>50</v>
      </c>
      <c r="W266" s="18">
        <v>0.21738434607956844</v>
      </c>
      <c r="Y266" s="92">
        <v>0.37322069684717951</v>
      </c>
      <c r="Z266" s="20">
        <v>-7.3871147996892104</v>
      </c>
      <c r="AA266" s="10">
        <v>-38.66607726979808</v>
      </c>
      <c r="AB266" s="17">
        <v>3.6169159185400699</v>
      </c>
      <c r="AC266" s="18">
        <v>1.350699471702095</v>
      </c>
      <c r="AD266" s="21">
        <v>0.22494788085259951</v>
      </c>
      <c r="AE266" s="21">
        <v>4.766756990036435</v>
      </c>
      <c r="AF266" s="21">
        <v>3.5399101993278989E-2</v>
      </c>
      <c r="AG266" s="21"/>
      <c r="AH266" s="21">
        <v>5.3063951455498151</v>
      </c>
    </row>
    <row r="267" spans="1:34">
      <c r="A267" s="13" t="s">
        <v>71</v>
      </c>
      <c r="B267" s="13" t="s">
        <v>72</v>
      </c>
      <c r="C267" s="13">
        <v>133</v>
      </c>
      <c r="E267" s="14">
        <v>45531</v>
      </c>
      <c r="H267" s="16">
        <v>15</v>
      </c>
      <c r="I267" s="16">
        <v>7.26</v>
      </c>
      <c r="J267" s="16">
        <v>51.37</v>
      </c>
      <c r="P267" s="18">
        <v>1.5113257999999999E-2</v>
      </c>
      <c r="Q267" s="18">
        <v>2.4518948030000001</v>
      </c>
      <c r="R267" s="21" t="s">
        <v>50</v>
      </c>
      <c r="S267" s="21">
        <v>2.4994327090000001</v>
      </c>
      <c r="T267" s="21">
        <v>5.8895570499999996</v>
      </c>
      <c r="U267" s="21">
        <v>0.12847381999999999</v>
      </c>
      <c r="V267" s="21">
        <v>6.9205489999999998E-3</v>
      </c>
      <c r="W267" s="18">
        <v>0.29983799036389802</v>
      </c>
      <c r="Y267" s="92">
        <v>0.51606984478235729</v>
      </c>
      <c r="Z267" s="20">
        <v>-7.3681210612016539</v>
      </c>
      <c r="AA267" s="10">
        <v>-38.856193223758751</v>
      </c>
      <c r="AB267" s="17">
        <v>3.712102559626747</v>
      </c>
      <c r="AC267" s="18">
        <v>1.3038214686055809</v>
      </c>
      <c r="AD267" s="21">
        <v>0.24670815072879579</v>
      </c>
      <c r="AE267" s="21">
        <v>4.9315524815968894</v>
      </c>
      <c r="AF267" s="21">
        <v>3.6149157013887621E-2</v>
      </c>
      <c r="AG267" s="21"/>
      <c r="AH267" s="21">
        <v>5.618982264138201</v>
      </c>
    </row>
    <row r="268" spans="1:34">
      <c r="A268" s="13" t="s">
        <v>73</v>
      </c>
      <c r="B268" s="13" t="s">
        <v>74</v>
      </c>
      <c r="C268" s="13">
        <v>133</v>
      </c>
      <c r="E268" s="14">
        <v>45531</v>
      </c>
      <c r="H268" s="16">
        <v>14.9</v>
      </c>
      <c r="I268" s="16">
        <v>6.68</v>
      </c>
      <c r="J268" s="16">
        <v>53.26</v>
      </c>
      <c r="P268" s="18">
        <v>1.239325E-2</v>
      </c>
      <c r="Q268" s="18">
        <v>2.4335681739999999</v>
      </c>
      <c r="R268" s="21" t="s">
        <v>50</v>
      </c>
      <c r="S268" s="21">
        <v>2.0411595459999998</v>
      </c>
      <c r="T268" s="21">
        <v>7.0030987079999996</v>
      </c>
      <c r="U268" s="21">
        <v>8.4107848999999998E-2</v>
      </c>
      <c r="V268" s="21" t="s">
        <v>50</v>
      </c>
      <c r="W268" s="18">
        <v>0.18654280541081616</v>
      </c>
      <c r="Y268" s="92">
        <v>0.42243519334364821</v>
      </c>
      <c r="Z268" s="20">
        <v>-7.4634550178411221</v>
      </c>
      <c r="AA268" s="10">
        <v>-39.425838254018039</v>
      </c>
      <c r="AB268" s="17">
        <v>3.7212173888870761</v>
      </c>
      <c r="AC268" s="18">
        <v>1.426073247673777</v>
      </c>
      <c r="AD268" s="21">
        <v>0.23562549977243721</v>
      </c>
      <c r="AE268" s="21">
        <v>4.9853622971332197</v>
      </c>
      <c r="AF268" s="21">
        <v>3.708913108060697E-2</v>
      </c>
      <c r="AG268" s="21"/>
      <c r="AH268" s="21">
        <v>5.3928443951431362</v>
      </c>
    </row>
    <row r="269" spans="1:34">
      <c r="A269" s="13" t="s">
        <v>71</v>
      </c>
      <c r="B269" s="13" t="s">
        <v>72</v>
      </c>
      <c r="C269" s="13">
        <v>134</v>
      </c>
      <c r="E269" s="14">
        <v>45538</v>
      </c>
      <c r="H269" s="16">
        <v>20.5</v>
      </c>
      <c r="I269" s="16">
        <v>7.09</v>
      </c>
      <c r="J269" s="16">
        <v>53.55</v>
      </c>
      <c r="P269" s="18">
        <v>0.136872101</v>
      </c>
      <c r="Q269" s="18">
        <v>2.1835796200000002</v>
      </c>
      <c r="R269" s="21" t="s">
        <v>50</v>
      </c>
      <c r="S269" s="21">
        <v>1.7639525810000001</v>
      </c>
      <c r="T269" s="21">
        <v>5.8312169210000002</v>
      </c>
      <c r="U269" s="21">
        <v>8.5881486000000007E-2</v>
      </c>
      <c r="V269" s="21">
        <v>1.2774669000000001E-2</v>
      </c>
      <c r="W269" s="18">
        <v>0.29690742796184832</v>
      </c>
      <c r="Y269" s="92">
        <v>0.50462221948616925</v>
      </c>
      <c r="Z269" s="20">
        <v>-7.0872328901068213</v>
      </c>
      <c r="AA269" s="10">
        <v>-36.55441965917008</v>
      </c>
      <c r="AB269" s="17">
        <v>3.8789789602481171</v>
      </c>
      <c r="AC269" s="18">
        <v>1.404696089737276</v>
      </c>
      <c r="AD269" s="21">
        <v>0.24383811883726561</v>
      </c>
      <c r="AE269" s="21">
        <v>5.0398146234161549</v>
      </c>
      <c r="AF269" s="21">
        <v>3.7032126438450448E-2</v>
      </c>
      <c r="AG269" s="21"/>
      <c r="AH269" s="21">
        <v>5.8359338516749872</v>
      </c>
    </row>
    <row r="270" spans="1:34">
      <c r="A270" s="13" t="s">
        <v>73</v>
      </c>
      <c r="B270" s="13" t="s">
        <v>74</v>
      </c>
      <c r="C270" s="13">
        <v>134</v>
      </c>
      <c r="E270" s="14">
        <v>45538</v>
      </c>
      <c r="H270" s="16">
        <v>21</v>
      </c>
      <c r="I270" s="16">
        <v>6.65</v>
      </c>
      <c r="J270" s="16">
        <v>56.09</v>
      </c>
      <c r="P270" s="18">
        <v>0.13865651600000001</v>
      </c>
      <c r="Q270" s="18">
        <v>2.2433189329999998</v>
      </c>
      <c r="R270" s="21" t="s">
        <v>50</v>
      </c>
      <c r="S270" s="21">
        <v>1.4701779880000001</v>
      </c>
      <c r="T270" s="21">
        <v>6.8444808689999999</v>
      </c>
      <c r="U270" s="21">
        <v>5.8061074999999997E-2</v>
      </c>
      <c r="V270" s="21" t="s">
        <v>50</v>
      </c>
      <c r="W270" s="18">
        <v>0.24711379269425401</v>
      </c>
      <c r="Y270" s="92">
        <v>0.38704034310104241</v>
      </c>
      <c r="Z270" s="20">
        <v>-7.0623949243923247</v>
      </c>
      <c r="AA270" s="10">
        <v>-36.323539471088438</v>
      </c>
      <c r="AB270" s="17">
        <v>3.930051453093232</v>
      </c>
      <c r="AC270" s="18">
        <v>1.5080574283259649</v>
      </c>
      <c r="AD270" s="21">
        <v>0.24380100464428561</v>
      </c>
      <c r="AE270" s="21">
        <v>5.3795954749045576</v>
      </c>
      <c r="AF270" s="21">
        <v>3.9074891421447523E-2</v>
      </c>
      <c r="AG270" s="21"/>
      <c r="AH270" s="21">
        <v>5.555685576225585</v>
      </c>
    </row>
    <row r="271" spans="1:34">
      <c r="A271" s="13" t="s">
        <v>71</v>
      </c>
      <c r="B271" s="13" t="s">
        <v>72</v>
      </c>
      <c r="C271" s="13">
        <v>135</v>
      </c>
      <c r="E271" s="14">
        <v>45545</v>
      </c>
      <c r="H271" s="16">
        <v>20.3</v>
      </c>
      <c r="I271" s="16">
        <v>6.96</v>
      </c>
      <c r="J271" s="16">
        <v>56.86</v>
      </c>
      <c r="P271" s="18">
        <v>1.7518296999999999E-2</v>
      </c>
      <c r="Q271" s="18">
        <v>2.5146883550000001</v>
      </c>
      <c r="R271" s="21" t="s">
        <v>50</v>
      </c>
      <c r="S271" s="21">
        <v>2.2698241050000001</v>
      </c>
      <c r="T271" s="21">
        <v>6.7471303359999997</v>
      </c>
      <c r="U271" s="21">
        <v>0.140516012</v>
      </c>
      <c r="V271" s="21">
        <v>6.9205489999999998E-3</v>
      </c>
      <c r="W271" s="18">
        <v>0.22834844583476765</v>
      </c>
      <c r="Y271" s="92">
        <v>0.4614872133331176</v>
      </c>
      <c r="Z271" s="20">
        <v>-7.118280347249943</v>
      </c>
      <c r="AA271" s="10">
        <v>-36.113392815878662</v>
      </c>
      <c r="AB271" s="17">
        <v>3.9554365886131979</v>
      </c>
      <c r="AC271" s="18">
        <v>1.448320432618712</v>
      </c>
      <c r="AD271" s="21">
        <v>0.23556091397984669</v>
      </c>
      <c r="AE271" s="21">
        <v>5.3351274205814754</v>
      </c>
      <c r="AF271" s="21">
        <v>3.8526406967022038E-2</v>
      </c>
      <c r="AG271" s="21"/>
      <c r="AH271" s="21">
        <v>5.8489407915199516</v>
      </c>
    </row>
    <row r="272" spans="1:34">
      <c r="A272" s="13" t="s">
        <v>73</v>
      </c>
      <c r="B272" s="13" t="s">
        <v>74</v>
      </c>
      <c r="C272" s="13">
        <v>135</v>
      </c>
      <c r="E272" s="14">
        <v>45545</v>
      </c>
      <c r="H272" s="16">
        <v>59.39</v>
      </c>
      <c r="I272" s="16">
        <v>6.66</v>
      </c>
      <c r="J272" s="16">
        <v>19.5</v>
      </c>
      <c r="P272" s="18">
        <v>1.1346734000000001E-2</v>
      </c>
      <c r="Q272" s="18">
        <v>2.5096589969999998</v>
      </c>
      <c r="R272" s="21" t="s">
        <v>50</v>
      </c>
      <c r="S272" s="21">
        <v>1.948413285</v>
      </c>
      <c r="T272" s="21">
        <v>7.8005133339999997</v>
      </c>
      <c r="U272" s="21">
        <v>0.108826033</v>
      </c>
      <c r="V272" s="21">
        <v>4.7882539999999996E-3</v>
      </c>
      <c r="W272" s="18">
        <v>0.16970903367428949</v>
      </c>
      <c r="Y272" s="92">
        <v>0.3887276948034013</v>
      </c>
      <c r="Z272" s="20">
        <v>-7.096364495148916</v>
      </c>
      <c r="AA272" s="10">
        <v>-36.536497452789312</v>
      </c>
      <c r="AB272" s="17">
        <v>3.9538864123976358</v>
      </c>
      <c r="AC272" s="18">
        <v>1.573518017876931</v>
      </c>
      <c r="AD272" s="21">
        <v>0.22207729209078581</v>
      </c>
      <c r="AE272" s="21">
        <v>5.5258887470358253</v>
      </c>
      <c r="AF272" s="21">
        <v>4.0037690698742009E-2</v>
      </c>
      <c r="AG272" s="21"/>
      <c r="AH272" s="21">
        <v>5.680658393506838</v>
      </c>
    </row>
    <row r="273" spans="1:34">
      <c r="A273" s="13" t="s">
        <v>71</v>
      </c>
      <c r="B273" s="13" t="s">
        <v>72</v>
      </c>
      <c r="C273" s="13">
        <v>136</v>
      </c>
      <c r="E273" s="14">
        <v>45553</v>
      </c>
      <c r="H273" s="16">
        <v>12.5</v>
      </c>
      <c r="I273" s="16">
        <v>6.86</v>
      </c>
      <c r="J273" s="16">
        <v>35.340000000000003</v>
      </c>
      <c r="P273" s="18">
        <v>2.01E-2</v>
      </c>
      <c r="Q273" s="18">
        <v>2.2184307159999999</v>
      </c>
      <c r="R273" s="21" t="s">
        <v>50</v>
      </c>
      <c r="S273" s="21">
        <v>2.1787823159999999</v>
      </c>
      <c r="T273" s="21">
        <v>5.6502515759999996</v>
      </c>
      <c r="U273" s="21">
        <v>8.3774777999999994E-2</v>
      </c>
      <c r="V273" s="21">
        <v>2.7079176999999999E-2</v>
      </c>
      <c r="W273" s="18">
        <v>0.34961261778130331</v>
      </c>
      <c r="Y273" s="92">
        <v>0.57425953295514942</v>
      </c>
      <c r="Z273" s="20">
        <v>-7.0590797800373677</v>
      </c>
      <c r="AA273" s="10">
        <v>-35.860449648229412</v>
      </c>
      <c r="AB273" s="17">
        <v>4.0066653146401086</v>
      </c>
      <c r="AC273" s="18">
        <v>1.5132684731731625</v>
      </c>
      <c r="AD273" s="21">
        <v>0.24673017385948029</v>
      </c>
      <c r="AE273" s="21">
        <v>5.6970609135689827</v>
      </c>
      <c r="AF273" s="21">
        <v>3.3492040558020512E-2</v>
      </c>
      <c r="AG273" s="21"/>
      <c r="AH273" s="21">
        <v>5.7949241527081918</v>
      </c>
    </row>
    <row r="274" spans="1:34">
      <c r="A274" s="13" t="s">
        <v>73</v>
      </c>
      <c r="B274" s="13" t="s">
        <v>74</v>
      </c>
      <c r="C274" s="13">
        <v>136</v>
      </c>
      <c r="E274" s="14">
        <v>45553</v>
      </c>
      <c r="H274" s="16">
        <v>14.6</v>
      </c>
      <c r="I274" s="16">
        <v>6.57</v>
      </c>
      <c r="J274" s="16">
        <v>37.53</v>
      </c>
      <c r="P274" s="18">
        <v>4.7500000000000001E-2</v>
      </c>
      <c r="Q274" s="18">
        <v>2.7193898019999998</v>
      </c>
      <c r="R274" s="21" t="s">
        <v>50</v>
      </c>
      <c r="S274" s="21">
        <v>1.725012174</v>
      </c>
      <c r="T274" s="21">
        <v>6.7812398710000004</v>
      </c>
      <c r="U274" s="21">
        <v>8.7800191E-2</v>
      </c>
      <c r="V274" s="21" t="s">
        <v>50</v>
      </c>
      <c r="W274" s="18">
        <v>0.37190540271564099</v>
      </c>
      <c r="Y274" s="92">
        <v>0.43846998151315181</v>
      </c>
      <c r="Z274" s="20">
        <v>-6.9962092625962873</v>
      </c>
      <c r="AA274" s="10">
        <v>-35.40676174844215</v>
      </c>
      <c r="AB274" s="17">
        <v>4.810135921852372</v>
      </c>
      <c r="AC274" s="18">
        <v>1.6463322864561656</v>
      </c>
      <c r="AD274" s="21">
        <v>0.20465427538210357</v>
      </c>
      <c r="AE274" s="21">
        <v>5.9042920851829033</v>
      </c>
      <c r="AF274" s="21">
        <v>3.7133778262282535E-2</v>
      </c>
      <c r="AG274" s="21"/>
      <c r="AH274" s="21">
        <v>5.7290886699323691</v>
      </c>
    </row>
    <row r="275" spans="1:34">
      <c r="A275" s="13" t="s">
        <v>71</v>
      </c>
      <c r="B275" s="13" t="s">
        <v>72</v>
      </c>
      <c r="C275" s="13">
        <v>137</v>
      </c>
      <c r="E275" s="14">
        <v>45559</v>
      </c>
      <c r="H275" s="16">
        <v>23.9</v>
      </c>
      <c r="I275" s="16">
        <v>6.76</v>
      </c>
      <c r="J275" s="16">
        <v>84.43</v>
      </c>
      <c r="P275" s="18">
        <v>2.7099999999999999E-2</v>
      </c>
      <c r="Q275" s="18">
        <v>1.9033389620000001</v>
      </c>
      <c r="R275" s="21" t="s">
        <v>50</v>
      </c>
      <c r="S275" s="21">
        <v>3.3270989869999998</v>
      </c>
      <c r="T275" s="21">
        <v>4.2361179370000004</v>
      </c>
      <c r="U275" s="21">
        <v>8.1839653999999998E-2</v>
      </c>
      <c r="V275" s="21">
        <v>4.0982350000000004E-3</v>
      </c>
      <c r="W275" s="18">
        <v>0.25096085922078737</v>
      </c>
      <c r="Y275" s="92">
        <v>0.82537496866957316</v>
      </c>
      <c r="Z275" s="20">
        <v>-8.9329102596318677</v>
      </c>
      <c r="AA275" s="10">
        <v>-51.55818993581542</v>
      </c>
      <c r="AB275" s="17">
        <v>3.349177943762955</v>
      </c>
      <c r="AC275" s="18">
        <v>1.2146396348689941</v>
      </c>
      <c r="AD275" s="21">
        <v>0.27944381778321992</v>
      </c>
      <c r="AE275" s="21">
        <v>4.6908254948073944</v>
      </c>
      <c r="AF275" s="21">
        <v>2.9302083435871821E-2</v>
      </c>
      <c r="AG275" s="21"/>
      <c r="AH275" s="21">
        <v>5.1546937460071174</v>
      </c>
    </row>
    <row r="276" spans="1:34">
      <c r="A276" s="13" t="s">
        <v>73</v>
      </c>
      <c r="B276" s="13" t="s">
        <v>74</v>
      </c>
      <c r="C276" s="13">
        <v>137</v>
      </c>
      <c r="E276" s="14">
        <v>45559</v>
      </c>
      <c r="H276" s="16">
        <v>24.1</v>
      </c>
      <c r="I276" s="16">
        <v>6.24</v>
      </c>
      <c r="J276" s="16">
        <v>52.65</v>
      </c>
      <c r="P276" s="18">
        <v>2.3400000000000001E-2</v>
      </c>
      <c r="Q276" s="18">
        <v>1.9240305339999999</v>
      </c>
      <c r="R276" s="21" t="s">
        <v>50</v>
      </c>
      <c r="S276" s="21">
        <v>2.6959540149999999</v>
      </c>
      <c r="T276" s="21">
        <v>4.3031375829999998</v>
      </c>
      <c r="U276" s="21">
        <v>4.7283443000000001E-2</v>
      </c>
      <c r="V276" s="21">
        <v>2.701288E-3</v>
      </c>
      <c r="W276" s="18">
        <v>0.22989312563127778</v>
      </c>
      <c r="Y276" s="92">
        <v>0.64076572362287987</v>
      </c>
      <c r="Z276" s="20">
        <v>-9.4434622202309857</v>
      </c>
      <c r="AA276" s="10">
        <v>-55.759840125652381</v>
      </c>
      <c r="AB276" s="17">
        <v>3.0362947643959872</v>
      </c>
      <c r="AC276" s="18">
        <v>1.1711269657898478</v>
      </c>
      <c r="AD276" s="21">
        <v>0.25595158589443312</v>
      </c>
      <c r="AE276" s="21">
        <v>4.3652098970599535</v>
      </c>
      <c r="AF276" s="21">
        <v>2.9361298370882746E-2</v>
      </c>
      <c r="AG276" s="21"/>
      <c r="AH276" s="21">
        <v>4.811891881544577</v>
      </c>
    </row>
    <row r="277" spans="1:34">
      <c r="A277" s="13" t="s">
        <v>71</v>
      </c>
      <c r="B277" s="13" t="s">
        <v>72</v>
      </c>
      <c r="C277" s="13">
        <v>138</v>
      </c>
      <c r="E277" s="14">
        <v>45566</v>
      </c>
      <c r="H277" s="16">
        <v>17.100000000000001</v>
      </c>
      <c r="I277" s="16">
        <v>6.8</v>
      </c>
      <c r="J277" s="16">
        <v>48.98</v>
      </c>
      <c r="P277" s="18">
        <v>3.1099999999999999E-2</v>
      </c>
      <c r="Q277" s="18">
        <v>2.0258394970000002</v>
      </c>
      <c r="R277" s="21" t="s">
        <v>50</v>
      </c>
      <c r="S277" s="21">
        <v>3.0480458810000002</v>
      </c>
      <c r="T277" s="21">
        <v>3.6919006419999998</v>
      </c>
      <c r="U277" s="21">
        <v>0.100323208</v>
      </c>
      <c r="V277" s="21">
        <v>4.0982350000000004E-3</v>
      </c>
      <c r="W277" s="18">
        <v>0.2469771649435184</v>
      </c>
      <c r="Y277" s="92">
        <v>0.74905114255194971</v>
      </c>
      <c r="Z277" s="20">
        <v>-8.6666138725394752</v>
      </c>
      <c r="AA277" s="10">
        <v>-49.84105418646741</v>
      </c>
      <c r="AB277" s="17">
        <v>3.0827879796480828</v>
      </c>
      <c r="AC277" s="18">
        <v>1.0792171775098411</v>
      </c>
      <c r="AD277" s="21">
        <v>0.24053010701960148</v>
      </c>
      <c r="AE277" s="21">
        <v>4.1322317627100764</v>
      </c>
      <c r="AF277" s="21">
        <v>2.7303519202623611E-2</v>
      </c>
      <c r="AG277" s="21"/>
      <c r="AH277" s="21">
        <v>5.0041294631173869</v>
      </c>
    </row>
    <row r="278" spans="1:34">
      <c r="A278" s="13" t="s">
        <v>73</v>
      </c>
      <c r="B278" s="13" t="s">
        <v>74</v>
      </c>
      <c r="C278" s="13">
        <v>138</v>
      </c>
      <c r="E278" s="14">
        <v>45566</v>
      </c>
      <c r="H278" s="16">
        <v>17</v>
      </c>
      <c r="I278" s="16">
        <v>6.15</v>
      </c>
      <c r="J278" s="16">
        <v>44.16</v>
      </c>
      <c r="P278" s="18">
        <v>2.3400000000000001E-2</v>
      </c>
      <c r="Q278" s="18">
        <v>1.971744435</v>
      </c>
      <c r="R278" s="21" t="s">
        <v>50</v>
      </c>
      <c r="S278" s="21">
        <v>2.4529505820000002</v>
      </c>
      <c r="T278" s="21">
        <v>3.8534878579999998</v>
      </c>
      <c r="U278" s="21">
        <v>5.6525220000000001E-2</v>
      </c>
      <c r="V278" s="21" t="s">
        <v>50</v>
      </c>
      <c r="W278" s="18">
        <v>0.19139313766045735</v>
      </c>
      <c r="Y278" s="92">
        <v>0.57903519386692548</v>
      </c>
      <c r="Z278" s="20">
        <v>-9.3571055899527202</v>
      </c>
      <c r="AA278" s="10">
        <v>-55.372850600106418</v>
      </c>
      <c r="AB278" s="17">
        <v>2.698920000270121</v>
      </c>
      <c r="AC278" s="18">
        <v>0.98056025704767813</v>
      </c>
      <c r="AD278" s="21">
        <v>0.22730612509436474</v>
      </c>
      <c r="AE278" s="21">
        <v>3.4283445127514667</v>
      </c>
      <c r="AF278" s="21">
        <v>2.6035750717983416E-2</v>
      </c>
      <c r="AG278" s="21"/>
      <c r="AH278" s="21">
        <v>4.5702675362221319</v>
      </c>
    </row>
    <row r="279" spans="1:34">
      <c r="A279" s="13" t="s">
        <v>71</v>
      </c>
      <c r="B279" s="13" t="s">
        <v>72</v>
      </c>
      <c r="C279" s="13">
        <v>139</v>
      </c>
      <c r="E279" s="14">
        <v>45573</v>
      </c>
      <c r="H279" s="16">
        <v>14</v>
      </c>
      <c r="I279" s="16">
        <v>6.21</v>
      </c>
      <c r="J279" s="16">
        <v>48.93</v>
      </c>
      <c r="P279" s="18">
        <v>1.7936457999999999E-2</v>
      </c>
      <c r="Q279" s="18">
        <v>2.4782873419999998</v>
      </c>
      <c r="R279" s="21" t="s">
        <v>50</v>
      </c>
      <c r="S279" s="21">
        <v>2.0597191119999998</v>
      </c>
      <c r="T279" s="21">
        <v>5.4249088089999997</v>
      </c>
      <c r="U279" s="21">
        <v>5.4319269000000003E-2</v>
      </c>
      <c r="V279" s="21">
        <v>1.234427E-3</v>
      </c>
      <c r="W279" s="18">
        <v>0.18285927743813202</v>
      </c>
      <c r="Y279" s="92">
        <v>0.40942336211571018</v>
      </c>
      <c r="Z279" s="20">
        <v>-7.8879589007835653</v>
      </c>
      <c r="AA279" s="10">
        <v>-42.8290402069834</v>
      </c>
      <c r="AB279" s="17">
        <v>3.0719976603503092</v>
      </c>
      <c r="AC279" s="18">
        <v>1.0255751956061414</v>
      </c>
      <c r="AD279" s="21">
        <v>0.21186320753863136</v>
      </c>
      <c r="AE279" s="21">
        <v>3.6818527700494972</v>
      </c>
      <c r="AF279" s="21">
        <v>2.6301961175753747E-2</v>
      </c>
      <c r="AG279" s="21"/>
      <c r="AH279" s="21">
        <v>5.1196268971401446</v>
      </c>
    </row>
    <row r="280" spans="1:34">
      <c r="A280" s="13" t="s">
        <v>73</v>
      </c>
      <c r="B280" s="13" t="s">
        <v>74</v>
      </c>
      <c r="C280" s="13">
        <v>139</v>
      </c>
      <c r="E280" s="14">
        <v>45573</v>
      </c>
      <c r="H280" s="16">
        <v>18.7</v>
      </c>
      <c r="I280" s="16">
        <v>6.7</v>
      </c>
      <c r="J280" s="16">
        <v>53.11</v>
      </c>
      <c r="P280" s="18">
        <v>5.7101330999999998E-2</v>
      </c>
      <c r="Q280" s="18">
        <v>2.7400904619999999</v>
      </c>
      <c r="R280" s="21" t="s">
        <v>50</v>
      </c>
      <c r="S280" s="21">
        <v>2.5638046750000001</v>
      </c>
      <c r="T280" s="21">
        <v>4.6140184619999998</v>
      </c>
      <c r="U280" s="21">
        <v>6.5727662000000006E-2</v>
      </c>
      <c r="V280" s="21">
        <v>3.1797335000000003E-2</v>
      </c>
      <c r="W280" s="18">
        <v>0.28863534615536568</v>
      </c>
      <c r="Y280" s="92">
        <v>0.52990466726316499</v>
      </c>
      <c r="Z280" s="20">
        <v>-7.7474035485733346</v>
      </c>
      <c r="AA280" s="10">
        <v>-42.370141496708534</v>
      </c>
      <c r="AB280" s="17">
        <v>3.7089562213858636</v>
      </c>
      <c r="AC280" s="18">
        <v>1.064777908901271</v>
      </c>
      <c r="AD280" s="21">
        <v>0.23880836081049581</v>
      </c>
      <c r="AE280" s="21">
        <v>4.018876064446677</v>
      </c>
      <c r="AF280" s="21">
        <v>2.7488964915501863E-2</v>
      </c>
      <c r="AG280" s="21"/>
      <c r="AH280" s="21">
        <v>5.5066033899827271</v>
      </c>
    </row>
    <row r="281" spans="1:34">
      <c r="A281" s="13" t="s">
        <v>71</v>
      </c>
      <c r="B281" s="13" t="s">
        <v>72</v>
      </c>
      <c r="C281" s="13">
        <v>140</v>
      </c>
      <c r="E281" s="14">
        <v>45580</v>
      </c>
      <c r="H281" s="16">
        <v>18.8</v>
      </c>
      <c r="I281" s="16">
        <v>6.86</v>
      </c>
      <c r="J281" s="16">
        <v>54.16</v>
      </c>
      <c r="P281" s="18">
        <v>1.9713284000000001E-2</v>
      </c>
      <c r="Q281" s="18">
        <v>2.4942129739999999</v>
      </c>
      <c r="R281" s="21" t="s">
        <v>50</v>
      </c>
      <c r="S281" s="21">
        <v>2.4794988029999998</v>
      </c>
      <c r="T281" s="21">
        <v>5.2790236740000003</v>
      </c>
      <c r="U281" s="21">
        <v>0.13924841299999999</v>
      </c>
      <c r="V281" s="21">
        <v>7.6313149999999996E-3</v>
      </c>
      <c r="W281" s="18">
        <v>0.25290639817385296</v>
      </c>
      <c r="Y281" s="92">
        <v>0.4925903682092605</v>
      </c>
      <c r="Z281" s="20">
        <v>-7.5136263946401209</v>
      </c>
      <c r="AA281" s="10">
        <v>-39.800864538954571</v>
      </c>
      <c r="AB281" s="17">
        <v>3.5655722833575449</v>
      </c>
      <c r="AC281" s="18">
        <v>1.1752002961325538</v>
      </c>
      <c r="AD281" s="21">
        <v>0.24143132812567103</v>
      </c>
      <c r="AE281" s="21">
        <v>4.4752895001247266</v>
      </c>
      <c r="AF281" s="21">
        <v>2.8130312052620107E-2</v>
      </c>
      <c r="AG281" s="21"/>
      <c r="AH281" s="21">
        <v>5.683348547860084</v>
      </c>
    </row>
    <row r="282" spans="1:34">
      <c r="A282" s="13" t="s">
        <v>73</v>
      </c>
      <c r="B282" s="13" t="s">
        <v>74</v>
      </c>
      <c r="C282" s="13">
        <v>140</v>
      </c>
      <c r="E282" s="14">
        <v>45580</v>
      </c>
      <c r="H282" s="16">
        <v>18.600000000000001</v>
      </c>
      <c r="I282" s="16">
        <v>6.49</v>
      </c>
      <c r="J282" s="16">
        <v>54.71</v>
      </c>
      <c r="P282" s="18">
        <v>1.8459112999999999E-2</v>
      </c>
      <c r="Q282" s="18">
        <v>2.4674091709999999</v>
      </c>
      <c r="R282" s="21" t="s">
        <v>50</v>
      </c>
      <c r="S282" s="21">
        <v>1.9811682880000001</v>
      </c>
      <c r="T282" s="21">
        <v>6.4289258550000001</v>
      </c>
      <c r="U282" s="21">
        <v>5.5586868999999997E-2</v>
      </c>
      <c r="V282" s="21">
        <v>4.7882539999999996E-3</v>
      </c>
      <c r="W282" s="18">
        <v>0.82664768337511763</v>
      </c>
      <c r="Y282" s="92">
        <v>0.40364183047564811</v>
      </c>
      <c r="Z282" s="20">
        <v>-7.5956471271638293</v>
      </c>
      <c r="AA282" s="10">
        <v>-40.243088655669112</v>
      </c>
      <c r="AB282" s="17">
        <v>3.4957771232726369</v>
      </c>
      <c r="AC282" s="18">
        <v>1.2431945572300438</v>
      </c>
      <c r="AD282" s="21">
        <v>0.24092970404469682</v>
      </c>
      <c r="AE282" s="21">
        <v>4.448380978403133</v>
      </c>
      <c r="AF282" s="21">
        <v>2.9640228149743424E-2</v>
      </c>
      <c r="AG282" s="21"/>
      <c r="AH282" s="21">
        <v>5.3487638331591141</v>
      </c>
    </row>
    <row r="283" spans="1:34">
      <c r="A283" s="13" t="s">
        <v>71</v>
      </c>
      <c r="B283" s="13" t="s">
        <v>72</v>
      </c>
      <c r="C283" s="13">
        <v>141</v>
      </c>
      <c r="E283" s="14">
        <v>45587</v>
      </c>
      <c r="H283" s="16">
        <v>22.8</v>
      </c>
      <c r="I283" s="16">
        <v>6.76</v>
      </c>
      <c r="J283" s="16">
        <v>54.14</v>
      </c>
      <c r="P283" s="18">
        <v>1.4904074E-2</v>
      </c>
      <c r="Q283" s="18">
        <v>2.4813333179999999</v>
      </c>
      <c r="R283" s="21" t="s">
        <v>50</v>
      </c>
      <c r="S283" s="21">
        <v>3.2611077430000002</v>
      </c>
      <c r="T283" s="21">
        <v>4.8363310759999996</v>
      </c>
      <c r="U283" s="21">
        <v>0.10945983300000001</v>
      </c>
      <c r="V283" s="21" t="s">
        <v>50</v>
      </c>
      <c r="W283" s="18">
        <v>0.23428732880786018</v>
      </c>
      <c r="Y283" s="92">
        <v>0.64038692050866353</v>
      </c>
      <c r="Z283" s="20">
        <v>-7.6830877318807342</v>
      </c>
      <c r="AA283" s="10">
        <v>-41.835164953314653</v>
      </c>
      <c r="AB283" s="17">
        <v>3.3331721436812236</v>
      </c>
      <c r="AC283" s="18">
        <v>1.1586857479082022</v>
      </c>
      <c r="AD283" s="21">
        <v>0.24347105708557057</v>
      </c>
      <c r="AE283" s="21">
        <v>4.3118752527104558</v>
      </c>
      <c r="AF283" s="21">
        <v>2.8056219847442696E-2</v>
      </c>
      <c r="AG283" s="21"/>
      <c r="AH283" s="21">
        <v>5.1419749013291804</v>
      </c>
    </row>
    <row r="284" spans="1:34">
      <c r="A284" s="13" t="s">
        <v>73</v>
      </c>
      <c r="B284" s="13" t="s">
        <v>74</v>
      </c>
      <c r="C284" s="13">
        <v>141</v>
      </c>
      <c r="E284" s="14">
        <v>45587</v>
      </c>
      <c r="H284" s="16">
        <v>22.9</v>
      </c>
      <c r="I284" s="16">
        <v>6.37</v>
      </c>
      <c r="J284" s="16">
        <v>55.41</v>
      </c>
      <c r="P284" s="18">
        <v>1.0195337E-2</v>
      </c>
      <c r="Q284" s="18">
        <v>2.4634676739999999</v>
      </c>
      <c r="R284" s="21" t="s">
        <v>50</v>
      </c>
      <c r="S284" s="21">
        <v>2.796502308</v>
      </c>
      <c r="T284" s="21">
        <v>5.2388903569999998</v>
      </c>
      <c r="U284" s="21">
        <v>6.6995261E-2</v>
      </c>
      <c r="V284" s="21" t="s">
        <v>50</v>
      </c>
      <c r="W284" s="18">
        <v>0.19179891541879479</v>
      </c>
      <c r="Y284" s="92">
        <v>0.53971244876624602</v>
      </c>
      <c r="Z284" s="20">
        <v>-8.226881575264791</v>
      </c>
      <c r="AA284" s="10">
        <v>-46.393234580503645</v>
      </c>
      <c r="AB284" s="17">
        <v>3.4077208573357618</v>
      </c>
      <c r="AC284" s="18">
        <v>1.2539939402917657</v>
      </c>
      <c r="AD284" s="21">
        <v>0.22375387109249811</v>
      </c>
      <c r="AE284" s="21">
        <v>4.5315581460687824</v>
      </c>
      <c r="AF284" s="21">
        <v>3.034994997191693E-2</v>
      </c>
      <c r="AG284" s="21"/>
      <c r="AH284" s="21">
        <v>4.9974241249562441</v>
      </c>
    </row>
    <row r="285" spans="1:34">
      <c r="A285" s="13" t="s">
        <v>71</v>
      </c>
      <c r="B285" s="13" t="s">
        <v>72</v>
      </c>
      <c r="C285" s="13">
        <v>142</v>
      </c>
      <c r="E285" s="14">
        <v>45594</v>
      </c>
      <c r="H285" s="16">
        <v>20.9</v>
      </c>
      <c r="I285" s="16">
        <v>7.03</v>
      </c>
      <c r="J285" s="16">
        <v>45.58</v>
      </c>
      <c r="P285" s="18">
        <v>1.619425E-2</v>
      </c>
      <c r="Q285" s="18">
        <v>2.070378603</v>
      </c>
      <c r="R285" s="21" t="s">
        <v>50</v>
      </c>
      <c r="S285" s="21">
        <v>2.250068186</v>
      </c>
      <c r="T285" s="21">
        <v>3.8124735759999999</v>
      </c>
      <c r="U285" s="21">
        <v>4.8792083999999999E-2</v>
      </c>
      <c r="V285" s="21" t="s">
        <v>50</v>
      </c>
      <c r="W285" s="18">
        <v>0.30415353168862852</v>
      </c>
      <c r="Y285" s="92">
        <v>0.51977690761750173</v>
      </c>
      <c r="Z285" s="20">
        <v>-7.631779608451807</v>
      </c>
      <c r="AA285" s="10">
        <v>-40.786749883208991</v>
      </c>
      <c r="AB285" s="17">
        <v>3.3000401833449935</v>
      </c>
      <c r="AC285" s="18">
        <v>1.0730026785307574</v>
      </c>
      <c r="AD285" s="21">
        <v>0.23153707091687195</v>
      </c>
      <c r="AE285" s="21">
        <v>4.1038346150261269</v>
      </c>
      <c r="AF285" s="21">
        <v>2.6558606149912622E-2</v>
      </c>
      <c r="AG285" s="21"/>
      <c r="AH285" s="21">
        <v>5.3952412484832388</v>
      </c>
    </row>
    <row r="286" spans="1:34">
      <c r="A286" s="13" t="s">
        <v>73</v>
      </c>
      <c r="B286" s="13" t="s">
        <v>74</v>
      </c>
      <c r="C286" s="13">
        <v>142</v>
      </c>
      <c r="E286" s="14">
        <v>45594</v>
      </c>
      <c r="H286" s="16">
        <v>20.8</v>
      </c>
      <c r="I286" s="16">
        <v>6.63</v>
      </c>
      <c r="J286" s="16">
        <v>46.33</v>
      </c>
      <c r="P286" s="18">
        <v>1.8577475999999999E-2</v>
      </c>
      <c r="Q286" s="18">
        <v>2.0954040790000001</v>
      </c>
      <c r="R286" s="21" t="s">
        <v>50</v>
      </c>
      <c r="S286" s="21">
        <v>1.7704318219999999</v>
      </c>
      <c r="T286" s="21">
        <v>4.7674639570000004</v>
      </c>
      <c r="U286" s="21">
        <v>6.6435826000000003E-2</v>
      </c>
      <c r="V286" s="21">
        <v>1.3114152E-2</v>
      </c>
      <c r="W286" s="18">
        <v>0.20532249844401049</v>
      </c>
      <c r="Y286" s="92">
        <v>0.42133922580652572</v>
      </c>
      <c r="Z286" s="20">
        <v>-7.6877849544481709</v>
      </c>
      <c r="AA286" s="10">
        <v>-41.266839222800122</v>
      </c>
      <c r="AB286" s="17">
        <v>3.1918643258708577</v>
      </c>
      <c r="AC286" s="18">
        <v>1.1024924488231449</v>
      </c>
      <c r="AD286" s="21">
        <v>0.22297730003568586</v>
      </c>
      <c r="AE286" s="21">
        <v>3.956548581789197</v>
      </c>
      <c r="AF286" s="21">
        <v>2.7688362424305189E-2</v>
      </c>
      <c r="AG286" s="21"/>
      <c r="AH286" s="21">
        <v>5.1535176718503983</v>
      </c>
    </row>
    <row r="287" spans="1:34">
      <c r="A287" s="13" t="s">
        <v>71</v>
      </c>
      <c r="B287" s="13" t="s">
        <v>72</v>
      </c>
      <c r="C287" s="13">
        <v>143</v>
      </c>
      <c r="E287" s="14">
        <v>45601</v>
      </c>
      <c r="H287" s="16">
        <v>16.2</v>
      </c>
      <c r="I287" s="16">
        <v>6.9</v>
      </c>
      <c r="J287" s="16">
        <v>43.87</v>
      </c>
      <c r="P287" s="18">
        <v>4.6438919000000002E-2</v>
      </c>
      <c r="Q287" s="18">
        <v>2.425011714</v>
      </c>
      <c r="R287" s="21" t="s">
        <v>50</v>
      </c>
      <c r="S287" s="21">
        <v>1.9579852609999999</v>
      </c>
      <c r="T287" s="21">
        <v>3.4469129719999998</v>
      </c>
      <c r="U287" s="21">
        <v>6.6745666999999995E-2</v>
      </c>
      <c r="V287" s="21">
        <v>1.9029732000000001E-2</v>
      </c>
      <c r="W287" s="18">
        <v>0.30547066382133869</v>
      </c>
      <c r="Y287" s="92">
        <v>0.50551267932403188</v>
      </c>
      <c r="Z287" s="20">
        <v>-7.6838103815064951</v>
      </c>
      <c r="AA287" s="10">
        <v>-41.365149847332894</v>
      </c>
      <c r="AB287" s="17">
        <v>3.6935220484747373</v>
      </c>
      <c r="AC287" s="18">
        <v>0.89527309644608388</v>
      </c>
      <c r="AD287" s="21">
        <v>0.22449961791823669</v>
      </c>
      <c r="AE287" s="21">
        <v>3.3123208496939736</v>
      </c>
      <c r="AF287" s="21">
        <v>2.4627007146165881E-2</v>
      </c>
      <c r="AG287" s="21"/>
      <c r="AH287" s="21">
        <v>5.4438466612878162</v>
      </c>
    </row>
    <row r="288" spans="1:34">
      <c r="A288" s="13" t="s">
        <v>73</v>
      </c>
      <c r="B288" s="13" t="s">
        <v>74</v>
      </c>
      <c r="C288" s="13">
        <v>143</v>
      </c>
      <c r="E288" s="14">
        <v>45601</v>
      </c>
      <c r="H288" s="16">
        <v>17.7</v>
      </c>
      <c r="I288" s="16">
        <v>6.49</v>
      </c>
      <c r="J288" s="16">
        <v>41.87</v>
      </c>
      <c r="P288" s="18">
        <v>1.4984311E-2</v>
      </c>
      <c r="Q288" s="18">
        <v>2.0907939870000001</v>
      </c>
      <c r="R288" s="21" t="s">
        <v>50</v>
      </c>
      <c r="S288" s="21">
        <v>1.636158518</v>
      </c>
      <c r="T288" s="21">
        <v>4.3280240409999999</v>
      </c>
      <c r="U288" s="21">
        <v>5.5007527000000001E-2</v>
      </c>
      <c r="V288" s="21">
        <v>2.0986075E-2</v>
      </c>
      <c r="W288" s="18">
        <v>0.19286639664540059</v>
      </c>
      <c r="Y288" s="92">
        <v>0.4167092040982599</v>
      </c>
      <c r="Z288" s="20">
        <v>-7.7622178659014054</v>
      </c>
      <c r="AA288" s="10">
        <v>-41.894568192873322</v>
      </c>
      <c r="AB288" s="17">
        <v>3.0889805104923105</v>
      </c>
      <c r="AC288" s="18">
        <v>0.98950248099008042</v>
      </c>
      <c r="AD288" s="21">
        <v>0.20086791087170944</v>
      </c>
      <c r="AE288" s="21">
        <v>3.4395599948220665</v>
      </c>
      <c r="AF288" s="21">
        <v>2.5022237625583789E-2</v>
      </c>
      <c r="AG288" s="21"/>
      <c r="AH288" s="21">
        <v>5.1872629416375577</v>
      </c>
    </row>
    <row r="289" spans="1:34">
      <c r="A289" s="13" t="s">
        <v>71</v>
      </c>
      <c r="B289" s="13" t="s">
        <v>72</v>
      </c>
      <c r="C289" s="13">
        <v>144</v>
      </c>
      <c r="E289" s="14">
        <v>45608</v>
      </c>
      <c r="H289" s="16">
        <v>21.8</v>
      </c>
      <c r="I289" s="16">
        <v>7.09</v>
      </c>
      <c r="J289" s="16">
        <v>36.630000000000003</v>
      </c>
      <c r="P289" s="18">
        <v>5.0299999999999997E-2</v>
      </c>
      <c r="Q289" s="18">
        <v>2.135323751</v>
      </c>
      <c r="R289" s="21" t="s">
        <v>50</v>
      </c>
      <c r="S289" s="21">
        <v>2.839204686</v>
      </c>
      <c r="T289" s="21">
        <v>2.966699218</v>
      </c>
      <c r="U289" s="21">
        <v>9.0219901000000005E-2</v>
      </c>
      <c r="V289" s="21" t="s">
        <v>50</v>
      </c>
      <c r="W289" s="18">
        <v>0.28107345683453949</v>
      </c>
      <c r="Y289" s="92">
        <v>0.66633756086646012</v>
      </c>
      <c r="Z289" s="20">
        <v>-7.9849140339833387</v>
      </c>
      <c r="AA289" s="10">
        <v>-45.491129587744275</v>
      </c>
      <c r="AB289" s="17">
        <v>2.555170809592481</v>
      </c>
      <c r="AC289" s="18">
        <v>0.74956433423410873</v>
      </c>
      <c r="AD289" s="21">
        <v>0.22831998073253301</v>
      </c>
      <c r="AE289" s="21">
        <v>2.8597107331335021</v>
      </c>
      <c r="AF289" s="21">
        <v>2.3667668289435596E-2</v>
      </c>
      <c r="AG289" s="21"/>
      <c r="AH289" s="21">
        <v>4.0493918875277632</v>
      </c>
    </row>
    <row r="290" spans="1:34">
      <c r="A290" s="13" t="s">
        <v>73</v>
      </c>
      <c r="B290" s="13" t="s">
        <v>74</v>
      </c>
      <c r="C290" s="13">
        <v>144</v>
      </c>
      <c r="E290" s="14">
        <v>45608</v>
      </c>
      <c r="H290" s="16">
        <v>21.6</v>
      </c>
      <c r="I290" s="16">
        <v>6.21</v>
      </c>
      <c r="J290" s="16">
        <v>38.07</v>
      </c>
      <c r="P290" s="18">
        <v>3.7400000000000003E-2</v>
      </c>
      <c r="Q290" s="18">
        <v>2.2216134300000001</v>
      </c>
      <c r="R290" s="21" t="s">
        <v>50</v>
      </c>
      <c r="S290" s="21">
        <v>2.4508396870000002</v>
      </c>
      <c r="T290" s="21">
        <v>2.670200806</v>
      </c>
      <c r="U290" s="21">
        <v>6.1851483999999998E-2</v>
      </c>
      <c r="V290" s="21" t="s">
        <v>50</v>
      </c>
      <c r="W290" s="18">
        <v>0.15993382141675563</v>
      </c>
      <c r="Y290" s="92">
        <v>0.5563470975006074</v>
      </c>
      <c r="Z290" s="20">
        <v>-8.2044579839915333</v>
      </c>
      <c r="AA290" s="10">
        <v>-47.32097956783295</v>
      </c>
      <c r="AB290" s="17">
        <v>2.5678442669287902</v>
      </c>
      <c r="AC290" s="18">
        <v>0.84326439906644579</v>
      </c>
      <c r="AD290" s="21">
        <v>0.21424847974487654</v>
      </c>
      <c r="AE290" s="21">
        <v>3.0712834672163889</v>
      </c>
      <c r="AF290" s="21">
        <v>2.6493106401785746E-2</v>
      </c>
      <c r="AG290" s="21"/>
      <c r="AH290" s="21">
        <v>3.8950037422645667</v>
      </c>
    </row>
    <row r="291" spans="1:34">
      <c r="A291" s="13" t="s">
        <v>71</v>
      </c>
      <c r="B291" s="13" t="s">
        <v>72</v>
      </c>
      <c r="C291" s="13">
        <v>145</v>
      </c>
      <c r="E291" s="14">
        <v>45615</v>
      </c>
      <c r="H291" s="16">
        <v>23.1</v>
      </c>
      <c r="I291" s="16">
        <v>6.83</v>
      </c>
      <c r="J291" s="16">
        <v>43.05</v>
      </c>
      <c r="P291" s="18">
        <v>3.6600000000000001E-2</v>
      </c>
      <c r="Q291" s="18">
        <v>2.2149004350000001</v>
      </c>
      <c r="R291" s="21" t="s">
        <v>50</v>
      </c>
      <c r="S291" s="21">
        <v>2.441232453</v>
      </c>
      <c r="T291" s="21">
        <v>3.4802625840000001</v>
      </c>
      <c r="U291" s="21">
        <v>9.4494594000000001E-2</v>
      </c>
      <c r="V291" s="21" t="s">
        <v>50</v>
      </c>
      <c r="W291" s="18">
        <v>0.19924340514329805</v>
      </c>
      <c r="Y291" s="92">
        <v>0.59727870771594271</v>
      </c>
      <c r="Z291" s="20">
        <v>-7.5050289905008558</v>
      </c>
      <c r="AA291" s="10">
        <v>-40.46759604106105</v>
      </c>
      <c r="AB291" s="17">
        <v>2.9123657042108992</v>
      </c>
      <c r="AC291" s="18">
        <v>0.85315158526678825</v>
      </c>
      <c r="AD291" s="21">
        <v>0.21628789058273762</v>
      </c>
      <c r="AE291" s="21">
        <v>3.2066587678784146</v>
      </c>
      <c r="AF291" s="21">
        <v>2.5322392437326299E-2</v>
      </c>
      <c r="AG291" s="21"/>
      <c r="AH291" s="21">
        <v>4.8099340763226257</v>
      </c>
    </row>
    <row r="292" spans="1:34">
      <c r="A292" s="13" t="s">
        <v>73</v>
      </c>
      <c r="B292" s="13" t="s">
        <v>74</v>
      </c>
      <c r="C292" s="13">
        <v>145</v>
      </c>
      <c r="E292" s="14">
        <v>45615</v>
      </c>
      <c r="H292" s="16">
        <v>23.1</v>
      </c>
      <c r="I292" s="16">
        <v>6.38</v>
      </c>
      <c r="J292" s="16">
        <v>44.55</v>
      </c>
      <c r="P292" s="18">
        <v>4.4499999999999998E-2</v>
      </c>
      <c r="Q292" s="18">
        <v>2.1959522260000002</v>
      </c>
      <c r="R292" s="21" t="s">
        <v>50</v>
      </c>
      <c r="S292" s="21">
        <v>2.2339832099999999</v>
      </c>
      <c r="T292" s="21">
        <v>3.792294284</v>
      </c>
      <c r="U292" s="21">
        <v>9.7603462000000002E-2</v>
      </c>
      <c r="V292" s="21" t="s">
        <v>50</v>
      </c>
      <c r="W292" s="18">
        <v>0.16906600735543795</v>
      </c>
      <c r="Y292" s="92">
        <v>0.52046213619385762</v>
      </c>
      <c r="Z292" s="20">
        <v>-7.6281118979070257</v>
      </c>
      <c r="AA292" s="10">
        <v>-42.034328101424933</v>
      </c>
      <c r="AB292" s="17">
        <v>2.9656810787349066</v>
      </c>
      <c r="AC292" s="18">
        <v>0.98068611802657979</v>
      </c>
      <c r="AD292" s="21">
        <v>0.20011046364019489</v>
      </c>
      <c r="AE292" s="21">
        <v>3.5600651911481367</v>
      </c>
      <c r="AF292" s="21">
        <v>2.8132629619673406E-2</v>
      </c>
      <c r="AG292" s="21"/>
      <c r="AH292" s="21">
        <v>4.6195503947492975</v>
      </c>
    </row>
    <row r="293" spans="1:34">
      <c r="A293" s="13" t="s">
        <v>71</v>
      </c>
      <c r="B293" s="13" t="s">
        <v>72</v>
      </c>
      <c r="C293" s="13">
        <v>146</v>
      </c>
      <c r="E293" s="14">
        <v>45622</v>
      </c>
      <c r="H293" s="16">
        <v>18.7</v>
      </c>
      <c r="I293" s="16">
        <v>7.05</v>
      </c>
      <c r="J293" s="16">
        <v>41.92</v>
      </c>
      <c r="P293" s="18">
        <v>1.0370176E-2</v>
      </c>
      <c r="Q293" s="18">
        <v>2.0014020069999998</v>
      </c>
      <c r="R293" s="21" t="s">
        <v>50</v>
      </c>
      <c r="S293" s="21">
        <v>1.9872429110000001</v>
      </c>
      <c r="T293" s="21">
        <v>3.2315307619999998</v>
      </c>
      <c r="U293" s="21">
        <v>0.106655342</v>
      </c>
      <c r="V293" s="21">
        <v>2.5550874000000001E-2</v>
      </c>
      <c r="W293" s="18">
        <v>0.17599208177640158</v>
      </c>
      <c r="Y293" s="92">
        <v>0.51065570496305357</v>
      </c>
      <c r="Z293" s="20">
        <v>-7.6837757970429621</v>
      </c>
      <c r="AA293" s="10">
        <v>-41.782843483742582</v>
      </c>
      <c r="AB293" s="17">
        <v>3.0517227732923184</v>
      </c>
      <c r="AC293" s="18">
        <v>0.89017615234400738</v>
      </c>
      <c r="AD293" s="21">
        <v>0.21305966092022258</v>
      </c>
      <c r="AE293" s="21">
        <v>3.385530977154672</v>
      </c>
      <c r="AF293" s="21">
        <v>2.5939124363371872E-2</v>
      </c>
      <c r="AG293" s="21"/>
      <c r="AH293" s="21">
        <v>5.1173403292043984</v>
      </c>
    </row>
    <row r="294" spans="1:34">
      <c r="A294" s="13" t="s">
        <v>73</v>
      </c>
      <c r="B294" s="13" t="s">
        <v>74</v>
      </c>
      <c r="C294" s="13">
        <v>146</v>
      </c>
      <c r="E294" s="14">
        <v>45622</v>
      </c>
      <c r="H294" s="16">
        <v>18.899999999999999</v>
      </c>
      <c r="I294" s="16">
        <v>6.46</v>
      </c>
      <c r="J294" s="16">
        <v>42.21</v>
      </c>
      <c r="P294" s="18">
        <v>3.2576031999999998E-2</v>
      </c>
      <c r="Q294" s="18">
        <v>2.0944750380000001</v>
      </c>
      <c r="R294" s="21" t="s">
        <v>50</v>
      </c>
      <c r="S294" s="21">
        <v>1.8903019569999999</v>
      </c>
      <c r="T294" s="21">
        <v>3.8847450569999999</v>
      </c>
      <c r="U294" s="21">
        <v>6.7332574000000006E-2</v>
      </c>
      <c r="V294" s="21">
        <v>2.3594530999999998E-2</v>
      </c>
      <c r="W294" s="18">
        <v>0.15104236412978692</v>
      </c>
      <c r="Y294" s="92">
        <v>0.59754358182240852</v>
      </c>
      <c r="Z294" s="20">
        <v>-7.7086689693273573</v>
      </c>
      <c r="AA294" s="10">
        <v>-42.261519647195101</v>
      </c>
      <c r="AB294" s="17">
        <v>2.9936040102225716</v>
      </c>
      <c r="AC294" s="18">
        <v>0.931087260833521</v>
      </c>
      <c r="AD294" s="21">
        <v>0.21757488051286608</v>
      </c>
      <c r="AE294" s="21">
        <v>3.4333366411280783</v>
      </c>
      <c r="AF294" s="21">
        <v>2.7289670906275116E-2</v>
      </c>
      <c r="AG294" s="21"/>
      <c r="AH294" s="21">
        <v>4.9260178581810248</v>
      </c>
    </row>
    <row r="295" spans="1:34">
      <c r="A295" s="13" t="s">
        <v>71</v>
      </c>
      <c r="B295" s="13" t="s">
        <v>72</v>
      </c>
      <c r="C295" s="13">
        <v>147</v>
      </c>
      <c r="E295" s="14">
        <v>45629</v>
      </c>
      <c r="H295" s="16">
        <v>15</v>
      </c>
      <c r="I295" s="16">
        <v>6.43</v>
      </c>
      <c r="J295" s="16">
        <v>70.3</v>
      </c>
      <c r="W295" s="18">
        <v>0.14894461066884074</v>
      </c>
      <c r="Y295" s="92">
        <v>0.60408455979429398</v>
      </c>
      <c r="Z295" s="20">
        <v>-7.581091461369839</v>
      </c>
      <c r="AA295" s="10">
        <v>-41.294929109844595</v>
      </c>
      <c r="AB295" s="17">
        <v>3.4450223643601374</v>
      </c>
      <c r="AC295" s="18">
        <v>1.009045798013164</v>
      </c>
      <c r="AD295" s="21">
        <v>0.19986503335966216</v>
      </c>
      <c r="AE295" s="21">
        <v>3.7370258918346981</v>
      </c>
      <c r="AF295" s="21">
        <v>2.7415718515513575E-2</v>
      </c>
      <c r="AG295" s="21"/>
      <c r="AH295" s="21">
        <v>5.4436307537353148</v>
      </c>
    </row>
    <row r="296" spans="1:34">
      <c r="A296" s="13" t="s">
        <v>73</v>
      </c>
      <c r="B296" s="13" t="s">
        <v>74</v>
      </c>
      <c r="C296" s="13">
        <v>147</v>
      </c>
      <c r="E296" s="14">
        <v>45629</v>
      </c>
      <c r="H296" s="16">
        <v>16.600000000000001</v>
      </c>
      <c r="I296" s="16">
        <v>6.56</v>
      </c>
      <c r="J296" s="16">
        <v>46.37</v>
      </c>
      <c r="W296" s="18">
        <v>0.24346315693768247</v>
      </c>
      <c r="Y296" s="92">
        <v>0.49392430565370399</v>
      </c>
      <c r="Z296" s="20">
        <v>-7.5807457228658883</v>
      </c>
      <c r="AA296" s="10">
        <v>-40.816937258276937</v>
      </c>
      <c r="AB296" s="17">
        <v>3.3191604010640856</v>
      </c>
      <c r="AC296" s="18">
        <v>1.0914675670506984</v>
      </c>
      <c r="AD296" s="21">
        <v>0.19202190470329492</v>
      </c>
      <c r="AE296" s="21">
        <v>3.9023782148525741</v>
      </c>
      <c r="AF296" s="21">
        <v>2.9414621339233307E-2</v>
      </c>
      <c r="AG296" s="21"/>
      <c r="AH296" s="21">
        <v>5.1489275357449644</v>
      </c>
    </row>
    <row r="297" spans="1:34" ht="16.2">
      <c r="A297" s="13" t="s">
        <v>71</v>
      </c>
      <c r="B297" s="13" t="s">
        <v>180</v>
      </c>
      <c r="C297" s="13">
        <v>148</v>
      </c>
      <c r="E297" s="14">
        <v>45636</v>
      </c>
      <c r="H297" s="16">
        <v>16.899999999999999</v>
      </c>
      <c r="I297" s="16">
        <v>6.92</v>
      </c>
      <c r="J297" s="16">
        <v>49.67</v>
      </c>
      <c r="P297" s="18" t="s">
        <v>50</v>
      </c>
      <c r="Q297" s="18">
        <v>2.042779908</v>
      </c>
      <c r="R297" s="21" t="s">
        <v>50</v>
      </c>
      <c r="S297" s="21">
        <v>2.0708530760000001</v>
      </c>
      <c r="T297" s="21">
        <v>4.1828153889999999</v>
      </c>
      <c r="U297" s="21">
        <v>0.157129343</v>
      </c>
      <c r="V297" s="21">
        <v>2.2942417E-2</v>
      </c>
      <c r="W297" s="18">
        <v>0.1800400433555491</v>
      </c>
      <c r="Y297" s="92">
        <v>0.67166375092380393</v>
      </c>
      <c r="Z297" s="20">
        <v>-7.3542870027786931</v>
      </c>
      <c r="AA297" s="10">
        <v>-38.694201791472501</v>
      </c>
      <c r="AB297" s="17">
        <v>3.3405504568420734</v>
      </c>
      <c r="AC297" s="18">
        <v>1.0559959755593498</v>
      </c>
      <c r="AD297" s="21">
        <v>0.2007763910058884</v>
      </c>
      <c r="AE297" s="21">
        <v>3.8597106035059592</v>
      </c>
      <c r="AF297" s="21">
        <v>2.8329668124611837E-2</v>
      </c>
      <c r="AG297" s="21"/>
      <c r="AH297" s="21">
        <v>5.2498272194258107</v>
      </c>
    </row>
    <row r="298" spans="1:34" ht="16.2">
      <c r="A298" s="13" t="s">
        <v>73</v>
      </c>
      <c r="B298" s="13" t="s">
        <v>181</v>
      </c>
      <c r="C298" s="13">
        <v>148</v>
      </c>
      <c r="E298" s="14">
        <v>45636</v>
      </c>
      <c r="H298" s="16">
        <v>17.2</v>
      </c>
      <c r="I298" s="16">
        <v>6.58</v>
      </c>
      <c r="J298" s="16">
        <v>54.18</v>
      </c>
      <c r="P298" s="18">
        <v>4.4235849999999998E-3</v>
      </c>
      <c r="Q298" s="18">
        <v>1.990286738</v>
      </c>
      <c r="R298" s="21" t="s">
        <v>50</v>
      </c>
      <c r="S298" s="21">
        <v>1.999678842</v>
      </c>
      <c r="T298" s="21">
        <v>5.1181834300000002</v>
      </c>
      <c r="U298" s="21">
        <v>0.30525844800000002</v>
      </c>
      <c r="V298" s="21">
        <v>2.1638188999999999E-2</v>
      </c>
      <c r="W298" s="18">
        <v>0.14917410573842416</v>
      </c>
      <c r="Y298" s="92">
        <v>0.56929270162733936</v>
      </c>
      <c r="Z298" s="20">
        <v>-7.3712281894722391</v>
      </c>
      <c r="AA298" s="10">
        <v>-38.503620931541789</v>
      </c>
      <c r="AB298" s="17">
        <v>3.3852821706552865</v>
      </c>
      <c r="AC298" s="18">
        <v>1.1810578892726766</v>
      </c>
      <c r="AD298" s="21">
        <v>0.1721457084546491</v>
      </c>
      <c r="AE298" s="21">
        <v>4.3014399977024969</v>
      </c>
      <c r="AF298" s="21">
        <v>3.0787138695370343E-2</v>
      </c>
      <c r="AG298" s="21"/>
      <c r="AH298" s="21">
        <v>5.013044168755675</v>
      </c>
    </row>
    <row r="299" spans="1:34" ht="16.2">
      <c r="A299" s="13" t="s">
        <v>182</v>
      </c>
      <c r="B299" s="13" t="s">
        <v>180</v>
      </c>
      <c r="C299" s="13">
        <v>149</v>
      </c>
      <c r="E299" s="14">
        <v>45643</v>
      </c>
      <c r="H299" s="86">
        <v>18.7</v>
      </c>
      <c r="I299" s="86">
        <v>7.13</v>
      </c>
      <c r="J299" s="86">
        <v>50.48</v>
      </c>
      <c r="P299" s="18" t="s">
        <v>50</v>
      </c>
      <c r="Q299" s="18">
        <v>1.1872997009999999</v>
      </c>
      <c r="R299" s="21" t="s">
        <v>50</v>
      </c>
      <c r="S299" s="21">
        <v>1.1838647760000001</v>
      </c>
      <c r="T299" s="21">
        <v>2.7181189730000002</v>
      </c>
      <c r="U299" s="21">
        <v>5.2031394000000002E-2</v>
      </c>
      <c r="V299" s="21">
        <v>2.5838593999999999E-2</v>
      </c>
      <c r="W299" s="18">
        <v>0.15841251922270891</v>
      </c>
      <c r="Y299" s="92">
        <v>0.54061998809763512</v>
      </c>
      <c r="Z299" s="20">
        <v>-7.3546327412826438</v>
      </c>
      <c r="AA299" s="10">
        <v>-39.080838006412698</v>
      </c>
      <c r="AB299" s="17">
        <v>3.317759406026227</v>
      </c>
      <c r="AC299" s="18">
        <v>1.113033762066725</v>
      </c>
      <c r="AD299" s="21">
        <v>0.16645506066714755</v>
      </c>
      <c r="AE299" s="21">
        <v>4.0700494190652439</v>
      </c>
      <c r="AF299" s="21">
        <v>2.9183640064911451E-2</v>
      </c>
      <c r="AG299" s="21"/>
      <c r="AH299" s="21">
        <v>5.2868635174618666</v>
      </c>
    </row>
    <row r="300" spans="1:34" ht="16.2">
      <c r="A300" s="13" t="s">
        <v>183</v>
      </c>
      <c r="B300" s="13" t="s">
        <v>181</v>
      </c>
      <c r="C300" s="13">
        <v>149</v>
      </c>
      <c r="E300" s="14">
        <v>45643</v>
      </c>
      <c r="H300" s="86">
        <v>18.100000000000001</v>
      </c>
      <c r="I300" s="86">
        <v>6.41</v>
      </c>
      <c r="J300" s="86">
        <v>53.34</v>
      </c>
      <c r="P300" s="18">
        <v>9.8235809999999996E-3</v>
      </c>
      <c r="Q300" s="18">
        <v>2.2264453949999998</v>
      </c>
      <c r="R300" s="21" t="s">
        <v>50</v>
      </c>
      <c r="S300" s="21">
        <v>1.8539037920000001</v>
      </c>
      <c r="T300" s="21">
        <v>5.6099109140000003</v>
      </c>
      <c r="U300" s="21">
        <v>9.0743305999999996E-2</v>
      </c>
      <c r="V300" s="21">
        <v>1.8062545999999999E-2</v>
      </c>
      <c r="W300" s="18">
        <v>0.13837169357271992</v>
      </c>
      <c r="Y300" s="92">
        <v>0.62153637407136952</v>
      </c>
      <c r="Z300" s="20">
        <v>-7.4082222093948795</v>
      </c>
      <c r="AA300" s="10">
        <v>-39.297422717967699</v>
      </c>
      <c r="AB300" s="17">
        <v>3.3486851581281205</v>
      </c>
      <c r="AC300" s="18">
        <v>1.2146018376583336</v>
      </c>
      <c r="AD300" s="21">
        <v>0.15180886880261471</v>
      </c>
      <c r="AE300" s="21">
        <v>4.311209519594005</v>
      </c>
      <c r="AF300" s="21">
        <v>3.1136653590355882E-2</v>
      </c>
      <c r="AG300" s="21"/>
      <c r="AH300" s="21">
        <v>5.0548025672615742</v>
      </c>
    </row>
    <row r="301" spans="1:34" ht="16.2">
      <c r="A301" s="13" t="s">
        <v>182</v>
      </c>
      <c r="B301" s="13" t="s">
        <v>180</v>
      </c>
      <c r="C301" s="13">
        <v>150</v>
      </c>
      <c r="E301" s="14">
        <v>45650</v>
      </c>
      <c r="H301" s="16">
        <v>14.9</v>
      </c>
      <c r="I301" s="16">
        <v>7.08</v>
      </c>
      <c r="J301" s="16">
        <v>45.76</v>
      </c>
      <c r="P301" s="18">
        <v>1.767198E-2</v>
      </c>
      <c r="Q301" s="18">
        <v>2.2144868419999999</v>
      </c>
      <c r="R301" s="21" t="s">
        <v>50</v>
      </c>
      <c r="S301" s="21">
        <v>2.8014468259999998</v>
      </c>
      <c r="T301" s="21">
        <v>4.0626966270000002</v>
      </c>
      <c r="U301" s="21">
        <v>9.9295937000000001E-2</v>
      </c>
      <c r="V301" s="21">
        <v>1.6648718999999999E-2</v>
      </c>
      <c r="W301" s="18">
        <v>0.36021592830212557</v>
      </c>
      <c r="Y301" s="92">
        <v>0.86372460265792039</v>
      </c>
      <c r="Z301" s="20">
        <v>-6.9559962462283922</v>
      </c>
      <c r="AA301" s="10">
        <v>-33.642269301568</v>
      </c>
      <c r="AB301" s="17">
        <v>3.0337477206666525</v>
      </c>
      <c r="AC301" s="18">
        <v>0.96634149924845658</v>
      </c>
      <c r="AD301" s="21">
        <v>0.19443853857268178</v>
      </c>
      <c r="AE301" s="21">
        <v>3.6727220325681103</v>
      </c>
      <c r="AF301" s="21">
        <v>2.6949278257724644E-2</v>
      </c>
      <c r="AG301" s="21"/>
      <c r="AH301" s="21">
        <v>4.6265296531440923</v>
      </c>
    </row>
    <row r="302" spans="1:34" ht="16.2">
      <c r="A302" s="13" t="s">
        <v>183</v>
      </c>
      <c r="B302" s="13" t="s">
        <v>181</v>
      </c>
      <c r="C302" s="13">
        <v>150</v>
      </c>
      <c r="E302" s="14">
        <v>45650</v>
      </c>
      <c r="H302" s="16">
        <v>15.7</v>
      </c>
      <c r="I302" s="16">
        <v>6.61</v>
      </c>
      <c r="J302" s="16">
        <v>43.61</v>
      </c>
      <c r="P302" s="18">
        <v>1.9738030000000001E-3</v>
      </c>
      <c r="Q302" s="18">
        <v>2.0078916389999999</v>
      </c>
      <c r="R302" s="21" t="s">
        <v>50</v>
      </c>
      <c r="S302" s="21">
        <v>2.452703128</v>
      </c>
      <c r="T302" s="21">
        <v>3.8941764989999998</v>
      </c>
      <c r="U302" s="21">
        <v>5.4282087E-2</v>
      </c>
      <c r="V302" s="21">
        <v>2.0890200000000001E-2</v>
      </c>
      <c r="W302" s="18">
        <v>0.31698065820610866</v>
      </c>
      <c r="Y302" s="92">
        <v>0.76278528448509253</v>
      </c>
      <c r="Z302" s="20">
        <v>-7.0410479182000705</v>
      </c>
      <c r="AA302" s="10">
        <v>-35.128252559519588</v>
      </c>
      <c r="AB302" s="17">
        <v>3.039725017291782</v>
      </c>
      <c r="AC302" s="18">
        <v>1.2098871608451276</v>
      </c>
      <c r="AD302" s="21">
        <v>0.21589397411417052</v>
      </c>
      <c r="AE302" s="21">
        <v>4.3839080430023234</v>
      </c>
      <c r="AF302" s="21">
        <v>3.1146540576142349E-2</v>
      </c>
      <c r="AG302" s="21"/>
      <c r="AH302" s="21">
        <v>4.3863216945084185</v>
      </c>
    </row>
    <row r="303" spans="1:34" ht="16.2">
      <c r="A303" s="13" t="s">
        <v>162</v>
      </c>
      <c r="B303" s="13" t="s">
        <v>180</v>
      </c>
      <c r="C303" s="13">
        <v>151</v>
      </c>
      <c r="E303" s="14">
        <v>45657</v>
      </c>
      <c r="H303" s="16">
        <v>12.9</v>
      </c>
      <c r="I303" s="16">
        <v>7.13</v>
      </c>
      <c r="J303" s="16">
        <v>54.36</v>
      </c>
      <c r="W303" s="18">
        <v>0.30701636149573652</v>
      </c>
      <c r="Y303" s="92">
        <v>0.67267459299999999</v>
      </c>
      <c r="Z303" s="20">
        <v>-7.3878236376618354</v>
      </c>
      <c r="AA303" s="10">
        <v>-38.916260998106296</v>
      </c>
      <c r="AB303" s="17">
        <v>3.3223107259797704</v>
      </c>
      <c r="AC303" s="18">
        <v>1.0785689233588083</v>
      </c>
      <c r="AD303" s="21">
        <v>0.20488291410026055</v>
      </c>
      <c r="AE303" s="21">
        <v>3.9262494209801004</v>
      </c>
      <c r="AF303" s="21">
        <v>2.8934041028742152E-2</v>
      </c>
      <c r="AG303" s="21"/>
      <c r="AH303" s="21">
        <v>5.2808344972415897</v>
      </c>
    </row>
    <row r="304" spans="1:34" ht="16.2">
      <c r="A304" s="13" t="s">
        <v>161</v>
      </c>
      <c r="B304" s="13" t="s">
        <v>181</v>
      </c>
      <c r="C304" s="13">
        <v>151</v>
      </c>
      <c r="E304" s="14">
        <v>45657</v>
      </c>
      <c r="H304" s="16">
        <v>11.9</v>
      </c>
      <c r="I304" s="16">
        <v>6.89</v>
      </c>
      <c r="J304" s="16">
        <v>51.03</v>
      </c>
      <c r="W304" s="18">
        <v>0.21694852360700947</v>
      </c>
      <c r="Y304" s="92">
        <v>0.56513010799999996</v>
      </c>
      <c r="Z304" s="20">
        <v>-7.4528224764044193</v>
      </c>
      <c r="AA304" s="10">
        <v>-39.197171026837182</v>
      </c>
      <c r="AB304" s="17">
        <v>3.3950521541927978</v>
      </c>
      <c r="AC304" s="18">
        <v>1.1734666778378013</v>
      </c>
      <c r="AD304" s="21">
        <v>0.17766745510725596</v>
      </c>
      <c r="AE304" s="21">
        <v>4.2668465105096036</v>
      </c>
      <c r="AF304" s="21">
        <v>3.0484670222413818E-2</v>
      </c>
      <c r="AG304" s="21"/>
      <c r="AH304" s="21">
        <v>5.0282064863603715</v>
      </c>
    </row>
    <row r="305" spans="1:34" ht="16.2">
      <c r="A305" s="13" t="s">
        <v>162</v>
      </c>
      <c r="B305" s="13" t="s">
        <v>180</v>
      </c>
      <c r="C305" s="13">
        <v>152</v>
      </c>
      <c r="E305" s="14">
        <v>45664</v>
      </c>
      <c r="H305" s="86">
        <v>15.9</v>
      </c>
      <c r="I305" s="86">
        <v>6.94</v>
      </c>
      <c r="J305" s="86">
        <v>62.9</v>
      </c>
      <c r="P305" s="18">
        <v>5.6410763000000003E-2</v>
      </c>
      <c r="Q305" s="18">
        <v>2.3316664180000002</v>
      </c>
      <c r="R305" s="21" t="s">
        <v>50</v>
      </c>
      <c r="S305" s="21">
        <v>2.1786953389999999</v>
      </c>
      <c r="T305" s="21">
        <v>4.9329600779999998</v>
      </c>
      <c r="U305" s="21">
        <v>0.158264081</v>
      </c>
      <c r="V305" s="21">
        <v>1.9476373000000002E-2</v>
      </c>
      <c r="W305" s="18">
        <v>0.29603004029024022</v>
      </c>
      <c r="Y305" s="92"/>
      <c r="Z305" s="20">
        <v>-7.2267094948211748</v>
      </c>
      <c r="AA305" s="10">
        <v>-38.270954890692821</v>
      </c>
      <c r="AB305" s="17">
        <v>3.4168434693211034</v>
      </c>
      <c r="AC305" s="18">
        <v>1.1354191428758271</v>
      </c>
      <c r="AD305" s="21">
        <v>0.20357667673799792</v>
      </c>
      <c r="AE305" s="21">
        <v>4.2167952405294127</v>
      </c>
      <c r="AF305" s="21">
        <v>2.9408301431380443E-2</v>
      </c>
      <c r="AG305" s="21"/>
      <c r="AH305" s="21">
        <v>5.3486362093575508</v>
      </c>
    </row>
    <row r="306" spans="1:34" ht="16.2">
      <c r="A306" s="13" t="s">
        <v>161</v>
      </c>
      <c r="B306" s="13" t="s">
        <v>181</v>
      </c>
      <c r="C306" s="13">
        <v>152</v>
      </c>
      <c r="E306" s="14">
        <v>45664</v>
      </c>
      <c r="H306" s="86">
        <v>15.6</v>
      </c>
      <c r="I306" s="86">
        <v>6.33</v>
      </c>
      <c r="J306" s="86">
        <v>53.52</v>
      </c>
      <c r="P306" s="18">
        <v>1.9784775000000001E-2</v>
      </c>
      <c r="Q306" s="18">
        <v>2.2724031870000001</v>
      </c>
      <c r="R306" s="21" t="s">
        <v>50</v>
      </c>
      <c r="S306" s="21">
        <v>1.8519950119999999</v>
      </c>
      <c r="T306" s="21">
        <v>5.7105496389999999</v>
      </c>
      <c r="U306" s="21">
        <v>8.6692059000000002E-2</v>
      </c>
      <c r="V306" s="21">
        <v>2.6545507999999999E-2</v>
      </c>
      <c r="W306" s="18">
        <v>0.19599896085159704</v>
      </c>
      <c r="Y306" s="92"/>
      <c r="Z306" s="20">
        <v>-7.2094225696236789</v>
      </c>
      <c r="AA306" s="10">
        <v>-37.980806651516453</v>
      </c>
      <c r="AB306" s="17">
        <v>3.4483481265101705</v>
      </c>
      <c r="AC306" s="18">
        <v>1.2545714013667315</v>
      </c>
      <c r="AD306" s="21">
        <v>0.19736712085405853</v>
      </c>
      <c r="AE306" s="21">
        <v>4.4870577607279509</v>
      </c>
      <c r="AF306" s="21">
        <v>3.145630718306993E-2</v>
      </c>
      <c r="AG306" s="21"/>
      <c r="AH306" s="21">
        <v>5.0718375832660572</v>
      </c>
    </row>
    <row r="307" spans="1:34" ht="16.2">
      <c r="A307" s="13" t="s">
        <v>162</v>
      </c>
      <c r="B307" s="13" t="s">
        <v>180</v>
      </c>
      <c r="C307" s="13">
        <v>153</v>
      </c>
      <c r="E307" s="14">
        <v>45671</v>
      </c>
      <c r="H307" s="16">
        <v>14.3</v>
      </c>
      <c r="I307" s="16">
        <v>6.67</v>
      </c>
      <c r="J307" s="16">
        <v>51.89</v>
      </c>
      <c r="W307" s="18">
        <v>0.218816605207348</v>
      </c>
      <c r="Y307" s="92">
        <v>0.67250396686311187</v>
      </c>
      <c r="Z307" s="20">
        <v>-7.2640492532477658</v>
      </c>
      <c r="AA307" s="10">
        <v>-37.889793170831418</v>
      </c>
      <c r="AB307" s="17">
        <v>3.3933849644994258</v>
      </c>
      <c r="AC307" s="18">
        <v>1.168625926017403</v>
      </c>
      <c r="AD307" s="21">
        <v>0.18495415311103355</v>
      </c>
      <c r="AE307" s="21">
        <v>4.3147627521418253</v>
      </c>
      <c r="AF307" s="21">
        <v>3.0307237975663742E-2</v>
      </c>
      <c r="AG307" s="21"/>
      <c r="AH307" s="21">
        <v>5.3538480704155642</v>
      </c>
    </row>
    <row r="308" spans="1:34" ht="16.2">
      <c r="A308" s="13" t="s">
        <v>161</v>
      </c>
      <c r="B308" s="13" t="s">
        <v>181</v>
      </c>
      <c r="C308" s="13">
        <v>153</v>
      </c>
      <c r="E308" s="14">
        <v>45671</v>
      </c>
      <c r="H308" s="16">
        <v>13.7</v>
      </c>
      <c r="I308" s="16">
        <v>6.36</v>
      </c>
      <c r="J308" s="16">
        <v>54.52</v>
      </c>
      <c r="W308" s="18">
        <v>0.17976166154387618</v>
      </c>
      <c r="Y308" s="92">
        <v>0.55590335975346628</v>
      </c>
      <c r="Z308" s="20">
        <v>-7.3006975346664573</v>
      </c>
      <c r="AA308" s="10">
        <v>-37.960277294970957</v>
      </c>
      <c r="AB308" s="17">
        <v>3.4929121999679928</v>
      </c>
      <c r="AC308" s="18">
        <v>1.2800063522205889</v>
      </c>
      <c r="AD308" s="21">
        <v>0.16752168106010915</v>
      </c>
      <c r="AE308" s="21">
        <v>4.5688481973978945</v>
      </c>
      <c r="AF308" s="21">
        <v>3.2175797358223401E-2</v>
      </c>
      <c r="AG308" s="21"/>
      <c r="AH308" s="21">
        <v>5.0355909076882517</v>
      </c>
    </row>
    <row r="309" spans="1:34" ht="16.2">
      <c r="A309" s="13" t="s">
        <v>162</v>
      </c>
      <c r="B309" s="13" t="s">
        <v>180</v>
      </c>
      <c r="C309" s="13">
        <v>154</v>
      </c>
      <c r="E309" s="14">
        <v>45678</v>
      </c>
      <c r="H309" s="16">
        <v>14.9</v>
      </c>
      <c r="I309" s="16">
        <v>7.17</v>
      </c>
      <c r="J309" s="16">
        <v>53.44</v>
      </c>
      <c r="W309" s="18">
        <v>0.31003541410115393</v>
      </c>
      <c r="Y309" s="92">
        <v>0.63076582728974329</v>
      </c>
      <c r="Z309" s="20">
        <v>-7.3204046293916019</v>
      </c>
      <c r="AA309" s="10">
        <v>-38.328779244962632</v>
      </c>
      <c r="AB309" s="17">
        <v>3.5337515369946972</v>
      </c>
      <c r="AC309" s="18">
        <v>1.2240990471755722</v>
      </c>
      <c r="AD309" s="21">
        <v>0.20793804905834359</v>
      </c>
      <c r="AE309" s="21">
        <v>4.474771389474995</v>
      </c>
      <c r="AF309" s="21">
        <v>3.1021669062141176E-2</v>
      </c>
      <c r="AG309" s="21"/>
      <c r="AH309" s="21">
        <v>5.3498505375984555</v>
      </c>
    </row>
    <row r="310" spans="1:34" ht="16.2">
      <c r="A310" s="13" t="s">
        <v>161</v>
      </c>
      <c r="B310" s="13" t="s">
        <v>181</v>
      </c>
      <c r="C310" s="13">
        <v>154</v>
      </c>
      <c r="E310" s="14">
        <v>45678</v>
      </c>
      <c r="H310" s="16">
        <v>15.2</v>
      </c>
      <c r="I310" s="16">
        <v>6.85</v>
      </c>
      <c r="J310" s="16">
        <v>55.68</v>
      </c>
      <c r="P310" s="18">
        <v>9.8839589999999995E-3</v>
      </c>
      <c r="Q310" s="18">
        <v>2.2310974259999998</v>
      </c>
      <c r="R310" s="21" t="s">
        <v>50</v>
      </c>
      <c r="S310" s="21">
        <v>1.788453557</v>
      </c>
      <c r="T310" s="21">
        <v>6.1843815449999999</v>
      </c>
      <c r="U310" s="21">
        <v>8.4891505000000006E-2</v>
      </c>
      <c r="V310" s="21">
        <v>2.5838593999999999E-2</v>
      </c>
      <c r="W310" s="18">
        <v>0.21361815824963939</v>
      </c>
      <c r="Y310" s="92">
        <v>0.53835060734642837</v>
      </c>
      <c r="Z310" s="20">
        <v>-7.3283566149824493</v>
      </c>
      <c r="AA310" s="10">
        <v>-38.252820625744299</v>
      </c>
      <c r="AB310" s="17">
        <v>3.5159702518758835</v>
      </c>
      <c r="AC310" s="18">
        <v>1.3267125232330161</v>
      </c>
      <c r="AD310" s="21">
        <v>0.17866093845953659</v>
      </c>
      <c r="AE310" s="21">
        <v>4.7778555612570095</v>
      </c>
      <c r="AF310" s="21">
        <v>3.2435297745536232E-2</v>
      </c>
      <c r="AG310" s="21"/>
      <c r="AH310" s="21">
        <v>4.9993904112137075</v>
      </c>
    </row>
    <row r="311" spans="1:34" ht="16.2">
      <c r="A311" s="13" t="s">
        <v>162</v>
      </c>
      <c r="B311" s="13" t="s">
        <v>180</v>
      </c>
      <c r="C311" s="13">
        <v>155</v>
      </c>
      <c r="E311" s="14">
        <v>45692</v>
      </c>
      <c r="H311" s="16">
        <v>8.6999999999999993</v>
      </c>
      <c r="I311" s="16">
        <v>6.79</v>
      </c>
      <c r="J311" s="16">
        <v>53.98</v>
      </c>
      <c r="P311" s="18">
        <v>1.3359924E-2</v>
      </c>
      <c r="Q311" s="18">
        <v>2.2012187559999998</v>
      </c>
      <c r="R311" s="21" t="s">
        <v>50</v>
      </c>
      <c r="S311" s="21">
        <v>2.5333776669999999</v>
      </c>
      <c r="T311" s="21">
        <v>5.2268046730000002</v>
      </c>
      <c r="U311" s="21">
        <v>5.4950526999999999E-2</v>
      </c>
      <c r="V311" s="21">
        <v>1.1895907000000001E-2</v>
      </c>
      <c r="W311" s="18">
        <v>0.27105960183544225</v>
      </c>
      <c r="Y311" s="92">
        <v>0.80903462107283231</v>
      </c>
      <c r="Z311" s="20">
        <v>-6.9905700966233821</v>
      </c>
      <c r="AA311" s="10">
        <v>-34.655050891145869</v>
      </c>
      <c r="AB311" s="17">
        <v>3.4119133399772257</v>
      </c>
      <c r="AC311" s="18">
        <v>1.2075751096689691</v>
      </c>
      <c r="AD311" s="21">
        <v>0.19367486262969399</v>
      </c>
      <c r="AE311" s="21">
        <v>4.4669680865939698</v>
      </c>
      <c r="AF311" s="21">
        <v>3.0717858889305078E-2</v>
      </c>
      <c r="AG311" s="21"/>
      <c r="AH311" s="21">
        <v>5.1165758994995487</v>
      </c>
    </row>
    <row r="312" spans="1:34" ht="16.2">
      <c r="A312" s="13" t="s">
        <v>161</v>
      </c>
      <c r="B312" s="13" t="s">
        <v>181</v>
      </c>
      <c r="C312" s="13">
        <v>155</v>
      </c>
      <c r="E312" s="14">
        <v>45692</v>
      </c>
      <c r="H312" s="16">
        <v>5.6</v>
      </c>
      <c r="I312" s="16">
        <v>7.77</v>
      </c>
      <c r="J312" s="16">
        <v>59.23</v>
      </c>
      <c r="P312" s="18">
        <v>1.5758268999999998E-2</v>
      </c>
      <c r="Q312" s="18">
        <v>2.204096474</v>
      </c>
      <c r="R312" s="21" t="s">
        <v>50</v>
      </c>
      <c r="S312" s="21">
        <v>2.106721136</v>
      </c>
      <c r="T312" s="21">
        <v>5.9753147520000001</v>
      </c>
      <c r="U312" s="21">
        <v>5.5297481000000002E-2</v>
      </c>
      <c r="V312" s="21">
        <v>8.34208E-3</v>
      </c>
      <c r="W312" s="18">
        <v>0.23508179828615269</v>
      </c>
      <c r="Y312" s="92">
        <v>0.65991060945088298</v>
      </c>
      <c r="Z312" s="20">
        <v>-7.0424308722158706</v>
      </c>
      <c r="AA312" s="10">
        <v>-34.939040323358583</v>
      </c>
      <c r="AB312" s="17">
        <v>3.6846138839160822</v>
      </c>
      <c r="AC312" s="18">
        <v>1.4136880028405678</v>
      </c>
      <c r="AD312" s="21">
        <v>0.17474742758692655</v>
      </c>
      <c r="AE312" s="21">
        <v>4.9625247869053091</v>
      </c>
      <c r="AF312" s="21">
        <v>3.3774218619441666E-2</v>
      </c>
      <c r="AG312" s="21"/>
      <c r="AH312" s="21">
        <v>4.9411119123193039</v>
      </c>
    </row>
    <row r="313" spans="1:34" ht="16.2">
      <c r="A313" s="13" t="s">
        <v>162</v>
      </c>
      <c r="B313" s="13" t="s">
        <v>180</v>
      </c>
      <c r="C313" s="13">
        <v>156</v>
      </c>
      <c r="E313" s="14">
        <v>45699</v>
      </c>
      <c r="H313" s="16">
        <v>14.4</v>
      </c>
      <c r="I313" s="16">
        <v>7.18</v>
      </c>
      <c r="J313" s="16">
        <v>57.29</v>
      </c>
      <c r="P313" s="18">
        <v>2.53E-2</v>
      </c>
      <c r="Q313" s="18">
        <v>2.3111619819999998</v>
      </c>
      <c r="R313" s="21" t="s">
        <v>50</v>
      </c>
      <c r="S313" s="21">
        <v>2.3233942399999998</v>
      </c>
      <c r="T313" s="21">
        <v>5.5886510720000002</v>
      </c>
      <c r="U313" s="21">
        <v>9.6305044000000006E-2</v>
      </c>
      <c r="V313" s="21" t="s">
        <v>50</v>
      </c>
      <c r="W313" s="18">
        <v>7.8664434354648594E-3</v>
      </c>
      <c r="Y313" s="92">
        <v>0.72017265050666801</v>
      </c>
      <c r="Z313" s="20">
        <v>-7.2104597851355283</v>
      </c>
      <c r="AA313" s="10">
        <v>-36.712776728889565</v>
      </c>
      <c r="AB313" s="17">
        <v>3.5252925656904721</v>
      </c>
      <c r="AC313" s="18">
        <v>1.2708599158776475</v>
      </c>
      <c r="AD313" s="21">
        <v>0.19861395047229294</v>
      </c>
      <c r="AE313" s="21">
        <v>4.5841252792745317</v>
      </c>
      <c r="AF313" s="21">
        <v>3.177099495397278E-2</v>
      </c>
      <c r="AG313" s="21"/>
      <c r="AH313" s="21">
        <v>5.167046461625131</v>
      </c>
    </row>
    <row r="314" spans="1:34" ht="16.2">
      <c r="A314" s="13" t="s">
        <v>161</v>
      </c>
      <c r="B314" s="13" t="s">
        <v>181</v>
      </c>
      <c r="C314" s="13">
        <v>156</v>
      </c>
      <c r="E314" s="14">
        <v>45699</v>
      </c>
      <c r="H314" s="16">
        <v>14.1</v>
      </c>
      <c r="I314" s="16">
        <v>6.86</v>
      </c>
      <c r="J314" s="16">
        <v>59.86</v>
      </c>
      <c r="P314" s="18">
        <v>2.07E-2</v>
      </c>
      <c r="Q314" s="18">
        <v>2.292755219</v>
      </c>
      <c r="R314" s="21" t="s">
        <v>50</v>
      </c>
      <c r="S314" s="21">
        <v>2.0865730650000001</v>
      </c>
      <c r="T314" s="21">
        <v>6.2784047029999996</v>
      </c>
      <c r="U314" s="21">
        <v>6.2954283E-2</v>
      </c>
      <c r="V314" s="21" t="s">
        <v>50</v>
      </c>
      <c r="W314" s="18">
        <v>0.20295273623998883</v>
      </c>
      <c r="Y314" s="92">
        <v>0.63762151843254844</v>
      </c>
      <c r="Z314" s="20">
        <v>-7.175194457732637</v>
      </c>
      <c r="AA314" s="10">
        <v>-36.518432153592187</v>
      </c>
      <c r="AB314" s="17">
        <v>3.4519019898791661</v>
      </c>
      <c r="AC314" s="18">
        <v>1.3919291090873673</v>
      </c>
      <c r="AD314" s="21">
        <v>0.1748532852421007</v>
      </c>
      <c r="AE314" s="21">
        <v>4.8166620527563673</v>
      </c>
      <c r="AF314" s="21">
        <v>3.3564394334966559E-2</v>
      </c>
      <c r="AG314" s="21"/>
      <c r="AH314" s="21">
        <v>4.951261384271282</v>
      </c>
    </row>
    <row r="315" spans="1:34" ht="16.2">
      <c r="A315" s="13" t="s">
        <v>162</v>
      </c>
      <c r="B315" s="13" t="s">
        <v>180</v>
      </c>
      <c r="C315" s="13">
        <v>157</v>
      </c>
      <c r="E315" s="14">
        <v>45706</v>
      </c>
      <c r="H315" s="16">
        <v>13.4</v>
      </c>
      <c r="I315" s="16">
        <v>6.91</v>
      </c>
      <c r="J315" s="16">
        <v>54.23</v>
      </c>
      <c r="P315" s="18">
        <v>2.6599999999999999E-2</v>
      </c>
      <c r="Q315" s="18">
        <v>2.2275052340000001</v>
      </c>
      <c r="R315" s="21" t="s">
        <v>50</v>
      </c>
      <c r="S315" s="21">
        <v>2.356629061</v>
      </c>
      <c r="T315" s="21">
        <v>4.9639539370000003</v>
      </c>
      <c r="U315" s="21">
        <v>0.121131146</v>
      </c>
      <c r="V315" s="21" t="s">
        <v>50</v>
      </c>
      <c r="W315" s="18">
        <v>0.21052741732980554</v>
      </c>
      <c r="Y315" s="92">
        <v>0.60993190941956676</v>
      </c>
      <c r="Z315" s="20">
        <v>-7.262320560728015</v>
      </c>
      <c r="AA315" s="10">
        <v>-37.364241643266688</v>
      </c>
      <c r="AB315" s="17">
        <v>3.3362476426421455</v>
      </c>
      <c r="AC315" s="18">
        <v>1.1518313425435047</v>
      </c>
      <c r="AD315" s="21">
        <v>0.19030626139408668</v>
      </c>
      <c r="AE315" s="21">
        <v>4.3426237388611435</v>
      </c>
      <c r="AF315" s="21">
        <v>3.0075207512087095E-2</v>
      </c>
      <c r="AG315" s="21"/>
      <c r="AH315" s="21">
        <v>5.2924295314883354</v>
      </c>
    </row>
    <row r="316" spans="1:34" ht="16.2">
      <c r="A316" s="13" t="s">
        <v>161</v>
      </c>
      <c r="B316" s="13" t="s">
        <v>181</v>
      </c>
      <c r="C316" s="13">
        <v>157</v>
      </c>
      <c r="E316" s="14">
        <v>45706</v>
      </c>
      <c r="H316" s="16">
        <v>12.8</v>
      </c>
      <c r="I316" s="16">
        <v>6.58</v>
      </c>
      <c r="J316" s="16">
        <v>56.61</v>
      </c>
      <c r="P316" s="18">
        <v>2.9000000000000001E-2</v>
      </c>
      <c r="Q316" s="18">
        <v>2.256357285</v>
      </c>
      <c r="R316" s="21" t="s">
        <v>50</v>
      </c>
      <c r="S316" s="21">
        <v>2.1183801230000001</v>
      </c>
      <c r="T316" s="21">
        <v>5.9510777170000004</v>
      </c>
      <c r="U316" s="21">
        <v>6.4238864000000007E-2</v>
      </c>
      <c r="V316" s="21" t="s">
        <v>50</v>
      </c>
      <c r="W316" s="18">
        <v>0.22422432270744666</v>
      </c>
      <c r="Y316" s="92">
        <v>0.53784904739725437</v>
      </c>
      <c r="Z316" s="20">
        <v>-7.2574802216727177</v>
      </c>
      <c r="AA316" s="10">
        <v>-37.360477927900007</v>
      </c>
      <c r="AB316" s="17">
        <v>3.3578268967828957</v>
      </c>
      <c r="AC316" s="18">
        <v>1.2835579301267652</v>
      </c>
      <c r="AD316" s="21">
        <v>0.16886486351327645</v>
      </c>
      <c r="AE316" s="21">
        <v>4.5545750961003888</v>
      </c>
      <c r="AF316" s="21">
        <v>3.2003601111392811E-2</v>
      </c>
      <c r="AG316" s="21"/>
      <c r="AH316" s="21">
        <v>4.9633597345071649</v>
      </c>
    </row>
    <row r="317" spans="1:34" ht="16.2">
      <c r="A317" s="13" t="s">
        <v>162</v>
      </c>
      <c r="B317" s="13" t="s">
        <v>180</v>
      </c>
      <c r="C317" s="13">
        <v>158</v>
      </c>
      <c r="E317" s="14">
        <v>45713</v>
      </c>
      <c r="H317" s="16">
        <v>14.3</v>
      </c>
      <c r="I317" s="16">
        <v>6.46</v>
      </c>
      <c r="J317" s="16">
        <v>48.77</v>
      </c>
      <c r="P317" s="18">
        <v>5.5500000000000001E-2</v>
      </c>
      <c r="Q317" s="18">
        <v>2.3427746479999998</v>
      </c>
      <c r="R317" s="21" t="s">
        <v>50</v>
      </c>
      <c r="S317" s="21">
        <v>2.507055867</v>
      </c>
      <c r="T317" s="21">
        <v>4.6941162319999998</v>
      </c>
      <c r="U317" s="21">
        <v>9.6437637000000007E-2</v>
      </c>
      <c r="V317" s="21" t="s">
        <v>50</v>
      </c>
      <c r="W317" s="18">
        <v>0.23540440119999531</v>
      </c>
      <c r="Y317" s="92">
        <v>0.65366049879324217</v>
      </c>
      <c r="Z317" s="20">
        <v>-7.0894513087530591</v>
      </c>
      <c r="AA317" s="10">
        <v>-35.055715499725494</v>
      </c>
      <c r="AB317" s="17">
        <v>3.1063438620300885</v>
      </c>
      <c r="AC317" s="18">
        <v>1.0805942350382622</v>
      </c>
      <c r="AD317" s="21">
        <v>0.19669141533860049</v>
      </c>
      <c r="AE317" s="21">
        <v>4.0182018336986367</v>
      </c>
      <c r="AF317" s="21">
        <v>2.8365771879840049E-2</v>
      </c>
      <c r="AG317" s="21"/>
      <c r="AH317" s="21">
        <v>4.9858063715590157</v>
      </c>
    </row>
    <row r="318" spans="1:34" ht="16.2">
      <c r="A318" s="13" t="s">
        <v>161</v>
      </c>
      <c r="B318" s="13" t="s">
        <v>181</v>
      </c>
      <c r="C318" s="13">
        <v>158</v>
      </c>
      <c r="E318" s="14">
        <v>45713</v>
      </c>
      <c r="H318" s="16">
        <v>13.8</v>
      </c>
      <c r="I318" s="16">
        <v>6.57</v>
      </c>
      <c r="J318" s="16">
        <v>51.24</v>
      </c>
      <c r="P318" s="18">
        <v>4.9799999999999997E-2</v>
      </c>
      <c r="Q318" s="18">
        <v>2.2976706519999999</v>
      </c>
      <c r="R318" s="21" t="s">
        <v>50</v>
      </c>
      <c r="S318" s="21">
        <v>2.2164606060000001</v>
      </c>
      <c r="T318" s="21">
        <v>5.2865274070000003</v>
      </c>
      <c r="U318" s="21">
        <v>6.0297049999999998E-2</v>
      </c>
      <c r="V318" s="21" t="s">
        <v>50</v>
      </c>
      <c r="W318" s="18">
        <v>0.21262203240808247</v>
      </c>
      <c r="Y318" s="92">
        <v>0.56427102887279879</v>
      </c>
      <c r="Z318" s="20">
        <v>-7.0396649641842703</v>
      </c>
      <c r="AA318" s="10">
        <v>-34.958885368019232</v>
      </c>
      <c r="AB318" s="17">
        <v>3.1191632147722852</v>
      </c>
      <c r="AC318" s="18">
        <v>1.1978097649297683</v>
      </c>
      <c r="AD318" s="21">
        <v>0.15905123920083789</v>
      </c>
      <c r="AE318" s="21">
        <v>4.3163408286797527</v>
      </c>
      <c r="AF318" s="21">
        <v>3.0613573147886458E-2</v>
      </c>
      <c r="AG318" s="21"/>
      <c r="AH318" s="21">
        <v>4.7846365559748358</v>
      </c>
    </row>
    <row r="319" spans="1:34" ht="16.2">
      <c r="A319" s="13" t="s">
        <v>162</v>
      </c>
      <c r="B319" s="13" t="s">
        <v>180</v>
      </c>
      <c r="C319" s="13">
        <v>159</v>
      </c>
      <c r="E319" s="14">
        <v>45720</v>
      </c>
      <c r="H319" s="16">
        <v>12.4</v>
      </c>
      <c r="I319" s="16">
        <v>7.51</v>
      </c>
      <c r="J319" s="16">
        <v>55.62</v>
      </c>
      <c r="P319" s="18">
        <v>3.78E-2</v>
      </c>
      <c r="Q319" s="18">
        <v>2.3163304419999999</v>
      </c>
      <c r="R319" s="21" t="s">
        <v>50</v>
      </c>
      <c r="S319" s="21">
        <v>2.1061341840000001</v>
      </c>
      <c r="T319" s="21">
        <v>4.9755904019999999</v>
      </c>
      <c r="U319" s="21">
        <v>9.8706451000000001E-2</v>
      </c>
      <c r="V319" s="21">
        <v>1.3664595999999999E-2</v>
      </c>
      <c r="W319" s="18">
        <v>0.24316182390516503</v>
      </c>
      <c r="Y319" s="92">
        <v>0.57544471261285435</v>
      </c>
      <c r="Z319" s="20">
        <v>-7.1855624459979897</v>
      </c>
      <c r="AA319" s="10">
        <v>-37.655569558873928</v>
      </c>
      <c r="AB319" s="88">
        <v>3.8637975890570688</v>
      </c>
      <c r="AC319" s="88">
        <v>1.2429141828919421</v>
      </c>
      <c r="AD319" s="88">
        <v>0.25039980143706952</v>
      </c>
      <c r="AE319" s="88">
        <v>4.5059367346580252</v>
      </c>
      <c r="AF319" s="88">
        <v>3.1775844779337328E-2</v>
      </c>
      <c r="AG319" s="89"/>
      <c r="AH319" s="88">
        <v>5.7058760908432626</v>
      </c>
    </row>
    <row r="320" spans="1:34" ht="16.2">
      <c r="A320" s="13" t="s">
        <v>161</v>
      </c>
      <c r="B320" s="13" t="s">
        <v>181</v>
      </c>
      <c r="C320" s="13">
        <v>159</v>
      </c>
      <c r="E320" s="14">
        <v>45720</v>
      </c>
      <c r="H320" s="16">
        <v>13.1</v>
      </c>
      <c r="I320" s="16">
        <v>7.08</v>
      </c>
      <c r="J320" s="16">
        <v>58.89</v>
      </c>
      <c r="P320" s="18">
        <v>3.3500000000000002E-2</v>
      </c>
      <c r="Q320" s="18">
        <v>2.1704206130000001</v>
      </c>
      <c r="R320" s="21" t="s">
        <v>50</v>
      </c>
      <c r="S320" s="21">
        <v>1.7421492119999999</v>
      </c>
      <c r="T320" s="21">
        <v>5.9221489939999996</v>
      </c>
      <c r="U320" s="21">
        <v>9.4553729000000003E-2</v>
      </c>
      <c r="V320" s="21" t="s">
        <v>50</v>
      </c>
      <c r="W320" s="18">
        <v>0.18329082967543714</v>
      </c>
      <c r="Y320" s="92">
        <v>0.47488155895235545</v>
      </c>
      <c r="Z320" s="20">
        <v>-7.2145984922830104</v>
      </c>
      <c r="AA320" s="10">
        <v>-37.71362372718297</v>
      </c>
      <c r="AB320" s="88">
        <v>3.713973037787258</v>
      </c>
      <c r="AC320" s="88">
        <v>1.3783117613880607</v>
      </c>
      <c r="AD320" s="88">
        <v>0.2117033656782645</v>
      </c>
      <c r="AE320" s="88">
        <v>4.6715399075290565</v>
      </c>
      <c r="AF320" s="88">
        <v>3.4413732126803959E-2</v>
      </c>
      <c r="AG320" s="89"/>
      <c r="AH320" s="88">
        <v>5.3036345929298916</v>
      </c>
    </row>
    <row r="321" spans="1:34" ht="16.2">
      <c r="A321" s="13" t="s">
        <v>162</v>
      </c>
      <c r="B321" s="13" t="s">
        <v>180</v>
      </c>
      <c r="C321" s="13">
        <v>160</v>
      </c>
      <c r="E321" s="14">
        <v>45727</v>
      </c>
      <c r="H321" s="16">
        <v>17</v>
      </c>
      <c r="I321" s="16">
        <v>7.43</v>
      </c>
      <c r="J321" s="16">
        <v>54.04</v>
      </c>
      <c r="W321" s="18">
        <v>0.41521262424810662</v>
      </c>
      <c r="Y321" s="92">
        <v>0.59779208009296514</v>
      </c>
      <c r="Z321" s="20">
        <v>-7.0530646255939269</v>
      </c>
      <c r="AA321" s="10">
        <v>-36.615570600880361</v>
      </c>
      <c r="AB321" s="88">
        <v>3.5710944171955754</v>
      </c>
      <c r="AC321" s="88">
        <v>1.1885104790396357</v>
      </c>
      <c r="AD321" s="88">
        <v>0.26585986744363821</v>
      </c>
      <c r="AE321" s="88">
        <v>4.3893979035792894</v>
      </c>
      <c r="AF321" s="88">
        <v>3.0582138036606431E-2</v>
      </c>
      <c r="AG321" s="89"/>
      <c r="AH321" s="88">
        <v>5.3713873006882515</v>
      </c>
    </row>
    <row r="322" spans="1:34" ht="16.2">
      <c r="A322" s="13" t="s">
        <v>161</v>
      </c>
      <c r="B322" s="13" t="s">
        <v>181</v>
      </c>
      <c r="C322" s="13">
        <v>160</v>
      </c>
      <c r="E322" s="14">
        <v>45727</v>
      </c>
      <c r="H322" s="16">
        <v>17</v>
      </c>
      <c r="I322" s="16">
        <v>6.92</v>
      </c>
      <c r="J322" s="16">
        <v>56.71</v>
      </c>
      <c r="W322" s="18">
        <v>0.35740256262989267</v>
      </c>
      <c r="Y322" s="92">
        <v>0.50281576830249397</v>
      </c>
      <c r="Z322" s="20">
        <v>-7.1007905407520662</v>
      </c>
      <c r="AA322" s="10">
        <v>-36.637133577680864</v>
      </c>
      <c r="AB322" s="88">
        <v>3.5691881353871855</v>
      </c>
      <c r="AC322" s="88">
        <v>1.3271208527429328</v>
      </c>
      <c r="AD322" s="88">
        <v>0.22256099644795382</v>
      </c>
      <c r="AE322" s="88">
        <v>4.5989399913430242</v>
      </c>
      <c r="AF322" s="88">
        <v>3.3479206892546978E-2</v>
      </c>
      <c r="AG322" s="89"/>
      <c r="AH322" s="88">
        <v>5.1973326232102988</v>
      </c>
    </row>
    <row r="323" spans="1:34" ht="16.2">
      <c r="A323" s="13" t="s">
        <v>162</v>
      </c>
      <c r="B323" s="13" t="s">
        <v>180</v>
      </c>
      <c r="C323" s="13">
        <v>161</v>
      </c>
      <c r="E323" s="14">
        <v>45734</v>
      </c>
      <c r="H323" s="16">
        <v>15.9</v>
      </c>
      <c r="I323" s="16">
        <v>7.63</v>
      </c>
      <c r="J323" s="16">
        <v>58.21</v>
      </c>
      <c r="P323" s="18">
        <v>2.3900000000000001E-2</v>
      </c>
      <c r="Q323" s="18">
        <v>2.2108273870000001</v>
      </c>
      <c r="R323" s="21" t="s">
        <v>50</v>
      </c>
      <c r="S323" s="21">
        <v>2.3553754539999998</v>
      </c>
      <c r="T323" s="21">
        <v>4.956131203</v>
      </c>
      <c r="U323" s="21">
        <v>0.113656248</v>
      </c>
      <c r="V323" s="21" t="s">
        <v>50</v>
      </c>
      <c r="W323" s="18">
        <v>0.13457974401466855</v>
      </c>
      <c r="Y323" s="92">
        <v>0.54381617828121154</v>
      </c>
      <c r="Z323" s="20">
        <v>-6.9906538134640543</v>
      </c>
      <c r="AA323" s="10">
        <v>-35.877785056198476</v>
      </c>
      <c r="AB323" s="88">
        <v>3.5046805499687257</v>
      </c>
      <c r="AC323" s="88">
        <v>1.19912848867804</v>
      </c>
      <c r="AD323" s="88">
        <v>0.2407036721272291</v>
      </c>
      <c r="AE323" s="88">
        <v>4.3575836966379971</v>
      </c>
      <c r="AF323" s="88">
        <v>3.0797764712397455E-2</v>
      </c>
      <c r="AG323" s="89"/>
      <c r="AH323" s="88">
        <v>5.2932181741987883</v>
      </c>
    </row>
    <row r="324" spans="1:34" ht="16.2">
      <c r="A324" s="13" t="s">
        <v>161</v>
      </c>
      <c r="B324" s="13" t="s">
        <v>181</v>
      </c>
      <c r="C324" s="13">
        <v>161</v>
      </c>
      <c r="E324" s="14">
        <v>45734</v>
      </c>
      <c r="H324" s="16">
        <v>16.100000000000001</v>
      </c>
      <c r="I324" s="16">
        <v>7.58</v>
      </c>
      <c r="J324" s="16">
        <v>58.23</v>
      </c>
      <c r="P324" s="18">
        <v>2.4799999999999999E-2</v>
      </c>
      <c r="Q324" s="18">
        <v>2.2052655360000002</v>
      </c>
      <c r="R324" s="21" t="s">
        <v>50</v>
      </c>
      <c r="S324" s="21">
        <v>2.04095987</v>
      </c>
      <c r="T324" s="21">
        <v>5.8121703299999998</v>
      </c>
      <c r="U324" s="21">
        <v>7.3790122999999999E-2</v>
      </c>
      <c r="V324" s="21" t="s">
        <v>50</v>
      </c>
      <c r="W324" s="18">
        <v>0.25551082213966797</v>
      </c>
      <c r="Y324" s="92">
        <v>0.46052901584174666</v>
      </c>
      <c r="Z324" s="20">
        <v>-6.9105543754364103</v>
      </c>
      <c r="AA324" s="10">
        <v>-35.575903380991406</v>
      </c>
      <c r="AB324" s="88">
        <v>3.5959292450986058</v>
      </c>
      <c r="AC324" s="88">
        <v>1.3456998146693837</v>
      </c>
      <c r="AD324" s="88">
        <v>0.21109598911949184</v>
      </c>
      <c r="AE324" s="88">
        <v>4.6672819601587285</v>
      </c>
      <c r="AF324" s="88">
        <v>3.4487303343032225E-2</v>
      </c>
      <c r="AG324" s="89"/>
      <c r="AH324" s="88">
        <v>5.1097058941973943</v>
      </c>
    </row>
    <row r="325" spans="1:34" ht="16.2">
      <c r="A325" s="13" t="s">
        <v>162</v>
      </c>
      <c r="B325" s="13" t="s">
        <v>180</v>
      </c>
      <c r="C325" s="13">
        <v>162</v>
      </c>
      <c r="E325" s="14">
        <v>45741</v>
      </c>
      <c r="H325" s="16">
        <v>12.3</v>
      </c>
      <c r="I325" s="16">
        <v>7.36</v>
      </c>
      <c r="J325" s="16">
        <v>56.12</v>
      </c>
      <c r="P325" s="18">
        <v>2.2800000000000001E-2</v>
      </c>
      <c r="Q325" s="18">
        <v>2.2186984609999998</v>
      </c>
      <c r="R325" s="21" t="s">
        <v>50</v>
      </c>
      <c r="S325" s="21">
        <v>2.0513271529999999</v>
      </c>
      <c r="T325" s="21">
        <v>5.305783827</v>
      </c>
      <c r="U325" s="21">
        <v>0.11033407100000001</v>
      </c>
      <c r="V325" s="21" t="s">
        <v>50</v>
      </c>
      <c r="W325" s="18">
        <v>0.22535011526401541</v>
      </c>
      <c r="Y325" s="92">
        <v>0.49942306862787383</v>
      </c>
      <c r="Z325" s="20">
        <v>-7.1515201848362393</v>
      </c>
      <c r="AA325" s="10">
        <v>-37.832385968638064</v>
      </c>
      <c r="AB325" s="88">
        <v>3.5914089601861425</v>
      </c>
      <c r="AC325" s="88">
        <v>1.2569906517560618</v>
      </c>
      <c r="AD325" s="88">
        <v>0.22363638614235251</v>
      </c>
      <c r="AE325" s="88">
        <v>4.5493159765204449</v>
      </c>
      <c r="AF325" s="88">
        <v>3.2261108711260512E-2</v>
      </c>
      <c r="AG325" s="89"/>
      <c r="AH325" s="88">
        <v>5.5286032886378811</v>
      </c>
    </row>
    <row r="326" spans="1:34" ht="16.2">
      <c r="A326" s="13" t="s">
        <v>161</v>
      </c>
      <c r="B326" s="13" t="s">
        <v>181</v>
      </c>
      <c r="C326" s="13">
        <v>162</v>
      </c>
      <c r="E326" s="14">
        <v>45741</v>
      </c>
      <c r="H326" s="16">
        <v>12.6</v>
      </c>
      <c r="I326" s="16">
        <v>7.04</v>
      </c>
      <c r="J326" s="16">
        <v>59.14</v>
      </c>
      <c r="P326" s="18">
        <v>2.53E-2</v>
      </c>
      <c r="Q326" s="18">
        <v>2.2124162520000001</v>
      </c>
      <c r="R326" s="21" t="s">
        <v>50</v>
      </c>
      <c r="S326" s="21">
        <v>1.761986534</v>
      </c>
      <c r="T326" s="21">
        <v>6.3429139799999996</v>
      </c>
      <c r="U326" s="21">
        <v>7.7942843999999997E-2</v>
      </c>
      <c r="V326" s="21" t="s">
        <v>50</v>
      </c>
      <c r="W326" s="18">
        <v>0.222545229866775</v>
      </c>
      <c r="Y326" s="92">
        <v>0.38902428503644915</v>
      </c>
      <c r="Z326" s="20">
        <v>-7.0547333638861698</v>
      </c>
      <c r="AA326" s="10">
        <v>-37.177866688216589</v>
      </c>
      <c r="AB326" s="88">
        <v>3.6303535350156775</v>
      </c>
      <c r="AC326" s="88">
        <v>1.3985667935880184</v>
      </c>
      <c r="AD326" s="88">
        <v>0.20763055774260106</v>
      </c>
      <c r="AE326" s="88">
        <v>4.8030935246606381</v>
      </c>
      <c r="AF326" s="88">
        <v>3.4773243634672171E-2</v>
      </c>
      <c r="AG326" s="89"/>
      <c r="AH326" s="88">
        <v>5.1980028516581109</v>
      </c>
    </row>
    <row r="327" spans="1:34" ht="16.2">
      <c r="A327" s="13" t="s">
        <v>162</v>
      </c>
      <c r="B327" s="13" t="s">
        <v>180</v>
      </c>
      <c r="C327" s="13">
        <v>163</v>
      </c>
      <c r="E327" s="14">
        <v>45748</v>
      </c>
      <c r="H327" s="16">
        <v>11.8</v>
      </c>
      <c r="I327" s="16">
        <v>6.39</v>
      </c>
      <c r="J327" s="16">
        <v>47</v>
      </c>
      <c r="P327" s="18">
        <v>3.0311563E-2</v>
      </c>
      <c r="Q327" s="18">
        <v>2.1336783530000001</v>
      </c>
      <c r="R327" s="21" t="s">
        <v>50</v>
      </c>
      <c r="S327" s="21">
        <v>3.1125890549999999</v>
      </c>
      <c r="T327" s="21">
        <v>4.2133012089999999</v>
      </c>
      <c r="U327" s="21">
        <v>9.8356108999999997E-2</v>
      </c>
      <c r="V327" s="21">
        <v>3.3553386999999997E-2</v>
      </c>
      <c r="W327" s="18">
        <v>0.27630818517299754</v>
      </c>
      <c r="Y327" s="92">
        <v>0.73073480567657334</v>
      </c>
      <c r="Z327" s="20">
        <v>-6.4753474288195436</v>
      </c>
      <c r="AA327" s="10">
        <v>-30.482396522607587</v>
      </c>
      <c r="AB327" s="88">
        <v>3.1489625228247862</v>
      </c>
      <c r="AC327" s="88">
        <v>1.0437304132719887</v>
      </c>
      <c r="AD327" s="88">
        <v>0.24514157806098757</v>
      </c>
      <c r="AE327" s="88">
        <v>3.7201005607615016</v>
      </c>
      <c r="AF327" s="88">
        <v>2.5982312394864721E-2</v>
      </c>
      <c r="AG327" s="89"/>
      <c r="AH327" s="88">
        <v>4.7005402467876065</v>
      </c>
    </row>
    <row r="328" spans="1:34" ht="16.2">
      <c r="A328" s="13" t="s">
        <v>161</v>
      </c>
      <c r="B328" s="13" t="s">
        <v>181</v>
      </c>
      <c r="C328" s="13">
        <v>163</v>
      </c>
      <c r="E328" s="14">
        <v>45748</v>
      </c>
      <c r="H328" s="16">
        <v>12.4</v>
      </c>
      <c r="I328" s="16">
        <v>6.49</v>
      </c>
      <c r="J328" s="16">
        <v>51.29</v>
      </c>
      <c r="P328" s="18">
        <v>2.6324587E-2</v>
      </c>
      <c r="Q328" s="18">
        <v>2.1441478319999998</v>
      </c>
      <c r="R328" s="21" t="s">
        <v>50</v>
      </c>
      <c r="S328" s="21">
        <v>2.765271646</v>
      </c>
      <c r="T328" s="21">
        <v>4.0729040190000001</v>
      </c>
      <c r="U328" s="21">
        <v>5.2239162999999998E-2</v>
      </c>
      <c r="V328" s="21" t="s">
        <v>50</v>
      </c>
      <c r="W328" s="18">
        <v>0.24666474761334004</v>
      </c>
      <c r="Y328" s="92">
        <v>0.55725100289004881</v>
      </c>
      <c r="Z328" s="20">
        <v>-6.2630839180462852</v>
      </c>
      <c r="AA328" s="10">
        <v>-28.438226321919757</v>
      </c>
      <c r="AB328" s="88">
        <v>3.0938427654947458</v>
      </c>
      <c r="AC328" s="88">
        <v>1.2303881551509328</v>
      </c>
      <c r="AD328" s="88">
        <v>0.22466901221399496</v>
      </c>
      <c r="AE328" s="88">
        <v>4.272477469171938</v>
      </c>
      <c r="AF328" s="88">
        <v>3.222766480714432E-2</v>
      </c>
      <c r="AG328" s="89"/>
      <c r="AH328" s="88">
        <v>4.3514667851013176</v>
      </c>
    </row>
    <row r="329" spans="1:34" ht="16.2">
      <c r="A329" s="13" t="s">
        <v>162</v>
      </c>
      <c r="B329" s="13" t="s">
        <v>180</v>
      </c>
      <c r="C329" s="13">
        <v>164</v>
      </c>
      <c r="E329" s="14">
        <v>45755</v>
      </c>
      <c r="H329" s="16">
        <v>18</v>
      </c>
      <c r="I329" s="16">
        <v>7</v>
      </c>
      <c r="J329" s="16">
        <v>54.61</v>
      </c>
      <c r="P329" s="18">
        <v>3.2047614000000002E-2</v>
      </c>
      <c r="Q329" s="18">
        <v>2.4028952819999998</v>
      </c>
      <c r="R329" s="21" t="s">
        <v>50</v>
      </c>
      <c r="S329" s="21">
        <v>2.2805095049999999</v>
      </c>
      <c r="T329" s="21">
        <v>5.2172703489999996</v>
      </c>
      <c r="U329" s="21">
        <v>0.124946059</v>
      </c>
      <c r="V329" s="21" t="s">
        <v>50</v>
      </c>
      <c r="W329" s="18">
        <v>0.3260230224812164</v>
      </c>
      <c r="Y329" s="92">
        <v>0.50462221948616925</v>
      </c>
      <c r="Z329" s="20">
        <v>-7.0837694101711923</v>
      </c>
      <c r="AA329" s="10">
        <v>-36.538607360607784</v>
      </c>
      <c r="AB329" s="88">
        <v>3.5541417835237263</v>
      </c>
      <c r="AC329" s="88">
        <v>1.2347861979374251</v>
      </c>
      <c r="AD329" s="88">
        <v>0.23900894978442003</v>
      </c>
      <c r="AE329" s="88">
        <v>4.4312359911123194</v>
      </c>
      <c r="AF329" s="88">
        <v>3.0920321237243725E-2</v>
      </c>
      <c r="AG329" s="89"/>
      <c r="AH329" s="88">
        <v>5.4795720655263054</v>
      </c>
    </row>
    <row r="330" spans="1:34" ht="16.2">
      <c r="A330" s="13" t="s">
        <v>161</v>
      </c>
      <c r="B330" s="13" t="s">
        <v>181</v>
      </c>
      <c r="C330" s="13">
        <v>164</v>
      </c>
      <c r="E330" s="14">
        <v>45755</v>
      </c>
      <c r="H330" s="16">
        <v>17</v>
      </c>
      <c r="I330" s="16">
        <v>6.74</v>
      </c>
      <c r="J330" s="16">
        <v>57.3</v>
      </c>
      <c r="P330" s="18">
        <v>3.9183361E-2</v>
      </c>
      <c r="Q330" s="18">
        <v>2.4289905030000001</v>
      </c>
      <c r="R330" s="21" t="s">
        <v>50</v>
      </c>
      <c r="S330" s="21">
        <v>1.9569981249999999</v>
      </c>
      <c r="T330" s="21">
        <v>6.3237493660000004</v>
      </c>
      <c r="U330" s="21">
        <v>8.9215813000000005E-2</v>
      </c>
      <c r="V330" s="21" t="s">
        <v>50</v>
      </c>
      <c r="W330" s="18">
        <v>0.26234706107608058</v>
      </c>
      <c r="Y330" s="92">
        <v>0.42623430189608469</v>
      </c>
      <c r="Z330" s="20">
        <v>-7.0517296349601333</v>
      </c>
      <c r="AA330" s="10">
        <v>-36.315015878091792</v>
      </c>
      <c r="AB330" s="88">
        <v>3.6361332569627951</v>
      </c>
      <c r="AC330" s="88">
        <v>1.3326853898800033</v>
      </c>
      <c r="AD330" s="88">
        <v>0.22056475548451082</v>
      </c>
      <c r="AE330" s="88">
        <v>4.700847958422953</v>
      </c>
      <c r="AF330" s="88">
        <v>3.3903877931770868E-2</v>
      </c>
      <c r="AG330" s="89"/>
      <c r="AH330" s="88">
        <v>5.1899075294365176</v>
      </c>
    </row>
    <row r="331" spans="1:34" ht="16.2">
      <c r="A331" s="13" t="s">
        <v>162</v>
      </c>
      <c r="B331" s="13" t="s">
        <v>180</v>
      </c>
      <c r="C331" s="13">
        <v>165</v>
      </c>
      <c r="E331" s="14">
        <v>45762</v>
      </c>
      <c r="H331" s="16">
        <v>13.6</v>
      </c>
      <c r="I331" s="16">
        <v>7.42</v>
      </c>
      <c r="J331" s="16">
        <v>30.65</v>
      </c>
      <c r="P331" s="18">
        <v>3.4426437999999997E-2</v>
      </c>
      <c r="Q331" s="18">
        <v>2.3580179989999999</v>
      </c>
      <c r="R331" s="21" t="s">
        <v>50</v>
      </c>
      <c r="S331" s="21">
        <v>2.2230055590000002</v>
      </c>
      <c r="T331" s="21">
        <v>5.4113282600000003</v>
      </c>
      <c r="U331" s="21">
        <v>0.145719457</v>
      </c>
      <c r="V331" s="21" t="s">
        <v>50</v>
      </c>
      <c r="W331" s="18">
        <v>0.25932764716154405</v>
      </c>
      <c r="Y331" s="92">
        <v>0.50468015356079887</v>
      </c>
      <c r="Z331" s="20">
        <v>-7.1168104283575939</v>
      </c>
      <c r="AA331" s="10">
        <v>-36.749261057043476</v>
      </c>
      <c r="AB331" s="88">
        <v>3.6631126014797313</v>
      </c>
      <c r="AC331" s="88">
        <v>1.2656531966033695</v>
      </c>
      <c r="AD331" s="88">
        <v>0.23582992777319056</v>
      </c>
      <c r="AE331" s="88">
        <v>4.6183958323910748</v>
      </c>
      <c r="AF331" s="88">
        <v>3.2549920843884361E-2</v>
      </c>
      <c r="AG331" s="89"/>
      <c r="AH331" s="88">
        <v>5.5370488997591103</v>
      </c>
    </row>
    <row r="332" spans="1:34" ht="16.2">
      <c r="A332" s="13" t="s">
        <v>161</v>
      </c>
      <c r="B332" s="13" t="s">
        <v>181</v>
      </c>
      <c r="C332" s="13">
        <v>165</v>
      </c>
      <c r="E332" s="14">
        <v>45762</v>
      </c>
      <c r="H332" s="16">
        <v>14.9</v>
      </c>
      <c r="I332" s="16">
        <v>7.01</v>
      </c>
      <c r="J332" s="16">
        <v>58.56</v>
      </c>
      <c r="P332" s="18">
        <v>2.8575382999999999E-2</v>
      </c>
      <c r="Q332" s="18">
        <v>2.2831393539999998</v>
      </c>
      <c r="R332" s="21" t="s">
        <v>50</v>
      </c>
      <c r="S332" s="21">
        <v>1.86368574</v>
      </c>
      <c r="T332" s="21">
        <v>6.2805026350000004</v>
      </c>
      <c r="U332" s="21">
        <v>8.3399261000000002E-2</v>
      </c>
      <c r="V332" s="21" t="s">
        <v>50</v>
      </c>
      <c r="W332" s="18">
        <v>0.19133583293219861</v>
      </c>
      <c r="Y332" s="92">
        <v>0.47313764396324898</v>
      </c>
      <c r="Z332" s="20">
        <v>-7.0340410090623626</v>
      </c>
      <c r="AA332" s="10">
        <v>-36.263596471875189</v>
      </c>
      <c r="AB332" s="88">
        <v>3.7922742151888338</v>
      </c>
      <c r="AC332" s="88">
        <v>1.4091980231782586</v>
      </c>
      <c r="AD332" s="88">
        <v>0.21766022277518707</v>
      </c>
      <c r="AE332" s="88">
        <v>5.0062841035437824</v>
      </c>
      <c r="AF332" s="88">
        <v>3.5905585537674298E-2</v>
      </c>
      <c r="AG332" s="89"/>
      <c r="AH332" s="88">
        <v>5.2690168402017683</v>
      </c>
    </row>
    <row r="333" spans="1:34" ht="16.2">
      <c r="A333" s="13" t="s">
        <v>162</v>
      </c>
      <c r="B333" s="13" t="s">
        <v>180</v>
      </c>
      <c r="C333" s="13">
        <v>166</v>
      </c>
      <c r="E333" s="14">
        <v>45769</v>
      </c>
      <c r="H333" s="16">
        <v>19</v>
      </c>
      <c r="I333" s="16">
        <v>7.28</v>
      </c>
      <c r="J333" s="16">
        <v>58.81</v>
      </c>
      <c r="P333" s="18">
        <v>2.8367516999999998E-2</v>
      </c>
      <c r="Q333" s="18">
        <v>2.2429127910000002</v>
      </c>
      <c r="R333" s="21" t="s">
        <v>50</v>
      </c>
      <c r="S333" s="21">
        <v>2.0694160400000001</v>
      </c>
      <c r="T333" s="21">
        <v>5.5679576170000002</v>
      </c>
      <c r="U333" s="21">
        <v>0.122055521</v>
      </c>
      <c r="V333" s="21">
        <v>5.0201414999999999E-2</v>
      </c>
      <c r="W333" s="18">
        <v>0.40283730687771435</v>
      </c>
      <c r="Y333" s="92">
        <v>0.50993723849372385</v>
      </c>
      <c r="Z333" s="20">
        <v>-7.1632013528819396</v>
      </c>
      <c r="AA333" s="10">
        <v>-37.317196692158312</v>
      </c>
      <c r="AB333" s="88">
        <v>3.9279068463608087</v>
      </c>
      <c r="AC333" s="88">
        <v>1.348825272969052</v>
      </c>
      <c r="AD333" s="88">
        <v>0.26543262750077978</v>
      </c>
      <c r="AE333" s="88">
        <v>4.9114832000166206</v>
      </c>
      <c r="AF333" s="88">
        <v>3.5007704698991629E-2</v>
      </c>
      <c r="AG333" s="89"/>
      <c r="AH333" s="88">
        <v>5.7035959665860574</v>
      </c>
    </row>
    <row r="334" spans="1:34" ht="16.2">
      <c r="A334" s="13" t="s">
        <v>161</v>
      </c>
      <c r="B334" s="13" t="s">
        <v>181</v>
      </c>
      <c r="C334" s="13">
        <v>166</v>
      </c>
      <c r="E334" s="14">
        <v>45769</v>
      </c>
      <c r="H334" s="16">
        <v>19.5</v>
      </c>
      <c r="I334" s="16">
        <v>6.83</v>
      </c>
      <c r="J334" s="16">
        <v>63.1</v>
      </c>
      <c r="P334" s="18">
        <v>3.0196850000000001E-2</v>
      </c>
      <c r="Q334" s="18">
        <v>2.2568634169999999</v>
      </c>
      <c r="R334" s="21" t="s">
        <v>50</v>
      </c>
      <c r="S334" s="21">
        <v>1.8263952480000001</v>
      </c>
      <c r="T334" s="21">
        <v>6.3838878340000003</v>
      </c>
      <c r="U334" s="21">
        <v>8.1233955999999996E-2</v>
      </c>
      <c r="V334" s="21" t="s">
        <v>50</v>
      </c>
      <c r="W334" s="18">
        <v>0.73159674700006549</v>
      </c>
      <c r="Y334" s="92">
        <v>0.45736638916447397</v>
      </c>
      <c r="Z334" s="20">
        <v>-7.1735475302938427</v>
      </c>
      <c r="AA334" s="10">
        <v>-37.329471002029372</v>
      </c>
      <c r="AB334" s="88">
        <v>3.9512147634335224</v>
      </c>
      <c r="AC334" s="88">
        <v>1.5000779378757199</v>
      </c>
      <c r="AD334" s="88">
        <v>0.23856751744528959</v>
      </c>
      <c r="AE334" s="88">
        <v>5.2433384725137158</v>
      </c>
      <c r="AF334" s="88">
        <v>3.8198849244451251E-2</v>
      </c>
      <c r="AG334" s="89"/>
      <c r="AH334" s="88">
        <v>5.4777184771068521</v>
      </c>
    </row>
    <row r="335" spans="1:34" ht="16.2">
      <c r="A335" s="13" t="s">
        <v>162</v>
      </c>
      <c r="B335" s="13" t="s">
        <v>180</v>
      </c>
      <c r="C335" s="13">
        <v>167</v>
      </c>
      <c r="E335" s="14">
        <v>45776</v>
      </c>
      <c r="H335" s="16">
        <v>16</v>
      </c>
      <c r="I335" s="16">
        <v>6.17</v>
      </c>
      <c r="J335" s="16">
        <v>59.89</v>
      </c>
      <c r="W335" s="18">
        <v>0.27234182703343895</v>
      </c>
      <c r="Y335" s="92">
        <v>0.53323386360257419</v>
      </c>
      <c r="Z335" s="20">
        <v>-7.0156848878476934</v>
      </c>
      <c r="AA335" s="10">
        <v>-36.486192740077328</v>
      </c>
      <c r="AB335" s="88">
        <v>3.8062503511458634</v>
      </c>
      <c r="AC335" s="88">
        <v>1.3715949259379543</v>
      </c>
      <c r="AD335" s="88">
        <v>0.239679137468717</v>
      </c>
      <c r="AE335" s="88">
        <v>5.0189931656658775</v>
      </c>
      <c r="AF335" s="88">
        <v>3.4973674912283467E-2</v>
      </c>
      <c r="AG335" s="89"/>
      <c r="AH335" s="88">
        <v>5.664046582368031</v>
      </c>
    </row>
    <row r="336" spans="1:34" ht="16.2">
      <c r="A336" s="13" t="s">
        <v>161</v>
      </c>
      <c r="B336" s="13" t="s">
        <v>181</v>
      </c>
      <c r="C336" s="13">
        <v>167</v>
      </c>
      <c r="E336" s="14">
        <v>45776</v>
      </c>
      <c r="H336" s="16">
        <v>15.8</v>
      </c>
      <c r="I336" s="16">
        <v>6.45</v>
      </c>
      <c r="J336" s="16">
        <v>63.72</v>
      </c>
      <c r="W336" s="18">
        <v>0.20750011423695955</v>
      </c>
      <c r="Y336" s="92">
        <v>0.48664061338487352</v>
      </c>
      <c r="Z336" s="20">
        <v>-7.0757594663684271</v>
      </c>
      <c r="AA336" s="10">
        <v>-36.764852747960767</v>
      </c>
      <c r="AB336" s="88">
        <v>3.9752596211157614</v>
      </c>
      <c r="AC336" s="88">
        <v>1.5195796021791861</v>
      </c>
      <c r="AD336" s="88">
        <v>0.21562217197421768</v>
      </c>
      <c r="AE336" s="88">
        <v>5.4774349296720857</v>
      </c>
      <c r="AF336" s="88">
        <v>3.8673276836036531E-2</v>
      </c>
      <c r="AG336" s="89"/>
      <c r="AH336" s="88">
        <v>5.5735219004733487</v>
      </c>
    </row>
    <row r="337" spans="1:34" ht="16.2">
      <c r="A337" s="13" t="s">
        <v>162</v>
      </c>
      <c r="B337" s="13" t="s">
        <v>180</v>
      </c>
      <c r="C337" s="13">
        <v>168</v>
      </c>
      <c r="E337" s="14">
        <v>45783</v>
      </c>
      <c r="H337" s="16">
        <v>17.7</v>
      </c>
      <c r="I337" s="16">
        <v>6.48</v>
      </c>
      <c r="J337" s="16">
        <v>67.400000000000006</v>
      </c>
      <c r="P337" s="18">
        <v>3.2702639999999998E-2</v>
      </c>
      <c r="Q337" s="18">
        <v>2.3243051139999999</v>
      </c>
      <c r="R337" s="21" t="s">
        <v>50</v>
      </c>
      <c r="S337" s="21">
        <v>2.2044822630000001</v>
      </c>
      <c r="T337" s="21">
        <v>6.1908251959999996</v>
      </c>
      <c r="U337" s="21">
        <v>0.14796151499999999</v>
      </c>
      <c r="V337" s="21" t="s">
        <v>50</v>
      </c>
      <c r="W337" s="18">
        <v>6.1694079870787122E-2</v>
      </c>
      <c r="Y337" s="92">
        <v>0.54876494700847445</v>
      </c>
      <c r="Z337" s="20">
        <v>-7.0163523831645911</v>
      </c>
      <c r="AA337" s="10">
        <v>-36.543251694072509</v>
      </c>
      <c r="AB337" s="88">
        <v>3.9074382103504344</v>
      </c>
      <c r="AC337" s="88">
        <v>1.4356979834367976</v>
      </c>
      <c r="AD337" s="88">
        <v>0.24067579800156447</v>
      </c>
      <c r="AE337" s="88">
        <v>5.2833555223689306</v>
      </c>
      <c r="AF337" s="88">
        <v>3.7433342070112473E-2</v>
      </c>
      <c r="AG337" s="89"/>
      <c r="AH337" s="88">
        <v>5.7231239995834455</v>
      </c>
    </row>
    <row r="338" spans="1:34" ht="16.2">
      <c r="A338" s="13" t="s">
        <v>161</v>
      </c>
      <c r="B338" s="13" t="s">
        <v>181</v>
      </c>
      <c r="C338" s="13">
        <v>168</v>
      </c>
      <c r="E338" s="14">
        <v>45783</v>
      </c>
      <c r="H338" s="16">
        <v>16.8</v>
      </c>
      <c r="I338" s="16">
        <v>6.62</v>
      </c>
      <c r="J338" s="16">
        <v>67.069999999999993</v>
      </c>
      <c r="P338" s="18">
        <v>3.4801128000000001E-2</v>
      </c>
      <c r="Q338" s="18">
        <v>2.3606463400000002</v>
      </c>
      <c r="R338" s="21" t="s">
        <v>50</v>
      </c>
      <c r="S338" s="21">
        <v>2.0397531469999999</v>
      </c>
      <c r="T338" s="21">
        <v>6.7122688779999997</v>
      </c>
      <c r="U338" s="21">
        <v>9.7327073E-2</v>
      </c>
      <c r="V338" s="21" t="s">
        <v>50</v>
      </c>
      <c r="W338" s="18">
        <v>8.0160469711995308E-2</v>
      </c>
      <c r="Y338" s="92">
        <v>0.5073487245927405</v>
      </c>
      <c r="Z338" s="20">
        <v>-7.0260310652595983</v>
      </c>
      <c r="AA338" s="10">
        <v>-36.519698288644264</v>
      </c>
      <c r="AB338" s="88">
        <v>4.0998598893978393</v>
      </c>
      <c r="AC338" s="88">
        <v>1.550916213706824</v>
      </c>
      <c r="AD338" s="88">
        <v>0.23677850906437101</v>
      </c>
      <c r="AE338" s="88">
        <v>5.4253189091441953</v>
      </c>
      <c r="AF338" s="88">
        <v>3.8962620210795718E-2</v>
      </c>
      <c r="AG338" s="89"/>
      <c r="AH338" s="88">
        <v>5.5605283369082175</v>
      </c>
    </row>
    <row r="339" spans="1:34" ht="16.2">
      <c r="A339" s="13" t="s">
        <v>162</v>
      </c>
      <c r="B339" s="13" t="s">
        <v>180</v>
      </c>
      <c r="C339" s="13">
        <v>169</v>
      </c>
      <c r="E339" s="14">
        <v>45790</v>
      </c>
      <c r="H339" s="16">
        <v>14.2</v>
      </c>
      <c r="I339" s="16">
        <v>7.18</v>
      </c>
      <c r="J339" s="16">
        <v>60.01</v>
      </c>
      <c r="P339" s="18">
        <v>4.5096097000000002E-2</v>
      </c>
      <c r="Q339" s="18">
        <v>2.0744673520000001</v>
      </c>
      <c r="R339" s="21" t="s">
        <v>50</v>
      </c>
      <c r="S339" s="21" t="s">
        <v>50</v>
      </c>
      <c r="T339" s="21">
        <v>4.5440672830000004</v>
      </c>
      <c r="U339" s="21">
        <v>0.10471368</v>
      </c>
      <c r="V339" s="21" t="s">
        <v>50</v>
      </c>
      <c r="W339" s="18">
        <v>5.2077049732007663E-2</v>
      </c>
      <c r="Y339" s="92">
        <v>0.65230550304780932</v>
      </c>
      <c r="Z339" s="20">
        <v>-6.8454735820389496</v>
      </c>
      <c r="AA339" s="10">
        <v>-34.366054513430782</v>
      </c>
      <c r="AB339" s="88">
        <v>3.5830577703886184</v>
      </c>
      <c r="AC339" s="88">
        <v>1.2672802158385574</v>
      </c>
      <c r="AD339" s="88">
        <v>0.25380362225095859</v>
      </c>
      <c r="AE339" s="88">
        <v>4.5921866834750364</v>
      </c>
      <c r="AF339" s="88">
        <v>3.2063955262208323E-2</v>
      </c>
      <c r="AG339" s="89"/>
      <c r="AH339" s="88">
        <v>5.2768806905440861</v>
      </c>
    </row>
    <row r="340" spans="1:34" ht="16.2">
      <c r="A340" s="13" t="s">
        <v>161</v>
      </c>
      <c r="B340" s="13" t="s">
        <v>181</v>
      </c>
      <c r="C340" s="13">
        <v>169</v>
      </c>
      <c r="E340" s="14">
        <v>45790</v>
      </c>
      <c r="H340" s="16">
        <v>16.399999999999999</v>
      </c>
      <c r="I340" s="16">
        <v>6.65</v>
      </c>
      <c r="J340" s="16">
        <v>58.22</v>
      </c>
      <c r="P340" s="18">
        <v>3.5074550000000003E-2</v>
      </c>
      <c r="Q340" s="18">
        <v>2.0758188610000001</v>
      </c>
      <c r="R340" s="21" t="s">
        <v>50</v>
      </c>
      <c r="S340" s="21" t="s">
        <v>50</v>
      </c>
      <c r="T340" s="21">
        <v>5.1108734069999997</v>
      </c>
      <c r="U340" s="21">
        <v>5.8860434000000003E-2</v>
      </c>
      <c r="V340" s="21">
        <v>2.9732447620000002</v>
      </c>
      <c r="W340" s="18">
        <v>3.192627829406619E-2</v>
      </c>
      <c r="Y340" s="92">
        <v>0.53841089140454101</v>
      </c>
      <c r="Z340" s="20">
        <v>-6.7540267236240563</v>
      </c>
      <c r="AA340" s="10">
        <v>-33.066968095726537</v>
      </c>
      <c r="AB340" s="88">
        <v>3.4445801608800122</v>
      </c>
      <c r="AC340" s="88">
        <v>1.3498624942373343</v>
      </c>
      <c r="AD340" s="88">
        <v>0.23487724133273943</v>
      </c>
      <c r="AE340" s="88">
        <v>4.8512186469353846</v>
      </c>
      <c r="AF340" s="88">
        <v>3.5652624253659476E-2</v>
      </c>
      <c r="AG340" s="89"/>
      <c r="AH340" s="88">
        <v>5.039337772165239</v>
      </c>
    </row>
    <row r="341" spans="1:34" ht="16.2">
      <c r="A341" s="13" t="s">
        <v>162</v>
      </c>
      <c r="B341" s="13" t="s">
        <v>180</v>
      </c>
      <c r="C341" s="13">
        <v>170</v>
      </c>
      <c r="E341" s="14">
        <v>45797</v>
      </c>
      <c r="H341" s="16">
        <v>16.2</v>
      </c>
      <c r="I341" s="16">
        <v>7.24</v>
      </c>
      <c r="J341" s="16">
        <v>65</v>
      </c>
      <c r="P341" s="18">
        <v>3.3715161E-2</v>
      </c>
      <c r="Q341" s="18">
        <v>2.159968288</v>
      </c>
      <c r="R341" s="21">
        <v>1.504689494</v>
      </c>
      <c r="S341" s="21" t="s">
        <v>50</v>
      </c>
      <c r="T341" s="21">
        <v>5.1039875239999999</v>
      </c>
      <c r="U341" s="21">
        <v>9.1004977000000001E-2</v>
      </c>
      <c r="V341" s="21">
        <v>0.39614969700000002</v>
      </c>
      <c r="W341" s="18">
        <v>2.8150157273328369E-2</v>
      </c>
      <c r="Y341" s="92">
        <v>0.47110952997897337</v>
      </c>
      <c r="Z341" s="20">
        <v>-7.205283570778966</v>
      </c>
      <c r="AA341" s="10">
        <v>-36.326702200214655</v>
      </c>
      <c r="AB341" s="17">
        <v>3.9012386146609139</v>
      </c>
      <c r="AC341" s="18">
        <v>1.3298589987636091</v>
      </c>
      <c r="AD341" s="21">
        <v>0.21447484352147148</v>
      </c>
      <c r="AE341" s="21">
        <v>4.8089568380899399</v>
      </c>
      <c r="AF341" s="21">
        <v>3.4784582314638768E-2</v>
      </c>
      <c r="AG341" s="21"/>
      <c r="AH341" s="21">
        <v>5.6437063016793889</v>
      </c>
    </row>
    <row r="342" spans="1:34" ht="16.2">
      <c r="A342" s="13" t="s">
        <v>161</v>
      </c>
      <c r="B342" s="13" t="s">
        <v>181</v>
      </c>
      <c r="C342" s="13">
        <v>170</v>
      </c>
      <c r="E342" s="14">
        <v>45797</v>
      </c>
      <c r="H342" s="16">
        <v>15.4</v>
      </c>
      <c r="I342" s="16">
        <v>7.05</v>
      </c>
      <c r="J342" s="16">
        <v>70.62</v>
      </c>
      <c r="P342" s="18">
        <v>3.5012751000000002E-2</v>
      </c>
      <c r="Q342" s="18">
        <v>2.1727631490000001</v>
      </c>
      <c r="R342" s="21" t="s">
        <v>50</v>
      </c>
      <c r="S342" s="21">
        <v>1.6080905759999999</v>
      </c>
      <c r="T342" s="21">
        <v>6.1411802980000001</v>
      </c>
      <c r="U342" s="21">
        <v>6.5951142000000004E-2</v>
      </c>
      <c r="V342" s="21" t="s">
        <v>50</v>
      </c>
      <c r="W342" s="18">
        <v>2.3502693634633337E-2</v>
      </c>
      <c r="Y342" s="92">
        <v>0.39345411294947225</v>
      </c>
      <c r="Z342" s="20">
        <v>-7.2039370709294648</v>
      </c>
      <c r="AA342" s="10">
        <v>-36.384957136027865</v>
      </c>
      <c r="AB342" s="17">
        <v>3.9546657913823866</v>
      </c>
      <c r="AC342" s="18">
        <v>1.454597735223494</v>
      </c>
      <c r="AD342" s="21">
        <v>0.18560762657121405</v>
      </c>
      <c r="AE342" s="21">
        <v>5.1238279093063559</v>
      </c>
      <c r="AF342" s="21">
        <v>3.7189714917666636E-2</v>
      </c>
      <c r="AG342" s="21"/>
      <c r="AH342" s="21">
        <v>5.4256601811403886</v>
      </c>
    </row>
    <row r="343" spans="1:34" ht="16.2">
      <c r="A343" s="13" t="s">
        <v>162</v>
      </c>
      <c r="B343" s="13" t="s">
        <v>180</v>
      </c>
      <c r="C343" s="13">
        <v>171</v>
      </c>
      <c r="E343" s="14">
        <v>45804</v>
      </c>
      <c r="H343" s="16">
        <v>17.2</v>
      </c>
      <c r="I343" s="16">
        <v>6.14</v>
      </c>
      <c r="J343" s="16">
        <v>61.22</v>
      </c>
      <c r="W343" s="18">
        <v>5.6205739108245389E-2</v>
      </c>
      <c r="Y343" s="92">
        <v>1.6175565270923116</v>
      </c>
      <c r="Z343" s="20">
        <v>-7.2409658167907676</v>
      </c>
      <c r="AA343" s="10">
        <v>-37.922686562407748</v>
      </c>
      <c r="AB343" s="17">
        <v>3.7574420424258421</v>
      </c>
      <c r="AC343" s="18">
        <v>1.2905039635126898</v>
      </c>
      <c r="AD343" s="21">
        <v>0.1600113721974015</v>
      </c>
      <c r="AE343" s="21">
        <v>4.76827930308957</v>
      </c>
      <c r="AF343" s="21">
        <v>3.3049685313204909E-2</v>
      </c>
      <c r="AG343" s="21"/>
      <c r="AH343" s="21">
        <v>5.4034969455443731</v>
      </c>
    </row>
    <row r="344" spans="1:34" ht="16.2">
      <c r="A344" s="13" t="s">
        <v>161</v>
      </c>
      <c r="B344" s="13" t="s">
        <v>181</v>
      </c>
      <c r="C344" s="13">
        <v>171</v>
      </c>
      <c r="E344" s="14">
        <v>45804</v>
      </c>
      <c r="H344" s="16">
        <v>17.5</v>
      </c>
      <c r="I344" s="16">
        <v>6.51</v>
      </c>
      <c r="J344" s="16">
        <v>67.03</v>
      </c>
      <c r="W344" s="18">
        <v>1.850782278244073E-2</v>
      </c>
      <c r="Y344" s="92">
        <v>0.44253904986487763</v>
      </c>
      <c r="Z344" s="20">
        <v>-7.2133625698759776</v>
      </c>
      <c r="AA344" s="10">
        <v>-36.821534356145307</v>
      </c>
      <c r="AB344" s="17">
        <v>3.9274224172433203</v>
      </c>
      <c r="AC344" s="18">
        <v>1.4356946389833514</v>
      </c>
      <c r="AD344" s="21">
        <v>0.15938909679308857</v>
      </c>
      <c r="AE344" s="21">
        <v>5.1127862574196747</v>
      </c>
      <c r="AF344" s="21">
        <v>3.6129933433885042E-2</v>
      </c>
      <c r="AG344" s="21"/>
      <c r="AH344" s="21">
        <v>5.3330457044386153</v>
      </c>
    </row>
    <row r="345" spans="1:34" ht="16.2">
      <c r="A345" s="13" t="s">
        <v>162</v>
      </c>
      <c r="B345" s="13" t="s">
        <v>180</v>
      </c>
      <c r="C345" s="13">
        <v>172</v>
      </c>
      <c r="E345" s="14">
        <v>45811</v>
      </c>
      <c r="H345" s="16">
        <v>17.3</v>
      </c>
      <c r="I345" s="16">
        <v>7.07</v>
      </c>
      <c r="J345" s="16">
        <v>65.05</v>
      </c>
      <c r="P345" s="18">
        <v>4.6865017000000002E-2</v>
      </c>
      <c r="Q345" s="18">
        <v>2.2080951689999999</v>
      </c>
      <c r="R345" s="21" t="s">
        <v>50</v>
      </c>
      <c r="S345" s="21">
        <v>2.1393472029999998</v>
      </c>
      <c r="T345" s="21">
        <v>5.3552384960000001</v>
      </c>
      <c r="U345" s="21">
        <v>0.116257266</v>
      </c>
      <c r="V345" s="21">
        <v>2.8972351E-2</v>
      </c>
      <c r="W345" s="18">
        <v>0.19895147517486372</v>
      </c>
      <c r="Y345" s="92">
        <v>0.54427216477634377</v>
      </c>
      <c r="Z345" s="20">
        <v>-7.219421819198736</v>
      </c>
      <c r="AA345" s="10">
        <v>-36.688619358916299</v>
      </c>
      <c r="AB345" s="17">
        <v>3.8472656381653128</v>
      </c>
      <c r="AC345" s="18">
        <v>1.3275172016668033</v>
      </c>
      <c r="AD345" s="21">
        <v>0.20508479136604149</v>
      </c>
      <c r="AE345" s="21">
        <v>4.8475439835896736</v>
      </c>
      <c r="AF345" s="21">
        <v>3.4366058442923265E-2</v>
      </c>
      <c r="AG345" s="21"/>
      <c r="AH345" s="21">
        <v>5.4969295126844839</v>
      </c>
    </row>
    <row r="346" spans="1:34" ht="16.2">
      <c r="A346" s="13" t="s">
        <v>161</v>
      </c>
      <c r="B346" s="13" t="s">
        <v>181</v>
      </c>
      <c r="C346" s="13">
        <v>172</v>
      </c>
      <c r="E346" s="14">
        <v>45811</v>
      </c>
      <c r="H346" s="16">
        <v>16.899999999999999</v>
      </c>
      <c r="I346" s="16">
        <v>6.67</v>
      </c>
      <c r="J346" s="16">
        <v>68.2</v>
      </c>
      <c r="P346" s="18">
        <v>4.6626502E-2</v>
      </c>
      <c r="Q346" s="18">
        <v>2.20509361</v>
      </c>
      <c r="R346" s="21" t="s">
        <v>50</v>
      </c>
      <c r="S346" s="21">
        <v>1.780555232</v>
      </c>
      <c r="T346" s="21">
        <v>6.2869906589999998</v>
      </c>
      <c r="U346" s="21">
        <v>9.4736264000000001E-2</v>
      </c>
      <c r="V346" s="21">
        <v>9.7433087000000002E-2</v>
      </c>
      <c r="W346" s="18">
        <v>6.4736844241799374E-2</v>
      </c>
      <c r="Y346" s="92">
        <v>0.44762570561045095</v>
      </c>
      <c r="Z346" s="20">
        <v>-7.1951848219077021</v>
      </c>
      <c r="AA346" s="10">
        <v>-36.165329332042418</v>
      </c>
      <c r="AB346" s="17">
        <v>3.9518000857313873</v>
      </c>
      <c r="AC346" s="18">
        <v>1.4907061710841962</v>
      </c>
      <c r="AD346" s="21">
        <v>0.19784374955959266</v>
      </c>
      <c r="AE346" s="21">
        <v>5.226995709109346</v>
      </c>
      <c r="AF346" s="21">
        <v>3.7935617866146756E-2</v>
      </c>
      <c r="AG346" s="21"/>
      <c r="AH346" s="21">
        <v>5.361379616417624</v>
      </c>
    </row>
    <row r="347" spans="1:34" ht="16.2">
      <c r="A347" s="13" t="s">
        <v>162</v>
      </c>
      <c r="B347" s="13" t="s">
        <v>180</v>
      </c>
      <c r="C347" s="13">
        <v>173</v>
      </c>
      <c r="E347" s="14">
        <v>45818</v>
      </c>
      <c r="H347" s="16">
        <v>15</v>
      </c>
      <c r="I347" s="16">
        <v>7.05</v>
      </c>
      <c r="J347" s="16">
        <v>64.59</v>
      </c>
      <c r="P347" s="18">
        <v>4.4837691999999998E-2</v>
      </c>
      <c r="Q347" s="18">
        <v>2.102553667</v>
      </c>
      <c r="R347" s="21" t="s">
        <v>50</v>
      </c>
      <c r="S347" s="21">
        <v>2.6294928340000001</v>
      </c>
      <c r="T347" s="21">
        <v>4.7770014720000002</v>
      </c>
      <c r="U347" s="21">
        <v>0.14294330899999999</v>
      </c>
      <c r="V347" s="21" t="s">
        <v>50</v>
      </c>
      <c r="W347" s="18">
        <v>6.7602090644650281E-2</v>
      </c>
      <c r="Y347" s="92">
        <v>0.63074531245108989</v>
      </c>
      <c r="Z347" s="20">
        <v>-7.0995833325930633</v>
      </c>
      <c r="AA347" s="10">
        <v>-35.794372614335273</v>
      </c>
      <c r="AB347" s="17">
        <v>3.6670508493681462</v>
      </c>
      <c r="AC347" s="18">
        <v>1.2609682665454436</v>
      </c>
      <c r="AD347" s="21">
        <v>0.18701562845775363</v>
      </c>
      <c r="AE347" s="21">
        <v>4.63292212827053</v>
      </c>
      <c r="AF347" s="21">
        <v>3.2584735961183484E-2</v>
      </c>
      <c r="AG347" s="21"/>
      <c r="AH347" s="21">
        <v>5.317792590860809</v>
      </c>
    </row>
    <row r="348" spans="1:34" ht="16.2">
      <c r="A348" s="13" t="s">
        <v>161</v>
      </c>
      <c r="B348" s="13" t="s">
        <v>181</v>
      </c>
      <c r="C348" s="13">
        <v>173</v>
      </c>
      <c r="E348" s="14">
        <v>45818</v>
      </c>
      <c r="H348" s="16">
        <v>14.9</v>
      </c>
      <c r="I348" s="16">
        <v>6.89</v>
      </c>
      <c r="J348" s="16">
        <v>63.56</v>
      </c>
      <c r="P348" s="18">
        <v>4.4956942999999999E-2</v>
      </c>
      <c r="Q348" s="18">
        <v>2.0677984720000002</v>
      </c>
      <c r="R348" s="21" t="s">
        <v>50</v>
      </c>
      <c r="S348" s="21">
        <v>2.1479066709999999</v>
      </c>
      <c r="T348" s="21">
        <v>5.3601463779999996</v>
      </c>
      <c r="U348" s="21">
        <v>8.5697442999999998E-2</v>
      </c>
      <c r="V348" s="21" t="s">
        <v>50</v>
      </c>
      <c r="W348" s="18">
        <v>0.11502034541217876</v>
      </c>
      <c r="Y348" s="92">
        <v>0.52901219753962392</v>
      </c>
      <c r="Z348" s="20">
        <v>-7.0598615870327555</v>
      </c>
      <c r="AA348" s="10">
        <v>-35.024001307977741</v>
      </c>
      <c r="AB348" s="17">
        <v>3.6570899962461976</v>
      </c>
      <c r="AC348" s="18">
        <v>1.3570665132523858</v>
      </c>
      <c r="AD348" s="21">
        <v>0.1840298410335649</v>
      </c>
      <c r="AE348" s="21">
        <v>4.9165547652187724</v>
      </c>
      <c r="AF348" s="21">
        <v>3.5309919330891094E-2</v>
      </c>
      <c r="AG348" s="21"/>
      <c r="AH348" s="21">
        <v>5.1296540669131847</v>
      </c>
    </row>
    <row r="349" spans="1:34" ht="16.2">
      <c r="A349" s="13" t="s">
        <v>162</v>
      </c>
      <c r="B349" s="13" t="s">
        <v>180</v>
      </c>
      <c r="C349" s="13">
        <v>174</v>
      </c>
      <c r="E349" s="14">
        <v>45825</v>
      </c>
      <c r="H349" s="16">
        <v>18.5</v>
      </c>
      <c r="I349" s="16">
        <v>6.62</v>
      </c>
      <c r="J349" s="16">
        <v>58.96</v>
      </c>
      <c r="P349" s="18">
        <v>4.3466332000000003E-2</v>
      </c>
      <c r="Q349" s="18">
        <v>2.0198228770000002</v>
      </c>
      <c r="R349" s="21" t="s">
        <v>50</v>
      </c>
      <c r="S349" s="21">
        <v>2.6235053050000001</v>
      </c>
      <c r="T349" s="21">
        <v>4.48550469</v>
      </c>
      <c r="U349" s="21">
        <v>0.13691742900000001</v>
      </c>
      <c r="V349" s="21" t="s">
        <v>50</v>
      </c>
      <c r="W349" s="18">
        <v>0.11241662053916818</v>
      </c>
      <c r="Y349" s="92">
        <v>0.63773788635443385</v>
      </c>
      <c r="Z349" s="20">
        <v>-7.5099291617287811</v>
      </c>
      <c r="AA349" s="10">
        <v>-39.065688578880831</v>
      </c>
      <c r="AB349" s="17">
        <v>3.4669300773509004</v>
      </c>
      <c r="AC349" s="18">
        <v>1.2082544573038421</v>
      </c>
      <c r="AD349" s="21">
        <v>0.19092750333035524</v>
      </c>
      <c r="AE349" s="21">
        <v>4.4368119283934933</v>
      </c>
      <c r="AF349" s="21">
        <v>3.1229557682017923E-2</v>
      </c>
      <c r="AG349" s="21"/>
      <c r="AH349" s="21">
        <v>5.093344405406051</v>
      </c>
    </row>
    <row r="350" spans="1:34" ht="16.2">
      <c r="A350" s="13" t="s">
        <v>161</v>
      </c>
      <c r="B350" s="13" t="s">
        <v>181</v>
      </c>
      <c r="C350" s="13">
        <v>174</v>
      </c>
      <c r="E350" s="14">
        <v>45825</v>
      </c>
      <c r="H350" s="16">
        <v>19.2</v>
      </c>
      <c r="I350" s="16">
        <v>6.65</v>
      </c>
      <c r="J350" s="16">
        <v>63.2</v>
      </c>
      <c r="P350" s="18">
        <v>4.5851339999999997E-2</v>
      </c>
      <c r="Q350" s="18">
        <v>2.0523050340000002</v>
      </c>
      <c r="R350" s="21" t="s">
        <v>50</v>
      </c>
      <c r="S350" s="21">
        <v>2.0286692070000001</v>
      </c>
      <c r="T350" s="21">
        <v>5.0703951939999996</v>
      </c>
      <c r="U350" s="21">
        <v>0.107218445</v>
      </c>
      <c r="V350" s="21">
        <v>0.10365679</v>
      </c>
      <c r="W350" s="18">
        <v>0.10129316912024539</v>
      </c>
      <c r="Y350" s="92">
        <v>0.48589553246052092</v>
      </c>
      <c r="Z350" s="20">
        <v>-7.0601982119951314</v>
      </c>
      <c r="AA350" s="10">
        <v>-37.603623609361797</v>
      </c>
      <c r="AB350" s="17">
        <v>3.7152093805320932</v>
      </c>
      <c r="AC350" s="18">
        <v>1.3897655624902925</v>
      </c>
      <c r="AD350" s="21">
        <v>0.19724633197387517</v>
      </c>
      <c r="AE350" s="21">
        <v>4.932137430765537</v>
      </c>
      <c r="AF350" s="21">
        <v>3.6026188207131389E-2</v>
      </c>
      <c r="AG350" s="21"/>
      <c r="AH350" s="21">
        <v>5.1833941113836355</v>
      </c>
    </row>
    <row r="351" spans="1:34" ht="16.2">
      <c r="A351" s="13" t="s">
        <v>162</v>
      </c>
      <c r="B351" s="13" t="s">
        <v>180</v>
      </c>
      <c r="C351" s="13">
        <v>175</v>
      </c>
      <c r="E351" s="14">
        <v>45832</v>
      </c>
      <c r="H351" s="16">
        <v>17.899999999999999</v>
      </c>
      <c r="I351" s="16">
        <v>6.27</v>
      </c>
      <c r="J351" s="16">
        <v>63.32</v>
      </c>
      <c r="P351" s="18">
        <v>4.5791712999999998E-2</v>
      </c>
      <c r="Q351" s="18">
        <v>2.2639723969999999</v>
      </c>
      <c r="R351" s="21" t="s">
        <v>50</v>
      </c>
      <c r="S351" s="21">
        <v>2.0275123640000001</v>
      </c>
      <c r="T351" s="21">
        <v>5.2200840959999999</v>
      </c>
      <c r="U351" s="21">
        <v>8.2684501999999993E-2</v>
      </c>
      <c r="V351" s="21" t="s">
        <v>50</v>
      </c>
      <c r="W351" s="18">
        <v>0.10797871709170509</v>
      </c>
      <c r="Y351" s="92">
        <v>0.52638682683223115</v>
      </c>
      <c r="Z351" s="20">
        <v>-7.3412800555786637</v>
      </c>
      <c r="AA351" s="10">
        <v>-37.36390789647524</v>
      </c>
      <c r="AB351" s="17">
        <v>3.8184819022676928</v>
      </c>
      <c r="AC351" s="18">
        <v>1.2765193030571762</v>
      </c>
      <c r="AD351" s="21">
        <v>0.18220396605523625</v>
      </c>
      <c r="AE351" s="21">
        <v>4.7428577870308919</v>
      </c>
      <c r="AF351" s="21">
        <v>3.3395140549433884E-2</v>
      </c>
      <c r="AG351" s="21"/>
      <c r="AH351" s="21">
        <v>5.5588791626140219</v>
      </c>
    </row>
    <row r="352" spans="1:34" ht="16.2">
      <c r="A352" s="13" t="s">
        <v>161</v>
      </c>
      <c r="B352" s="13" t="s">
        <v>181</v>
      </c>
      <c r="C352" s="13">
        <v>175</v>
      </c>
      <c r="E352" s="14">
        <v>45832</v>
      </c>
      <c r="H352" s="16">
        <v>17.899999999999999</v>
      </c>
      <c r="I352" s="16">
        <v>6.4</v>
      </c>
      <c r="J352" s="16">
        <v>64.8</v>
      </c>
      <c r="P352" s="18">
        <v>4.4956942999999999E-2</v>
      </c>
      <c r="Q352" s="18">
        <v>2.1814521939999998</v>
      </c>
      <c r="R352" s="21" t="s">
        <v>50</v>
      </c>
      <c r="S352" s="21">
        <v>1.6253180140000001</v>
      </c>
      <c r="T352" s="21">
        <v>6.2025696530000003</v>
      </c>
      <c r="U352" s="21">
        <v>8.4406181999999996E-2</v>
      </c>
      <c r="V352" s="21" t="s">
        <v>50</v>
      </c>
      <c r="W352" s="18">
        <v>4.2648716013116428E-3</v>
      </c>
      <c r="Y352" s="92">
        <v>0.39985153192063705</v>
      </c>
      <c r="Z352" s="20">
        <v>-7.3661903027944486</v>
      </c>
      <c r="AA352" s="10">
        <v>-37.290921827467884</v>
      </c>
      <c r="AB352" s="17">
        <v>3.8530774433460775</v>
      </c>
      <c r="AC352" s="18">
        <v>1.4043511861291222</v>
      </c>
      <c r="AD352" s="21">
        <v>0.17237634165069637</v>
      </c>
      <c r="AE352" s="21">
        <v>4.9802131785664976</v>
      </c>
      <c r="AF352" s="21">
        <v>3.6254498494805491E-2</v>
      </c>
      <c r="AG352" s="21"/>
      <c r="AH352" s="21">
        <v>5.4166335884095993</v>
      </c>
    </row>
    <row r="353" spans="1:34" ht="16.2">
      <c r="A353" s="13" t="s">
        <v>162</v>
      </c>
      <c r="B353" s="13" t="s">
        <v>180</v>
      </c>
      <c r="C353" s="13">
        <v>176</v>
      </c>
      <c r="E353" s="14">
        <v>45839</v>
      </c>
      <c r="H353" s="16">
        <v>16.600000000000001</v>
      </c>
      <c r="I353" s="16">
        <v>7.2</v>
      </c>
      <c r="J353" s="16">
        <v>61.28</v>
      </c>
      <c r="P353" s="18">
        <v>7.0201361000000004E-2</v>
      </c>
      <c r="Q353" s="18">
        <v>2.23364955</v>
      </c>
      <c r="R353" s="21" t="s">
        <v>50</v>
      </c>
      <c r="S353" s="21">
        <v>1.8603964319999999</v>
      </c>
      <c r="T353" s="21">
        <v>5.4955173860000004</v>
      </c>
      <c r="U353" s="21">
        <v>0.120360826</v>
      </c>
      <c r="V353" s="21" t="s">
        <v>50</v>
      </c>
      <c r="W353" s="18">
        <v>0.20551939143939313</v>
      </c>
      <c r="Y353" s="92">
        <v>0.55066079295154213</v>
      </c>
      <c r="Z353" s="20">
        <v>-7.3517154294123026</v>
      </c>
      <c r="AA353" s="10">
        <v>-37.432876383702379</v>
      </c>
      <c r="AB353" s="17">
        <v>4.0148098221462307</v>
      </c>
      <c r="AC353" s="18">
        <v>1.3585803126942435</v>
      </c>
      <c r="AD353" s="21">
        <v>0.23929871602694056</v>
      </c>
      <c r="AE353" s="21">
        <v>4.9664412386894661</v>
      </c>
      <c r="AF353" s="21">
        <v>3.5084803848013039E-2</v>
      </c>
      <c r="AG353" s="21"/>
      <c r="AH353" s="21">
        <v>5.7299484822296778</v>
      </c>
    </row>
    <row r="354" spans="1:34" ht="16.2">
      <c r="A354" s="13" t="s">
        <v>161</v>
      </c>
      <c r="B354" s="13" t="s">
        <v>181</v>
      </c>
      <c r="C354" s="13">
        <v>176</v>
      </c>
      <c r="E354" s="14">
        <v>45839</v>
      </c>
      <c r="H354" s="16">
        <v>17</v>
      </c>
      <c r="I354" s="16">
        <v>6.66</v>
      </c>
      <c r="J354" s="16">
        <v>63.66</v>
      </c>
      <c r="P354" s="18">
        <v>4.2479985999999997E-2</v>
      </c>
      <c r="Q354" s="18">
        <v>2.1984486919999999</v>
      </c>
      <c r="R354" s="21" t="s">
        <v>50</v>
      </c>
      <c r="S354" s="21">
        <v>1.55241385</v>
      </c>
      <c r="T354" s="21">
        <v>6.4137099009999998</v>
      </c>
      <c r="U354" s="21">
        <v>9.2139174000000004E-2</v>
      </c>
      <c r="V354" s="21" t="s">
        <v>50</v>
      </c>
      <c r="W354" s="18">
        <v>1.591076613716505E-2</v>
      </c>
      <c r="Y354" s="92">
        <v>0.43502202643171822</v>
      </c>
      <c r="Z354" s="20">
        <v>-7.3776355515152146</v>
      </c>
      <c r="AA354" s="10">
        <v>-37.522937175275686</v>
      </c>
      <c r="AB354" s="17">
        <v>4.0587079909702606</v>
      </c>
      <c r="AC354" s="18">
        <v>1.4695150293419872</v>
      </c>
      <c r="AD354" s="21">
        <v>0.21862316785234029</v>
      </c>
      <c r="AE354" s="21">
        <v>5.2238732227771703</v>
      </c>
      <c r="AF354" s="21">
        <v>3.7453942888448936E-2</v>
      </c>
      <c r="AG354" s="21"/>
      <c r="AH354" s="21">
        <v>5.5814369509791497</v>
      </c>
    </row>
    <row r="355" spans="1:34" ht="16.2">
      <c r="A355" s="13" t="s">
        <v>162</v>
      </c>
      <c r="B355" s="13" t="s">
        <v>180</v>
      </c>
      <c r="C355" s="13">
        <v>177</v>
      </c>
      <c r="E355" s="14">
        <v>45846</v>
      </c>
      <c r="H355" s="16">
        <v>23.9</v>
      </c>
      <c r="I355" s="16">
        <v>6.83</v>
      </c>
      <c r="J355" s="16">
        <v>62.34</v>
      </c>
      <c r="P355" s="18">
        <v>3.5076153999999998E-2</v>
      </c>
      <c r="Q355" s="18">
        <v>2.1239311409999999</v>
      </c>
      <c r="R355" s="21" t="s">
        <v>50</v>
      </c>
      <c r="S355" s="21">
        <v>2.02940699</v>
      </c>
      <c r="T355" s="21">
        <v>5.7113478730000002</v>
      </c>
      <c r="U355" s="21">
        <v>0.14255436499999999</v>
      </c>
      <c r="V355" s="21" t="s">
        <v>50</v>
      </c>
      <c r="W355" s="18">
        <v>3.7727525607049645E-2</v>
      </c>
      <c r="Y355" s="92">
        <v>0.54515418502202662</v>
      </c>
      <c r="Z355" s="20">
        <v>-7.6412128970552224</v>
      </c>
      <c r="AA355" s="10">
        <v>-39.777135352461777</v>
      </c>
      <c r="AB355" s="17">
        <v>4.0411644093658126</v>
      </c>
      <c r="AC355" s="18">
        <v>1.3866042705801849</v>
      </c>
      <c r="AD355" s="21">
        <v>0.20878997839403965</v>
      </c>
      <c r="AE355" s="21">
        <v>5.0529247459985784</v>
      </c>
      <c r="AF355" s="21">
        <v>3.5524319053215597E-2</v>
      </c>
      <c r="AG355" s="21"/>
      <c r="AH355" s="21">
        <v>5.643369462331373</v>
      </c>
    </row>
    <row r="356" spans="1:34" ht="16.2">
      <c r="A356" s="13" t="s">
        <v>161</v>
      </c>
      <c r="B356" s="13" t="s">
        <v>181</v>
      </c>
      <c r="C356" s="13">
        <v>177</v>
      </c>
      <c r="E356" s="14">
        <v>45846</v>
      </c>
      <c r="H356" s="16">
        <v>23.9</v>
      </c>
      <c r="I356" s="16">
        <v>6.68</v>
      </c>
      <c r="J356" s="16">
        <v>65.22</v>
      </c>
      <c r="P356" s="18">
        <v>3.1171019000000001E-2</v>
      </c>
      <c r="Q356" s="18">
        <v>2.1621397500000001</v>
      </c>
      <c r="R356" s="21" t="s">
        <v>50</v>
      </c>
      <c r="S356" s="21">
        <v>1.7177391559999999</v>
      </c>
      <c r="T356" s="21">
        <v>6.5081062950000002</v>
      </c>
      <c r="U356" s="21">
        <v>8.5802714000000002E-2</v>
      </c>
      <c r="V356" s="21" t="s">
        <v>50</v>
      </c>
      <c r="W356" s="18">
        <v>3.105460477255953E-2</v>
      </c>
      <c r="Y356" s="92">
        <v>0.46806167400881071</v>
      </c>
      <c r="Z356" s="20">
        <v>-7.6954095159976745</v>
      </c>
      <c r="AA356" s="10">
        <v>-40.404212908658046</v>
      </c>
      <c r="AB356" s="17">
        <v>4.0688352513078421</v>
      </c>
      <c r="AC356" s="18">
        <v>1.5184802335918866</v>
      </c>
      <c r="AD356" s="21">
        <v>0.19154118962384348</v>
      </c>
      <c r="AE356" s="21">
        <v>5.3532139572579904</v>
      </c>
      <c r="AF356" s="21">
        <v>3.8355678649649581E-2</v>
      </c>
      <c r="AG356" s="21"/>
      <c r="AH356" s="21">
        <v>5.5530205853267729</v>
      </c>
    </row>
    <row r="357" spans="1:34" ht="16.2">
      <c r="A357" s="13" t="s">
        <v>162</v>
      </c>
      <c r="B357" s="13" t="s">
        <v>180</v>
      </c>
      <c r="C357" s="13">
        <v>178</v>
      </c>
      <c r="E357" s="14">
        <v>45853</v>
      </c>
      <c r="H357" s="16">
        <v>16.2</v>
      </c>
      <c r="I357" s="16">
        <v>6.73</v>
      </c>
      <c r="J357" s="16">
        <v>64.180000000000007</v>
      </c>
      <c r="P357" s="18">
        <v>4.2667956E-2</v>
      </c>
      <c r="Q357" s="18">
        <v>2.1700617379999998</v>
      </c>
      <c r="R357" s="21" t="s">
        <v>50</v>
      </c>
      <c r="S357" s="21">
        <v>2.0083407339999999</v>
      </c>
      <c r="T357" s="21">
        <v>6.0392109960000004</v>
      </c>
      <c r="U357" s="21">
        <v>0.17677227300000001</v>
      </c>
      <c r="V357" s="21" t="s">
        <v>50</v>
      </c>
      <c r="W357" s="18">
        <v>0.15927421282397081</v>
      </c>
      <c r="Y357" s="92">
        <v>0.54515418502202662</v>
      </c>
      <c r="Z357" s="20">
        <v>-7.4217334215864037</v>
      </c>
      <c r="AA357" s="10">
        <v>-38.171776632781487</v>
      </c>
      <c r="AB357" s="17">
        <v>4.0671013750722791</v>
      </c>
      <c r="AC357" s="18">
        <v>1.4437491162986478</v>
      </c>
      <c r="AD357" s="21">
        <v>0.19950161782631029</v>
      </c>
      <c r="AE357" s="21">
        <v>5.4142160316747203</v>
      </c>
      <c r="AF357" s="21">
        <v>3.8050279318145364E-2</v>
      </c>
      <c r="AG357" s="21"/>
      <c r="AH357" s="21">
        <v>5.7390161578767449</v>
      </c>
    </row>
    <row r="358" spans="1:34" ht="16.2">
      <c r="A358" s="13" t="s">
        <v>161</v>
      </c>
      <c r="B358" s="13" t="s">
        <v>181</v>
      </c>
      <c r="C358" s="13">
        <v>178</v>
      </c>
      <c r="E358" s="14">
        <v>45853</v>
      </c>
      <c r="H358" s="16">
        <v>17</v>
      </c>
      <c r="I358" s="16">
        <v>6.75</v>
      </c>
      <c r="J358" s="16">
        <v>65.41</v>
      </c>
      <c r="P358" s="18">
        <v>3.8281526000000003E-2</v>
      </c>
      <c r="Q358" s="18">
        <v>2.1568558169999998</v>
      </c>
      <c r="R358" s="21">
        <v>6.7999999999999996E-3</v>
      </c>
      <c r="S358" s="21">
        <v>1.808653244</v>
      </c>
      <c r="T358" s="21">
        <v>6.3688830740000002</v>
      </c>
      <c r="U358" s="21">
        <v>0.81919364900000002</v>
      </c>
      <c r="V358" s="21" t="s">
        <v>50</v>
      </c>
      <c r="W358" s="18">
        <v>0.58850691690862234</v>
      </c>
      <c r="Y358" s="92">
        <v>0.50110132158590337</v>
      </c>
      <c r="Z358" s="20">
        <v>-7.4318321704576693</v>
      </c>
      <c r="AA358" s="10">
        <v>-38.429906262160742</v>
      </c>
      <c r="AB358" s="17">
        <v>4.1925986119190508</v>
      </c>
      <c r="AC358" s="18">
        <v>1.5123643958046011</v>
      </c>
      <c r="AD358" s="21">
        <v>0.183586016968284</v>
      </c>
      <c r="AE358" s="21">
        <v>5.5079986113755988</v>
      </c>
      <c r="AF358" s="21">
        <v>3.8642236892659734E-2</v>
      </c>
      <c r="AG358" s="21"/>
      <c r="AH358" s="21">
        <v>5.5837055616250693</v>
      </c>
    </row>
    <row r="359" spans="1:34" ht="16.2">
      <c r="A359" s="13" t="s">
        <v>162</v>
      </c>
      <c r="B359" s="13" t="s">
        <v>188</v>
      </c>
      <c r="C359" s="13">
        <v>179</v>
      </c>
      <c r="E359" s="14">
        <v>45860</v>
      </c>
      <c r="G359"/>
      <c r="H359" s="16">
        <v>19.399999999999999</v>
      </c>
      <c r="I359" s="16">
        <v>6.47</v>
      </c>
      <c r="J359" s="16">
        <v>52.78</v>
      </c>
      <c r="P359" s="18">
        <v>3.2914781999999997E-2</v>
      </c>
      <c r="Q359" s="18">
        <v>2.1260648710000001</v>
      </c>
      <c r="R359" s="21" t="s">
        <v>50</v>
      </c>
      <c r="S359" s="21">
        <v>2.7454823369999999</v>
      </c>
      <c r="T359" s="21">
        <v>4.4025498230000002</v>
      </c>
      <c r="U359" s="21">
        <v>0.107084583</v>
      </c>
      <c r="V359" s="21">
        <v>1.8937969999999998E-2</v>
      </c>
      <c r="W359" s="18">
        <v>0.21518943522879158</v>
      </c>
      <c r="Y359" s="92">
        <v>0.58920704845815008</v>
      </c>
      <c r="Z359" s="20">
        <v>-7.6152927749523105</v>
      </c>
      <c r="AA359" s="10">
        <v>-39.936499429743897</v>
      </c>
      <c r="AB359" s="17">
        <v>3.3459134911335919</v>
      </c>
      <c r="AC359" s="18">
        <v>1.1353296121032974</v>
      </c>
      <c r="AD359" s="21">
        <v>0.23723545687195371</v>
      </c>
      <c r="AE359" s="21">
        <v>4.2271703426691776</v>
      </c>
      <c r="AF359" s="21">
        <v>2.9745211354398837E-2</v>
      </c>
      <c r="AG359" s="21"/>
      <c r="AH359" s="21">
        <v>5.1409989951244288</v>
      </c>
    </row>
    <row r="360" spans="1:34" ht="16.2">
      <c r="A360" s="13" t="s">
        <v>161</v>
      </c>
      <c r="B360" s="13" t="s">
        <v>191</v>
      </c>
      <c r="C360" s="13">
        <v>179</v>
      </c>
      <c r="E360" s="14">
        <v>45860</v>
      </c>
      <c r="G360"/>
      <c r="H360" s="16">
        <v>19</v>
      </c>
      <c r="I360" s="16">
        <v>6.32</v>
      </c>
      <c r="J360" s="16">
        <v>52.83</v>
      </c>
      <c r="P360" s="18">
        <v>2.7402294000000001E-2</v>
      </c>
      <c r="Q360" s="18">
        <v>2.089450362</v>
      </c>
      <c r="R360" s="21" t="s">
        <v>50</v>
      </c>
      <c r="S360" s="21">
        <v>2.2370189859999998</v>
      </c>
      <c r="T360" s="21">
        <v>4.5022261139999999</v>
      </c>
      <c r="U360" s="21">
        <v>7.7874174000000004E-2</v>
      </c>
      <c r="V360" s="21">
        <v>1.8937969999999998E-2</v>
      </c>
      <c r="W360" s="18">
        <v>9.4638366981496275E-2</v>
      </c>
      <c r="Y360" s="92">
        <v>0.58370044052863468</v>
      </c>
      <c r="Z360" s="20">
        <v>-7.4799695400773638</v>
      </c>
      <c r="AA360" s="10">
        <v>-38.705445412587622</v>
      </c>
      <c r="AB360" s="17">
        <v>3.1896974713049024</v>
      </c>
      <c r="AC360" s="18">
        <v>1.1902311991689878</v>
      </c>
      <c r="AD360" s="21">
        <v>0.19410394623532934</v>
      </c>
      <c r="AE360" s="21">
        <v>4.3019692184297371</v>
      </c>
      <c r="AF360" s="21">
        <v>3.1684734485635475E-2</v>
      </c>
      <c r="AG360" s="21"/>
      <c r="AH360" s="21">
        <v>4.9414672700536189</v>
      </c>
    </row>
    <row r="361" spans="1:34" ht="16.2">
      <c r="A361" s="13" t="s">
        <v>187</v>
      </c>
      <c r="B361" s="13" t="s">
        <v>189</v>
      </c>
      <c r="C361" s="13">
        <v>180</v>
      </c>
      <c r="E361" s="14">
        <v>45867</v>
      </c>
      <c r="G361"/>
      <c r="H361" s="16">
        <v>12.6</v>
      </c>
      <c r="I361" s="16">
        <v>7.1</v>
      </c>
      <c r="J361" s="16">
        <v>56.7</v>
      </c>
      <c r="P361" s="18">
        <v>8.2858875999999998E-2</v>
      </c>
      <c r="Q361" s="18">
        <v>2.0605011969999998</v>
      </c>
      <c r="R361" s="21" t="s">
        <v>50</v>
      </c>
      <c r="S361" s="21">
        <v>2.522510348</v>
      </c>
      <c r="T361" s="21">
        <v>4.0477056129999998</v>
      </c>
      <c r="U361" s="21">
        <v>0.13170478499999999</v>
      </c>
      <c r="V361" s="21" t="s">
        <v>50</v>
      </c>
      <c r="W361" s="18">
        <v>0.49214108373934085</v>
      </c>
      <c r="Y361" s="92">
        <v>0.65528634361233506</v>
      </c>
      <c r="Z361" s="20">
        <v>-7.7647542582470255</v>
      </c>
      <c r="AA361" s="10">
        <v>-41.741398044508522</v>
      </c>
      <c r="AB361" s="17">
        <v>3.4883392483815783</v>
      </c>
      <c r="AC361" s="18">
        <v>1.1207421557244042</v>
      </c>
      <c r="AD361" s="21">
        <v>0.19170920797597832</v>
      </c>
      <c r="AE361" s="21">
        <v>4.2768475984904777</v>
      </c>
      <c r="AF361" s="21">
        <v>2.9499720359917946E-2</v>
      </c>
      <c r="AG361" s="21"/>
      <c r="AH361" s="21">
        <v>5.1501061063011893</v>
      </c>
    </row>
    <row r="362" spans="1:34" ht="16.2">
      <c r="A362" s="13" t="s">
        <v>190</v>
      </c>
      <c r="B362" s="13" t="s">
        <v>181</v>
      </c>
      <c r="C362" s="13">
        <v>180</v>
      </c>
      <c r="E362" s="14">
        <v>45867</v>
      </c>
      <c r="G362"/>
      <c r="H362" s="16">
        <v>19.5</v>
      </c>
      <c r="I362" s="16">
        <v>6.63</v>
      </c>
      <c r="J362" s="16">
        <v>55.01</v>
      </c>
      <c r="P362" s="18">
        <v>3.8002885E-2</v>
      </c>
      <c r="Q362" s="18">
        <v>1.9387168530000001</v>
      </c>
      <c r="R362" s="21" t="s">
        <v>50</v>
      </c>
      <c r="S362" s="21">
        <v>1.858289979</v>
      </c>
      <c r="T362" s="21">
        <v>4.2532926570000003</v>
      </c>
      <c r="U362" s="21">
        <v>8.1212507000000003E-2</v>
      </c>
      <c r="V362" s="21">
        <v>8.7747780000000004E-3</v>
      </c>
      <c r="W362" s="18">
        <v>0.57607059343597344</v>
      </c>
      <c r="Y362" s="92">
        <v>0.5341409691629958</v>
      </c>
      <c r="Z362" s="20">
        <v>-7.7354678865203574</v>
      </c>
      <c r="AA362" s="10">
        <v>-41.162866268156584</v>
      </c>
      <c r="AB362" s="17">
        <v>3.4278669202218746</v>
      </c>
      <c r="AC362" s="18">
        <v>1.2096958774586239</v>
      </c>
      <c r="AD362" s="21">
        <v>0.21500930227257603</v>
      </c>
      <c r="AE362" s="21">
        <v>4.3377662883378028</v>
      </c>
      <c r="AF362" s="21">
        <v>3.2307650325932309E-2</v>
      </c>
      <c r="AG362" s="21"/>
      <c r="AH362" s="21">
        <v>5.0129099560681132</v>
      </c>
    </row>
    <row r="363" spans="1:34" ht="16.2">
      <c r="A363" s="13" t="s">
        <v>162</v>
      </c>
      <c r="B363" s="13" t="s">
        <v>181</v>
      </c>
      <c r="C363" s="13">
        <v>181</v>
      </c>
      <c r="E363" s="14">
        <v>45874</v>
      </c>
      <c r="G363"/>
      <c r="H363" s="16">
        <v>19.399999999999999</v>
      </c>
      <c r="I363" s="16">
        <v>7.14</v>
      </c>
      <c r="J363" s="16">
        <v>60.2</v>
      </c>
      <c r="P363" s="18">
        <v>4.7467450000000001E-2</v>
      </c>
      <c r="Q363" s="18">
        <v>2.0970466449999998</v>
      </c>
      <c r="R363" s="21" t="s">
        <v>50</v>
      </c>
      <c r="S363" s="21">
        <v>2.1681725150000002</v>
      </c>
      <c r="T363" s="21">
        <v>4.4807600670000003</v>
      </c>
      <c r="U363" s="21">
        <v>0.13337395099999999</v>
      </c>
      <c r="V363" s="21">
        <v>6.4294260000000002E-3</v>
      </c>
      <c r="W363" s="18">
        <v>0.98950070838518545</v>
      </c>
      <c r="Y363" s="92">
        <v>0.61674008810572722</v>
      </c>
      <c r="Z363" s="20">
        <v>-7.537195783681196</v>
      </c>
      <c r="AA363" s="10">
        <v>-39.463763973604472</v>
      </c>
      <c r="AB363" s="17">
        <v>3.6672222506332304</v>
      </c>
      <c r="AC363" s="18">
        <v>1.1865897555486546</v>
      </c>
      <c r="AD363" s="21">
        <v>0.24496590830307144</v>
      </c>
      <c r="AE363" s="21">
        <v>4.4958363679483995</v>
      </c>
      <c r="AF363" s="21">
        <v>3.1522006695460604E-2</v>
      </c>
      <c r="AG363" s="21"/>
      <c r="AH363" s="21">
        <v>5.4942200832104131</v>
      </c>
    </row>
    <row r="364" spans="1:34" ht="16.2">
      <c r="A364" s="13" t="s">
        <v>161</v>
      </c>
      <c r="B364" s="13" t="s">
        <v>181</v>
      </c>
      <c r="C364" s="13">
        <v>181</v>
      </c>
      <c r="E364" s="14">
        <v>45874</v>
      </c>
      <c r="G364"/>
      <c r="H364" s="16">
        <v>19.899999999999999</v>
      </c>
      <c r="I364" s="16">
        <v>6.72</v>
      </c>
      <c r="J364" s="16">
        <v>60.56</v>
      </c>
      <c r="P364" s="18">
        <v>3.1729093E-2</v>
      </c>
      <c r="Q364" s="18">
        <v>2.1012485779999999</v>
      </c>
      <c r="R364" s="21" t="s">
        <v>50</v>
      </c>
      <c r="S364" s="21">
        <v>1.7286408900000001</v>
      </c>
      <c r="T364" s="21">
        <v>5.4049243679999996</v>
      </c>
      <c r="U364" s="21">
        <v>8.9975629000000001E-2</v>
      </c>
      <c r="V364" s="21" t="s">
        <v>50</v>
      </c>
      <c r="W364" s="18">
        <v>0.30422684932754013</v>
      </c>
      <c r="Y364" s="92">
        <v>0.48458149779735699</v>
      </c>
      <c r="Z364" s="20">
        <v>-7.5294534095465604</v>
      </c>
      <c r="AA364" s="10">
        <v>-39.460415988787624</v>
      </c>
      <c r="AB364" s="17">
        <v>3.6361383802456295</v>
      </c>
      <c r="AC364" s="18">
        <v>1.2879903726015562</v>
      </c>
      <c r="AD364" s="21">
        <v>0.22369767956630263</v>
      </c>
      <c r="AE364" s="21">
        <v>4.5689617888037466</v>
      </c>
      <c r="AF364" s="21">
        <v>3.3804951530729717E-2</v>
      </c>
      <c r="AG364" s="21"/>
      <c r="AH364" s="21">
        <v>5.3133406059266282</v>
      </c>
    </row>
    <row r="365" spans="1:34" ht="16.2">
      <c r="A365" s="13" t="s">
        <v>162</v>
      </c>
      <c r="B365" s="13" t="s">
        <v>192</v>
      </c>
      <c r="C365" s="13">
        <v>182</v>
      </c>
      <c r="E365" s="14">
        <v>45881</v>
      </c>
      <c r="H365" s="16">
        <v>18.3</v>
      </c>
      <c r="I365" s="16">
        <v>7.29</v>
      </c>
      <c r="J365" s="16">
        <v>58.18</v>
      </c>
      <c r="P365" s="18">
        <v>3.8211866999999997E-2</v>
      </c>
      <c r="Q365" s="18">
        <v>2.106480736</v>
      </c>
      <c r="R365" s="21" t="s">
        <v>50</v>
      </c>
      <c r="S365" s="21">
        <v>2.5192539410000001</v>
      </c>
      <c r="T365" s="21">
        <v>4.7541628979999997</v>
      </c>
      <c r="U365" s="21">
        <v>0.147144572</v>
      </c>
      <c r="V365" s="21">
        <v>1.0338346E-2</v>
      </c>
      <c r="W365" s="18">
        <v>0.17604952877110469</v>
      </c>
      <c r="Y365" s="92"/>
      <c r="Z365" s="20">
        <v>-7.4490000435388195</v>
      </c>
      <c r="AA365" s="10">
        <v>-38.810906934318439</v>
      </c>
      <c r="AB365" s="17">
        <v>3.7432960423976191</v>
      </c>
      <c r="AC365" s="18">
        <v>1.2938759929491355</v>
      </c>
      <c r="AD365" s="21">
        <v>3.5204001973352743</v>
      </c>
      <c r="AE365" s="21">
        <v>4.5463442677159236</v>
      </c>
      <c r="AF365" s="21">
        <v>3.3232320749341258E-2</v>
      </c>
      <c r="AG365" s="21"/>
      <c r="AH365" s="21">
        <v>5.5616323151070546</v>
      </c>
    </row>
    <row r="366" spans="1:34" ht="16.2">
      <c r="A366" s="13" t="s">
        <v>161</v>
      </c>
      <c r="B366" s="13" t="s">
        <v>181</v>
      </c>
      <c r="C366" s="13">
        <v>182</v>
      </c>
      <c r="E366" s="14">
        <v>45881</v>
      </c>
      <c r="H366" s="16">
        <v>20.100000000000001</v>
      </c>
      <c r="I366" s="16">
        <v>6.6</v>
      </c>
      <c r="J366" s="16">
        <v>60.63</v>
      </c>
      <c r="P366" s="18">
        <v>3.4867031999999999E-2</v>
      </c>
      <c r="Q366" s="18">
        <v>2.0943183740000002</v>
      </c>
      <c r="R366" s="21" t="s">
        <v>50</v>
      </c>
      <c r="S366" s="21">
        <v>1.961072964</v>
      </c>
      <c r="T366" s="21">
        <v>5.8384844080000002</v>
      </c>
      <c r="U366" s="21">
        <v>8.4968131000000002E-2</v>
      </c>
      <c r="V366" s="21" t="s">
        <v>50</v>
      </c>
      <c r="W366" s="18">
        <v>0.11811709862216013</v>
      </c>
      <c r="Y366" s="92"/>
      <c r="Z366" s="20">
        <v>-7.4452971689526892</v>
      </c>
      <c r="AA366" s="10">
        <v>-38.924738418091387</v>
      </c>
      <c r="AB366" s="17">
        <v>3.8619847989926077</v>
      </c>
      <c r="AC366" s="18">
        <v>1.3831036891794515</v>
      </c>
      <c r="AD366" s="21">
        <v>0.50300516902377879</v>
      </c>
      <c r="AE366" s="21">
        <v>4.892883503038866</v>
      </c>
      <c r="AF366" s="21">
        <v>3.4990905785527132E-2</v>
      </c>
      <c r="AG366" s="21"/>
      <c r="AH366" s="21">
        <v>5.4906895563656359</v>
      </c>
    </row>
    <row r="367" spans="1:34" ht="16.2">
      <c r="A367" s="13" t="s">
        <v>162</v>
      </c>
      <c r="B367" s="13" t="s">
        <v>192</v>
      </c>
      <c r="C367" s="13">
        <v>183</v>
      </c>
      <c r="E367" s="14">
        <v>45888</v>
      </c>
      <c r="H367" s="16">
        <v>18.3</v>
      </c>
      <c r="I367" s="16">
        <v>6.43</v>
      </c>
      <c r="J367" s="16">
        <v>58.13</v>
      </c>
      <c r="W367" s="18">
        <v>0.10705861135043931</v>
      </c>
      <c r="Y367" s="92">
        <v>0.39647577092511027</v>
      </c>
      <c r="Z367" s="20">
        <v>-7.5007739713759394</v>
      </c>
      <c r="AA367" s="10">
        <v>-39.16474467545472</v>
      </c>
      <c r="AB367" s="17">
        <v>3.6385006859394009</v>
      </c>
      <c r="AC367" s="18">
        <v>1.290245658580681</v>
      </c>
      <c r="AD367" s="21">
        <v>0.25833831145105313</v>
      </c>
      <c r="AE367" s="21">
        <v>4.5420393257649643</v>
      </c>
      <c r="AF367" s="21">
        <v>2.9940792241016444E-2</v>
      </c>
      <c r="AG367" s="21"/>
      <c r="AH367" s="21">
        <v>5.7438428394951346</v>
      </c>
    </row>
    <row r="368" spans="1:34" ht="16.2">
      <c r="A368" s="13" t="s">
        <v>161</v>
      </c>
      <c r="B368" s="13" t="s">
        <v>181</v>
      </c>
      <c r="C368" s="13">
        <v>183</v>
      </c>
      <c r="E368" s="14">
        <v>45888</v>
      </c>
      <c r="H368" s="16">
        <v>18.600000000000001</v>
      </c>
      <c r="I368" s="16">
        <v>6.52</v>
      </c>
      <c r="J368" s="16">
        <v>59.71</v>
      </c>
      <c r="W368" s="18">
        <v>8.7584103543617092E-2</v>
      </c>
      <c r="Y368" s="92">
        <v>0.29735682819383275</v>
      </c>
      <c r="Z368" s="20">
        <v>-7.6020994289745731</v>
      </c>
      <c r="AA368" s="10">
        <v>-38.872781734454293</v>
      </c>
      <c r="AB368" s="17">
        <v>3.726228183312561</v>
      </c>
      <c r="AC368" s="18">
        <v>1.3825478029783096</v>
      </c>
      <c r="AD368" s="21">
        <v>0.19991093881706137</v>
      </c>
      <c r="AE368" s="21">
        <v>4.6856634997873368</v>
      </c>
      <c r="AF368" s="21">
        <v>3.1425330361902634E-2</v>
      </c>
      <c r="AG368" s="21"/>
      <c r="AH368" s="21">
        <v>5.5622443596572273</v>
      </c>
    </row>
    <row r="369" spans="1:34" ht="16.2">
      <c r="A369" s="13" t="s">
        <v>162</v>
      </c>
      <c r="B369" s="13" t="s">
        <v>192</v>
      </c>
      <c r="C369" s="13">
        <v>184</v>
      </c>
      <c r="E369" s="14">
        <v>45895</v>
      </c>
      <c r="H369" s="16">
        <v>18</v>
      </c>
      <c r="I369" s="16">
        <v>7.55</v>
      </c>
      <c r="J369" s="16">
        <v>62.75</v>
      </c>
      <c r="W369" s="18">
        <v>0.15464288086281225</v>
      </c>
      <c r="Y369" s="92">
        <v>0.51728741156053948</v>
      </c>
      <c r="Z369" s="20">
        <v>-7.580116956817581</v>
      </c>
      <c r="AA369" s="10">
        <v>-38.905750774357728</v>
      </c>
      <c r="AB369" s="17">
        <v>3.8218443771557138</v>
      </c>
      <c r="AC369" s="18">
        <v>1.3528171468984036</v>
      </c>
      <c r="AD369" s="21">
        <v>0.23155794463398138</v>
      </c>
      <c r="AE369" s="21">
        <v>4.7353696696395859</v>
      </c>
      <c r="AF369" s="21">
        <v>3.1433327223589221E-2</v>
      </c>
      <c r="AG369" s="21"/>
      <c r="AH369" s="21">
        <v>5.780984453154141</v>
      </c>
    </row>
    <row r="370" spans="1:34" ht="16.2">
      <c r="A370" s="13" t="s">
        <v>161</v>
      </c>
      <c r="B370" s="13" t="s">
        <v>181</v>
      </c>
      <c r="C370" s="13">
        <v>184</v>
      </c>
      <c r="E370" s="14">
        <v>45895</v>
      </c>
      <c r="H370" s="16">
        <v>19.3</v>
      </c>
      <c r="I370" s="16">
        <v>7.1</v>
      </c>
      <c r="J370" s="16">
        <v>64.56</v>
      </c>
      <c r="W370" s="18">
        <v>0.13428602514195329</v>
      </c>
      <c r="Y370" s="92">
        <v>0.45610287901036817</v>
      </c>
      <c r="Z370" s="20">
        <v>-7.6113732844158051</v>
      </c>
      <c r="AA370" s="10">
        <v>-38.842871677634697</v>
      </c>
      <c r="AB370" s="17">
        <v>3.902977697173684</v>
      </c>
      <c r="AC370" s="18">
        <v>1.4644156291615666</v>
      </c>
      <c r="AD370" s="21">
        <v>0.20850130503034345</v>
      </c>
      <c r="AE370" s="21">
        <v>4.9545771502963936</v>
      </c>
      <c r="AF370" s="21">
        <v>3.3416175225545193E-2</v>
      </c>
      <c r="AG370" s="21"/>
      <c r="AH370" s="21">
        <v>5.7312694555913382</v>
      </c>
    </row>
    <row r="371" spans="1:34" ht="16.2">
      <c r="A371" s="13" t="s">
        <v>162</v>
      </c>
      <c r="B371" s="13" t="s">
        <v>192</v>
      </c>
      <c r="C371" s="13">
        <v>185</v>
      </c>
      <c r="E371" s="14">
        <v>45902</v>
      </c>
      <c r="H371" s="16">
        <v>20.5</v>
      </c>
      <c r="I371" s="16">
        <v>7.01</v>
      </c>
      <c r="J371" s="16">
        <v>62.84</v>
      </c>
      <c r="W371" s="18">
        <v>0.22470283403728464</v>
      </c>
      <c r="Y371" s="92">
        <v>0.45610287901036817</v>
      </c>
      <c r="Z371" s="20">
        <v>-7.5938560019157029</v>
      </c>
      <c r="AA371" s="10">
        <v>-38.671908511949937</v>
      </c>
      <c r="AB371" s="17">
        <v>3.9062465421564663</v>
      </c>
      <c r="AC371" s="18">
        <v>1.4061816395138909</v>
      </c>
      <c r="AD371" s="21">
        <v>0.21010254222828231</v>
      </c>
      <c r="AE371" s="21">
        <v>4.8772822130188915</v>
      </c>
      <c r="AF371" s="21">
        <v>3.2232439868210727E-2</v>
      </c>
      <c r="AG371" s="21"/>
      <c r="AH371" s="21">
        <v>5.7631353728956567</v>
      </c>
    </row>
    <row r="372" spans="1:34" ht="16.2">
      <c r="A372" s="13" t="s">
        <v>161</v>
      </c>
      <c r="B372" s="13" t="s">
        <v>181</v>
      </c>
      <c r="C372" s="13">
        <v>185</v>
      </c>
      <c r="E372" s="14">
        <v>45902</v>
      </c>
      <c r="H372" s="16">
        <v>21.3</v>
      </c>
      <c r="I372" s="16">
        <v>7.57</v>
      </c>
      <c r="J372" s="16">
        <v>78.61</v>
      </c>
      <c r="W372" s="18">
        <v>0.15391233770523938</v>
      </c>
      <c r="Y372" s="92">
        <v>0.42272949761936562</v>
      </c>
      <c r="Z372" s="20">
        <v>-7.5285955376996325</v>
      </c>
      <c r="AA372" s="10">
        <v>-38.493127945050972</v>
      </c>
      <c r="AB372" s="17">
        <v>3.9022660335335404</v>
      </c>
      <c r="AC372" s="18">
        <v>1.5125527945183315</v>
      </c>
      <c r="AD372" s="21">
        <v>0.20559527664084074</v>
      </c>
      <c r="AE372" s="21">
        <v>5.1217978787207779</v>
      </c>
      <c r="AF372" s="21">
        <v>3.4519564139621747E-2</v>
      </c>
      <c r="AG372" s="21"/>
      <c r="AH372" s="21">
        <v>5.729849189929678</v>
      </c>
    </row>
    <row r="373" spans="1:34" ht="16.2">
      <c r="A373" s="13" t="s">
        <v>162</v>
      </c>
      <c r="B373" s="13" t="s">
        <v>192</v>
      </c>
      <c r="C373" s="13">
        <v>186</v>
      </c>
      <c r="E373" s="14">
        <v>45909</v>
      </c>
      <c r="H373" s="16">
        <v>17.5</v>
      </c>
      <c r="I373" s="16">
        <v>6.92</v>
      </c>
      <c r="J373" s="16">
        <v>64.599999999999994</v>
      </c>
      <c r="W373" s="18">
        <v>0.73296015284448846</v>
      </c>
      <c r="Y373" s="92">
        <v>0.55066079295154202</v>
      </c>
      <c r="Z373" s="20">
        <v>-7.6230514727492071</v>
      </c>
      <c r="AA373" s="10">
        <v>-39.378193717303681</v>
      </c>
      <c r="AB373" s="17">
        <v>3.95372306464821</v>
      </c>
      <c r="AC373" s="18">
        <v>1.471849969782612</v>
      </c>
      <c r="AD373" s="21">
        <v>0.23453151548470214</v>
      </c>
      <c r="AE373" s="21">
        <v>5.1119807059153786</v>
      </c>
      <c r="AF373" s="21">
        <v>3.3527637594370698E-2</v>
      </c>
      <c r="AG373" s="21"/>
      <c r="AH373" s="21">
        <v>5.794509839794074</v>
      </c>
    </row>
    <row r="374" spans="1:34" ht="16.2">
      <c r="A374" s="13" t="s">
        <v>161</v>
      </c>
      <c r="B374" s="13" t="s">
        <v>181</v>
      </c>
      <c r="C374" s="13">
        <v>186</v>
      </c>
      <c r="E374" s="14">
        <v>45909</v>
      </c>
      <c r="H374" s="16">
        <v>17.7</v>
      </c>
      <c r="I374" s="16">
        <v>6.37</v>
      </c>
      <c r="J374" s="16">
        <v>65.900000000000006</v>
      </c>
      <c r="W374" s="18">
        <v>0.59431912877234572</v>
      </c>
      <c r="Y374" s="92">
        <v>0.49503849063320449</v>
      </c>
      <c r="Z374" s="20">
        <v>-7.6556817048572423</v>
      </c>
      <c r="AA374" s="10">
        <v>-39.537940611681094</v>
      </c>
      <c r="AB374" s="17">
        <v>3.9859334120909815</v>
      </c>
      <c r="AC374" s="18">
        <v>1.5736986212480488</v>
      </c>
      <c r="AD374" s="21">
        <v>0.22296215357599017</v>
      </c>
      <c r="AE374" s="21">
        <v>5.3236156546426745</v>
      </c>
      <c r="AF374" s="21">
        <v>3.5461281254634339E-2</v>
      </c>
      <c r="AG374" s="21"/>
      <c r="AH374" s="21">
        <v>5.7678988860479565</v>
      </c>
    </row>
    <row r="375" spans="1:34" ht="16.2">
      <c r="A375" s="13" t="s">
        <v>162</v>
      </c>
      <c r="B375" s="13" t="s">
        <v>192</v>
      </c>
      <c r="C375" s="13">
        <v>187</v>
      </c>
      <c r="E375" s="14">
        <v>45916</v>
      </c>
      <c r="H375" s="16">
        <v>17</v>
      </c>
      <c r="I375" s="16">
        <v>6.72</v>
      </c>
      <c r="J375" s="16">
        <v>65.760000000000005</v>
      </c>
      <c r="W375" s="18">
        <v>0.13562651754579691</v>
      </c>
      <c r="Y375" s="92">
        <v>0.44707113883194505</v>
      </c>
      <c r="Z375" s="20">
        <v>-7.5701561491214449</v>
      </c>
      <c r="AA375" s="10">
        <v>-38.732748286617081</v>
      </c>
      <c r="AB375" s="17">
        <v>3.9982605725152123</v>
      </c>
      <c r="AC375" s="18">
        <v>1.4985985320139283</v>
      </c>
      <c r="AD375" s="21">
        <v>0.23509185773703511</v>
      </c>
      <c r="AE375" s="21">
        <v>5.214870915253254</v>
      </c>
      <c r="AF375" s="21">
        <v>3.4538564651608053E-2</v>
      </c>
      <c r="AG375" s="21"/>
      <c r="AH375" s="21">
        <v>5.8792796097545699</v>
      </c>
    </row>
    <row r="376" spans="1:34" ht="16.2">
      <c r="A376" s="13" t="s">
        <v>161</v>
      </c>
      <c r="B376" s="13" t="s">
        <v>181</v>
      </c>
      <c r="C376" s="13">
        <v>187</v>
      </c>
      <c r="E376" s="14">
        <v>45916</v>
      </c>
      <c r="H376" s="16">
        <v>17.399999999999999</v>
      </c>
      <c r="I376" s="16">
        <v>6.71</v>
      </c>
      <c r="J376" s="16">
        <v>35.53</v>
      </c>
      <c r="W376" s="18">
        <v>8.7174187288457772E-2</v>
      </c>
      <c r="Y376" s="92">
        <v>0.42526279059624045</v>
      </c>
      <c r="Z376" s="20">
        <v>-7.5814908613273939</v>
      </c>
      <c r="AA376" s="10">
        <v>-38.778633032874417</v>
      </c>
      <c r="AB376" s="17">
        <v>4.0314352488188483</v>
      </c>
      <c r="AC376" s="18">
        <v>1.5594596860584964</v>
      </c>
      <c r="AD376" s="21">
        <v>0.20130219255798951</v>
      </c>
      <c r="AE376" s="21">
        <v>5.2167924244167452</v>
      </c>
      <c r="AF376" s="21">
        <v>3.4518588093609422E-2</v>
      </c>
      <c r="AG376" s="21"/>
      <c r="AH376" s="21">
        <v>5.7926263670306071</v>
      </c>
    </row>
    <row r="377" spans="1:34" ht="16.2">
      <c r="A377" s="13" t="s">
        <v>162</v>
      </c>
      <c r="B377" s="13" t="s">
        <v>192</v>
      </c>
      <c r="C377" s="13">
        <v>188</v>
      </c>
      <c r="E377" s="14">
        <v>45924</v>
      </c>
      <c r="H377" s="16">
        <v>14.9</v>
      </c>
      <c r="I377" s="16">
        <v>7.07</v>
      </c>
      <c r="J377" s="16">
        <v>43.08</v>
      </c>
      <c r="W377" s="18">
        <v>0.2375382656942705</v>
      </c>
      <c r="Y377" s="103">
        <v>0.96270161290322576</v>
      </c>
      <c r="Z377" s="20">
        <v>-7.8734455696624455</v>
      </c>
      <c r="AA377" s="10">
        <v>-42.08471397246818</v>
      </c>
      <c r="AB377" s="17">
        <v>2.4005108682976704</v>
      </c>
      <c r="AC377" s="18">
        <v>0.88780082345462286</v>
      </c>
      <c r="AD377" s="21">
        <v>0.25991416072210616</v>
      </c>
      <c r="AE377" s="21">
        <v>3.2574651759664834</v>
      </c>
      <c r="AF377" s="21">
        <v>2.2042682298030782E-2</v>
      </c>
      <c r="AG377" s="21"/>
      <c r="AH377" s="21">
        <v>3.6071713940634926</v>
      </c>
    </row>
    <row r="378" spans="1:34" ht="16.2">
      <c r="A378" s="13" t="s">
        <v>161</v>
      </c>
      <c r="B378" s="13" t="s">
        <v>181</v>
      </c>
      <c r="C378" s="13">
        <v>188</v>
      </c>
      <c r="E378" s="14">
        <v>45924</v>
      </c>
      <c r="H378" s="16">
        <v>15.1</v>
      </c>
      <c r="I378" s="16">
        <v>5.97</v>
      </c>
      <c r="J378" s="16">
        <v>38.28</v>
      </c>
      <c r="W378" s="18">
        <v>0.18550960714615733</v>
      </c>
      <c r="Y378" s="103">
        <v>0.83927832919768397</v>
      </c>
      <c r="Z378" s="20">
        <v>-8.1351743787816311</v>
      </c>
      <c r="AA378" s="10">
        <v>-45.873094578278</v>
      </c>
      <c r="AB378" s="17">
        <v>2.2947950124298697</v>
      </c>
      <c r="AC378" s="18">
        <v>0.69842702799081691</v>
      </c>
      <c r="AD378" s="21">
        <v>0.24111967773431062</v>
      </c>
      <c r="AE378" s="21">
        <v>2.3966449237183305</v>
      </c>
      <c r="AF378" s="21">
        <v>1.9769096533787469E-2</v>
      </c>
      <c r="AG378" s="21"/>
      <c r="AH378" s="21">
        <v>3.556713382250861</v>
      </c>
    </row>
    <row r="379" spans="1:34" ht="16.2">
      <c r="A379" s="13" t="s">
        <v>162</v>
      </c>
      <c r="B379" s="13" t="s">
        <v>192</v>
      </c>
      <c r="C379" s="13">
        <v>189</v>
      </c>
      <c r="E379" s="14">
        <v>45930</v>
      </c>
      <c r="H379" s="16">
        <v>20.7</v>
      </c>
      <c r="I379" s="16">
        <v>7.12</v>
      </c>
      <c r="J379" s="16">
        <v>55.72</v>
      </c>
      <c r="W379" s="18">
        <v>0.10206772963751687</v>
      </c>
      <c r="Y379" s="92">
        <v>0.52340035765691129</v>
      </c>
      <c r="Z379" s="20">
        <v>-7.6725120351024394</v>
      </c>
      <c r="AA379" s="10">
        <v>-39.530123210466883</v>
      </c>
      <c r="AB379" s="17">
        <v>3.5056902269483623</v>
      </c>
      <c r="AC379" s="18">
        <v>1.2154471292199294</v>
      </c>
      <c r="AD379" s="21">
        <v>0.22781947903951491</v>
      </c>
      <c r="AE379" s="21">
        <v>4.3350077034334422</v>
      </c>
      <c r="AF379" s="21">
        <v>2.8226927521662889E-2</v>
      </c>
      <c r="AG379" s="21"/>
      <c r="AH379" s="21">
        <v>5.6614466467533857</v>
      </c>
    </row>
    <row r="380" spans="1:34" ht="16.2">
      <c r="A380" s="13" t="s">
        <v>161</v>
      </c>
      <c r="B380" s="13" t="s">
        <v>181</v>
      </c>
      <c r="C380" s="13">
        <v>189</v>
      </c>
      <c r="E380" s="14">
        <v>45930</v>
      </c>
      <c r="H380" s="16">
        <v>20.3</v>
      </c>
      <c r="I380" s="16">
        <v>6.61</v>
      </c>
      <c r="J380" s="16">
        <v>57.19</v>
      </c>
      <c r="W380" s="18">
        <v>7.7163547582126735E-2</v>
      </c>
      <c r="Y380" s="92">
        <v>0.41981070353731426</v>
      </c>
      <c r="Z380" s="20">
        <v>-7.6388513746120452</v>
      </c>
      <c r="AA380" s="10">
        <v>-39.256854054978717</v>
      </c>
      <c r="AB380" s="17">
        <v>3.5094989096793534</v>
      </c>
      <c r="AC380" s="18">
        <v>1.2733422999450574</v>
      </c>
      <c r="AD380" s="21">
        <v>0.21145573360872433</v>
      </c>
      <c r="AE380" s="21">
        <v>4.3422498644903849</v>
      </c>
      <c r="AF380" s="21">
        <v>2.9579365639763634E-2</v>
      </c>
      <c r="AG380" s="21"/>
      <c r="AH380" s="21">
        <v>5.3918340268131724</v>
      </c>
    </row>
    <row r="381" spans="1:34" ht="16.2">
      <c r="A381" s="13" t="s">
        <v>162</v>
      </c>
      <c r="B381" s="13" t="s">
        <v>192</v>
      </c>
      <c r="C381" s="13">
        <v>190</v>
      </c>
      <c r="E381" s="14">
        <v>45937</v>
      </c>
      <c r="H381" s="16">
        <v>16.7</v>
      </c>
      <c r="I381" s="16">
        <v>7.32</v>
      </c>
      <c r="J381" s="16">
        <v>59.43</v>
      </c>
      <c r="W381" s="18">
        <v>0.31347586060432059</v>
      </c>
      <c r="Y381" s="92">
        <v>0.47394540942928037</v>
      </c>
      <c r="Z381" s="20">
        <v>-7.6093124276510871</v>
      </c>
      <c r="AA381" s="10">
        <v>-39.089969533405714</v>
      </c>
      <c r="AB381" s="17">
        <v>3.6502905167035089</v>
      </c>
      <c r="AC381" s="18">
        <v>1.3049707009387221</v>
      </c>
      <c r="AD381" s="21">
        <v>0.23081824987461891</v>
      </c>
      <c r="AE381" s="21">
        <v>4.5994110411266922</v>
      </c>
      <c r="AF381" s="21">
        <v>3.0378829086133707E-2</v>
      </c>
      <c r="AG381" s="21"/>
      <c r="AH381" s="21">
        <v>5.7258220510041378</v>
      </c>
    </row>
    <row r="382" spans="1:34" ht="16.2">
      <c r="A382" s="13" t="s">
        <v>161</v>
      </c>
      <c r="B382" s="13" t="s">
        <v>181</v>
      </c>
      <c r="C382" s="13">
        <v>190</v>
      </c>
      <c r="E382" s="14">
        <v>45937</v>
      </c>
      <c r="H382" s="16">
        <v>17.5</v>
      </c>
      <c r="I382" s="16">
        <v>6.78</v>
      </c>
      <c r="J382" s="16">
        <v>61</v>
      </c>
      <c r="W382" s="18">
        <v>0.15399728039670049</v>
      </c>
      <c r="Y382" s="92">
        <v>0.36039598842018195</v>
      </c>
      <c r="Z382" s="20">
        <v>-7.5735909103959758</v>
      </c>
      <c r="AA382" s="10">
        <v>-38.830975632308714</v>
      </c>
      <c r="AB382" s="17">
        <v>3.721593652342631</v>
      </c>
      <c r="AC382" s="18">
        <v>1.4158910709397445</v>
      </c>
      <c r="AD382" s="21">
        <v>0.23057929711930081</v>
      </c>
      <c r="AE382" s="21">
        <v>4.8028457581498269</v>
      </c>
      <c r="AF382" s="21">
        <v>3.2354510720288138E-2</v>
      </c>
      <c r="AG382" s="21"/>
      <c r="AH382" s="21">
        <v>5.6131237705606063</v>
      </c>
    </row>
    <row r="383" spans="1:34" ht="16.2">
      <c r="A383" s="13" t="s">
        <v>162</v>
      </c>
      <c r="B383" s="13" t="s">
        <v>192</v>
      </c>
      <c r="C383" s="13">
        <v>191</v>
      </c>
      <c r="E383" s="14">
        <v>45943</v>
      </c>
      <c r="H383" s="16">
        <v>14.7</v>
      </c>
      <c r="I383" s="16">
        <v>7.5</v>
      </c>
      <c r="J383" s="16">
        <v>63.1</v>
      </c>
      <c r="W383" s="18">
        <v>0.15395128561854576</v>
      </c>
      <c r="Y383" s="92">
        <v>0.42457609594706369</v>
      </c>
      <c r="Z383" s="20">
        <v>-7.5746213387783339</v>
      </c>
      <c r="AA383" s="10">
        <v>-39.007037103133193</v>
      </c>
      <c r="AB383" s="17">
        <v>3.7195889335709991</v>
      </c>
      <c r="AC383" s="18">
        <v>1.3683613615202319</v>
      </c>
      <c r="AD383" s="21">
        <v>0.23809993293391515</v>
      </c>
      <c r="AE383" s="21">
        <v>4.8062979042102274</v>
      </c>
      <c r="AF383" s="21">
        <v>3.0992645518292436E-2</v>
      </c>
      <c r="AG383" s="21"/>
      <c r="AH383" s="21">
        <v>5.7808142259830015</v>
      </c>
    </row>
    <row r="384" spans="1:34" ht="16.2">
      <c r="A384" s="13" t="s">
        <v>161</v>
      </c>
      <c r="B384" s="13" t="s">
        <v>181</v>
      </c>
      <c r="C384" s="13">
        <v>191</v>
      </c>
      <c r="E384" s="14">
        <v>45943</v>
      </c>
      <c r="H384" s="16">
        <v>14.8</v>
      </c>
      <c r="I384" s="16">
        <v>7.08</v>
      </c>
      <c r="J384" s="16">
        <v>64.11</v>
      </c>
      <c r="W384" s="18">
        <v>0.13882680411692883</v>
      </c>
      <c r="Y384" s="92">
        <v>0.35545905707196029</v>
      </c>
      <c r="Z384" s="20">
        <v>-7.6120602366707111</v>
      </c>
      <c r="AA384" s="10">
        <v>-39.004657894067996</v>
      </c>
      <c r="AB384" s="17">
        <v>3.7291713926561663</v>
      </c>
      <c r="AC384" s="18">
        <v>1.3889595428034616</v>
      </c>
      <c r="AD384" s="21">
        <v>0.22521951321063827</v>
      </c>
      <c r="AE384" s="21">
        <v>4.7264359203795978</v>
      </c>
      <c r="AF384" s="21">
        <v>3.1436634960744336E-2</v>
      </c>
      <c r="AG384" s="21"/>
      <c r="AH384" s="21">
        <v>5.4504986873697669</v>
      </c>
    </row>
    <row r="385" spans="1:34" ht="16.2">
      <c r="A385" s="13" t="s">
        <v>162</v>
      </c>
      <c r="B385" s="13" t="s">
        <v>192</v>
      </c>
      <c r="C385" s="13">
        <v>192</v>
      </c>
      <c r="E385" s="14">
        <v>45952</v>
      </c>
      <c r="H385" s="16">
        <v>15.3</v>
      </c>
      <c r="I385" s="16">
        <v>6.23</v>
      </c>
      <c r="J385" s="16">
        <v>37.78</v>
      </c>
      <c r="W385" s="18">
        <v>9.134465767032704E-2</v>
      </c>
      <c r="Y385" s="92">
        <v>0.76522435897435892</v>
      </c>
      <c r="Z385" s="20">
        <v>-8.1564698986837154</v>
      </c>
      <c r="AA385" s="10">
        <v>-47.240460016746781</v>
      </c>
      <c r="AB385" s="17">
        <v>2.2525778001883028</v>
      </c>
      <c r="AC385" s="18">
        <v>0.76323324161503892</v>
      </c>
      <c r="AD385" s="21">
        <v>0.25936489802503265</v>
      </c>
      <c r="AE385" s="21">
        <v>2.8250674355465577</v>
      </c>
      <c r="AF385" s="21">
        <v>1.8760135326060745E-2</v>
      </c>
      <c r="AG385" s="21"/>
      <c r="AH385" s="21">
        <v>3.6530198179060465</v>
      </c>
    </row>
    <row r="386" spans="1:34" ht="16.2">
      <c r="A386" s="13" t="s">
        <v>161</v>
      </c>
      <c r="B386" s="13" t="s">
        <v>181</v>
      </c>
      <c r="C386" s="13">
        <v>192</v>
      </c>
      <c r="E386" s="14">
        <v>45952</v>
      </c>
      <c r="H386" s="16">
        <v>15.9</v>
      </c>
      <c r="I386" s="16">
        <v>5.73</v>
      </c>
      <c r="J386" s="16">
        <v>32.76</v>
      </c>
      <c r="W386" s="18">
        <v>0.13981815987519292</v>
      </c>
      <c r="Y386" s="92">
        <v>0.64180107526881724</v>
      </c>
      <c r="Z386" s="20">
        <v>-8.1403265206934261</v>
      </c>
      <c r="AA386" s="10">
        <v>-46.005650511910325</v>
      </c>
      <c r="AB386" s="17">
        <v>2.1509150746491916</v>
      </c>
      <c r="AC386" s="18">
        <v>0.61454604077101982</v>
      </c>
      <c r="AD386" s="21">
        <v>0.21613462951654083</v>
      </c>
      <c r="AE386" s="21">
        <v>2.1906034364368745</v>
      </c>
      <c r="AF386" s="21">
        <v>1.7185657890414673E-2</v>
      </c>
      <c r="AG386" s="21"/>
      <c r="AH386" s="21">
        <v>3.5808639815770653</v>
      </c>
    </row>
    <row r="387" spans="1:34" ht="16.2">
      <c r="A387" s="13" t="s">
        <v>162</v>
      </c>
      <c r="B387" s="13" t="s">
        <v>192</v>
      </c>
      <c r="C387" s="13">
        <v>193</v>
      </c>
      <c r="E387" s="14">
        <v>45958</v>
      </c>
      <c r="H387" s="16">
        <v>18.3</v>
      </c>
      <c r="I387" s="16">
        <v>6.85</v>
      </c>
      <c r="J387" s="16">
        <v>41.16</v>
      </c>
      <c r="W387" s="18">
        <v>0.11437636248254382</v>
      </c>
      <c r="Y387" s="92">
        <v>0.75211063508064524</v>
      </c>
      <c r="Z387" s="20">
        <v>-7.602442905102027</v>
      </c>
      <c r="AA387" s="10">
        <v>-40.125265363775057</v>
      </c>
      <c r="AB387" s="17">
        <v>2.5746612871771202</v>
      </c>
      <c r="AC387" s="18">
        <v>0.81494627642279516</v>
      </c>
      <c r="AD387" s="21">
        <v>0.20372359350658442</v>
      </c>
      <c r="AE387" s="21">
        <v>2.9769594712635472</v>
      </c>
      <c r="AF387" s="21">
        <v>1.9088486271912106E-2</v>
      </c>
      <c r="AG387" s="21"/>
      <c r="AH387" s="21">
        <v>4.273449709836477</v>
      </c>
    </row>
    <row r="388" spans="1:34" ht="16.2">
      <c r="A388" s="13" t="s">
        <v>161</v>
      </c>
      <c r="B388" s="13" t="s">
        <v>181</v>
      </c>
      <c r="C388" s="13">
        <v>193</v>
      </c>
      <c r="E388" s="14">
        <v>45958</v>
      </c>
      <c r="H388" s="16">
        <v>19</v>
      </c>
      <c r="I388" s="16">
        <v>6.36</v>
      </c>
      <c r="J388" s="16">
        <v>37.479999999999997</v>
      </c>
      <c r="W388" s="18">
        <v>0.16169923361640032</v>
      </c>
      <c r="Y388" s="92">
        <v>0.55656186995967749</v>
      </c>
      <c r="Z388" s="20">
        <v>-7.7394898799557748</v>
      </c>
      <c r="AA388" s="10">
        <v>-41.36007486861152</v>
      </c>
      <c r="AB388" s="17">
        <v>2.421098376673358</v>
      </c>
      <c r="AC388" s="18">
        <v>0.73612295191940813</v>
      </c>
      <c r="AD388" s="21">
        <v>0.2049864279594569</v>
      </c>
      <c r="AE388" s="21">
        <v>2.6061280286290689</v>
      </c>
      <c r="AF388" s="21">
        <v>1.8847676811907643E-2</v>
      </c>
      <c r="AG388" s="21"/>
      <c r="AH388" s="21">
        <v>3.964070861178278</v>
      </c>
    </row>
    <row r="389" spans="1:34" ht="16.2">
      <c r="A389" s="13" t="s">
        <v>162</v>
      </c>
      <c r="B389" s="13" t="s">
        <v>192</v>
      </c>
      <c r="C389" s="13">
        <v>194</v>
      </c>
      <c r="E389" s="14">
        <v>45965</v>
      </c>
      <c r="H389" s="16">
        <v>17.7</v>
      </c>
      <c r="I389" s="16">
        <v>6.15</v>
      </c>
      <c r="J389" s="16">
        <v>44.05</v>
      </c>
      <c r="W389" s="18">
        <v>0.1958572377529566</v>
      </c>
      <c r="Y389" s="92"/>
      <c r="Z389" s="20">
        <v>-7.430704841375527</v>
      </c>
      <c r="AA389" s="10">
        <v>-37.415346238517415</v>
      </c>
      <c r="AB389" s="17">
        <v>2.9827722188789378</v>
      </c>
      <c r="AC389" s="18">
        <v>0.91852708459691035</v>
      </c>
      <c r="AD389" s="21">
        <v>0.1741471556029838</v>
      </c>
      <c r="AE389" s="21">
        <v>3.300773398723349</v>
      </c>
      <c r="AF389" s="21">
        <v>2.0884242431316903E-2</v>
      </c>
      <c r="AG389" s="21"/>
      <c r="AH389" s="21">
        <v>4.9796291010463642</v>
      </c>
    </row>
    <row r="390" spans="1:34" ht="16.2">
      <c r="A390" s="13" t="s">
        <v>161</v>
      </c>
      <c r="B390" s="13" t="s">
        <v>181</v>
      </c>
      <c r="C390" s="13">
        <v>194</v>
      </c>
      <c r="E390" s="14">
        <v>45965</v>
      </c>
      <c r="H390" s="16">
        <v>18.100000000000001</v>
      </c>
      <c r="I390" s="16">
        <v>6.24</v>
      </c>
      <c r="J390" s="16">
        <v>45.04</v>
      </c>
      <c r="W390" s="18">
        <v>0.23552625615204958</v>
      </c>
      <c r="Y390" s="92"/>
      <c r="Z390" s="20">
        <v>-7.4540612180423302</v>
      </c>
      <c r="AA390" s="10">
        <v>-37.955426696316792</v>
      </c>
      <c r="AB390" s="17">
        <v>2.8783606379481017</v>
      </c>
      <c r="AC390" s="18">
        <v>0.94035690483880729</v>
      </c>
      <c r="AD390" s="21">
        <v>0.19627006197354893</v>
      </c>
      <c r="AE390" s="21">
        <v>3.2968677994828779</v>
      </c>
      <c r="AF390" s="21">
        <v>2.2748563600107841E-2</v>
      </c>
      <c r="AG390" s="21"/>
      <c r="AH390" s="21">
        <v>4.6511547269663396</v>
      </c>
    </row>
    <row r="391" spans="1:34" ht="16.2">
      <c r="A391" s="13" t="s">
        <v>71</v>
      </c>
      <c r="B391" s="13" t="s">
        <v>192</v>
      </c>
      <c r="C391" s="13">
        <v>195</v>
      </c>
      <c r="E391" s="14">
        <v>45974</v>
      </c>
      <c r="H391" s="16">
        <v>16</v>
      </c>
      <c r="I391" s="16">
        <v>6.06</v>
      </c>
      <c r="J391" s="16">
        <v>38.44</v>
      </c>
      <c r="W391" s="18">
        <v>0.23150822320911674</v>
      </c>
      <c r="Y391" s="92"/>
      <c r="Z391" s="20">
        <v>-7.4678640109859167</v>
      </c>
      <c r="AA391" s="10">
        <v>-37.500346736635493</v>
      </c>
      <c r="AB391" s="17">
        <v>1.6999583677313146</v>
      </c>
      <c r="AC391" s="18">
        <v>0.52866537038525863</v>
      </c>
      <c r="AD391" s="21">
        <v>0.16401004739193778</v>
      </c>
      <c r="AE391" s="21">
        <v>2.0697913309032714</v>
      </c>
      <c r="AF391" s="21">
        <v>1.9080984698609849E-2</v>
      </c>
      <c r="AG391" s="21"/>
      <c r="AH391" s="21">
        <v>4.4130745937794229</v>
      </c>
    </row>
    <row r="392" spans="1:34" ht="16.2">
      <c r="A392" s="13" t="s">
        <v>73</v>
      </c>
      <c r="B392" s="13" t="s">
        <v>181</v>
      </c>
      <c r="C392" s="13">
        <v>195</v>
      </c>
      <c r="E392" s="14">
        <v>45974</v>
      </c>
      <c r="H392" s="16">
        <v>16.3</v>
      </c>
      <c r="I392" s="16">
        <v>6.14</v>
      </c>
      <c r="J392" s="16">
        <v>36.69</v>
      </c>
      <c r="W392" s="18">
        <v>0.19804104036768977</v>
      </c>
      <c r="Y392" s="92"/>
      <c r="Z392" s="20">
        <v>-7.2353650789067849</v>
      </c>
      <c r="AA392" s="10">
        <v>-36.310812495978368</v>
      </c>
      <c r="AB392" s="17">
        <v>1.6636247006482656</v>
      </c>
      <c r="AC392" s="18">
        <v>0.525007634488865</v>
      </c>
      <c r="AD392" s="21">
        <v>0.12873788266301775</v>
      </c>
      <c r="AE392" s="21">
        <v>1.9242474635062896</v>
      </c>
      <c r="AF392" s="21">
        <v>1.9169641401966905E-2</v>
      </c>
      <c r="AG392" s="21"/>
      <c r="AH392" s="21">
        <v>4.3612840260796268</v>
      </c>
    </row>
    <row r="393" spans="1:34" ht="16.2">
      <c r="A393" s="13" t="s">
        <v>71</v>
      </c>
      <c r="B393" s="13" t="s">
        <v>192</v>
      </c>
      <c r="C393" s="13">
        <v>196</v>
      </c>
      <c r="E393" s="14">
        <v>45979</v>
      </c>
      <c r="H393" s="16">
        <v>12.7</v>
      </c>
      <c r="I393" s="16">
        <v>6.62</v>
      </c>
      <c r="J393" s="16">
        <v>45.41</v>
      </c>
      <c r="W393" s="18">
        <v>0.21397367760685582</v>
      </c>
      <c r="Y393" s="92"/>
      <c r="Z393" s="20">
        <v>-7.3990274691618847</v>
      </c>
      <c r="AA393" s="10">
        <v>-36.748074863565911</v>
      </c>
      <c r="AB393" s="17">
        <v>2.9460515615776739</v>
      </c>
      <c r="AC393" s="18">
        <v>0.90364069063988017</v>
      </c>
      <c r="AD393" s="21">
        <v>0.21322456966826192</v>
      </c>
      <c r="AE393" s="21">
        <v>3.4153790753995668</v>
      </c>
      <c r="AF393" s="21">
        <v>2.7533094644271724E-2</v>
      </c>
      <c r="AG393" s="21"/>
      <c r="AH393" s="21">
        <v>4.9183849971478812</v>
      </c>
    </row>
    <row r="394" spans="1:34" ht="16.2">
      <c r="A394" s="13" t="s">
        <v>73</v>
      </c>
      <c r="B394" s="13" t="s">
        <v>181</v>
      </c>
      <c r="C394" s="13">
        <v>196</v>
      </c>
      <c r="E394" s="14">
        <v>45979</v>
      </c>
      <c r="H394" s="16">
        <v>12.7</v>
      </c>
      <c r="I394" s="16">
        <v>6.67</v>
      </c>
      <c r="J394" s="16">
        <v>43.14</v>
      </c>
      <c r="W394" s="18">
        <v>0.17811497355247136</v>
      </c>
      <c r="Y394" s="92"/>
      <c r="Z394" s="20">
        <v>-7.5012286613598116</v>
      </c>
      <c r="AA394" s="10">
        <v>-37.677821772248869</v>
      </c>
      <c r="AB394" s="17">
        <v>3.0800569235559641</v>
      </c>
      <c r="AC394" s="18">
        <v>0.99313926980986633</v>
      </c>
      <c r="AD394" s="21">
        <v>0.21493829335682096</v>
      </c>
      <c r="AE394" s="21">
        <v>3.5993999175158105</v>
      </c>
      <c r="AF394" s="21">
        <v>2.982239414272065E-2</v>
      </c>
      <c r="AG394" s="21"/>
      <c r="AH394" s="21">
        <v>4.9064930516041576</v>
      </c>
    </row>
    <row r="395" spans="1:34" ht="16.2">
      <c r="A395" s="13" t="s">
        <v>71</v>
      </c>
      <c r="B395" s="13" t="s">
        <v>192</v>
      </c>
      <c r="C395" s="13">
        <v>197</v>
      </c>
      <c r="E395" s="14">
        <v>45986</v>
      </c>
      <c r="H395" s="16">
        <v>14.7</v>
      </c>
      <c r="I395" s="16">
        <v>6.26</v>
      </c>
      <c r="J395" s="16">
        <v>50.24</v>
      </c>
      <c r="W395" s="18">
        <v>0.22108082791517092</v>
      </c>
      <c r="Y395" s="92"/>
      <c r="Z395" s="20">
        <v>-7.5482903787293036</v>
      </c>
      <c r="AA395" s="10">
        <v>-38.383554203494207</v>
      </c>
      <c r="AB395" s="17">
        <v>3.2987584700681576</v>
      </c>
      <c r="AC395" s="18">
        <v>1.0335187317361918</v>
      </c>
      <c r="AD395" s="21">
        <v>0.18941691874738739</v>
      </c>
      <c r="AE395" s="21">
        <v>3.8580806309724838</v>
      </c>
      <c r="AF395" s="21">
        <v>2.9616989981048263E-2</v>
      </c>
      <c r="AG395" s="21"/>
      <c r="AH395" s="21">
        <v>5.4138485810208969</v>
      </c>
    </row>
    <row r="396" spans="1:34" ht="16.2">
      <c r="A396" s="13" t="s">
        <v>73</v>
      </c>
      <c r="B396" s="13" t="s">
        <v>181</v>
      </c>
      <c r="C396" s="13">
        <v>197</v>
      </c>
      <c r="E396" s="14">
        <v>45986</v>
      </c>
      <c r="H396" s="16">
        <v>14.1</v>
      </c>
      <c r="I396" s="16">
        <v>6.4</v>
      </c>
      <c r="J396" s="16">
        <v>52.61</v>
      </c>
      <c r="W396" s="18">
        <v>0.13762482566499767</v>
      </c>
      <c r="Y396" s="92"/>
      <c r="Z396" s="20">
        <v>-7.6870170829154922</v>
      </c>
      <c r="AA396" s="10">
        <v>-40.045081738473399</v>
      </c>
      <c r="AB396" s="17">
        <v>3.2667713328357704</v>
      </c>
      <c r="AC396" s="18">
        <v>1.1040104522981902</v>
      </c>
      <c r="AD396" s="21">
        <v>0.18982325171034053</v>
      </c>
      <c r="AE396" s="21">
        <v>3.99171199884479</v>
      </c>
      <c r="AF396" s="21">
        <v>3.1781293100057173E-2</v>
      </c>
      <c r="AG396" s="21"/>
      <c r="AH396" s="21">
        <v>5.1347630223652487</v>
      </c>
    </row>
    <row r="397" spans="1:34" ht="16.2">
      <c r="A397" s="13" t="s">
        <v>71</v>
      </c>
      <c r="B397" s="13" t="s">
        <v>192</v>
      </c>
      <c r="C397" s="13">
        <v>198</v>
      </c>
      <c r="E397" s="14">
        <v>45993</v>
      </c>
      <c r="H397" s="16">
        <v>17.899999999999999</v>
      </c>
      <c r="I397" s="16">
        <v>7.27</v>
      </c>
      <c r="J397" s="16">
        <v>52.02</v>
      </c>
      <c r="W397" s="18">
        <v>9.3976313475628709E-2</v>
      </c>
      <c r="Y397" s="92"/>
      <c r="Z397" s="20">
        <v>-7.5669043415694759</v>
      </c>
      <c r="AA397" s="10">
        <v>-38.970159556040173</v>
      </c>
      <c r="AB397" s="17">
        <v>3.426455118093648</v>
      </c>
      <c r="AC397" s="18">
        <v>1.1157741744545198</v>
      </c>
      <c r="AD397" s="21">
        <v>0.231156792695875</v>
      </c>
      <c r="AE397" s="21">
        <v>4.2031558317039552</v>
      </c>
      <c r="AF397" s="21">
        <v>3.1728892730344363E-2</v>
      </c>
      <c r="AG397" s="21"/>
      <c r="AH397" s="21">
        <v>5.5308494039085847</v>
      </c>
    </row>
    <row r="398" spans="1:34" ht="16.2">
      <c r="A398" s="13" t="s">
        <v>73</v>
      </c>
      <c r="B398" s="13" t="s">
        <v>181</v>
      </c>
      <c r="C398" s="13">
        <v>198</v>
      </c>
      <c r="E398" s="14">
        <v>45993</v>
      </c>
      <c r="H398" s="16">
        <v>18.2</v>
      </c>
      <c r="I398" s="16">
        <v>6.97</v>
      </c>
      <c r="J398" s="16">
        <v>54.45</v>
      </c>
      <c r="W398" s="18">
        <v>0.19095071833791655</v>
      </c>
      <c r="Y398" s="92"/>
      <c r="Z398" s="20">
        <v>-7.5960545097908776</v>
      </c>
      <c r="AA398" s="10">
        <v>-38.406823924406346</v>
      </c>
      <c r="AB398" s="17">
        <v>3.4512717058539315</v>
      </c>
      <c r="AC398" s="18">
        <v>1.2100336563450502</v>
      </c>
      <c r="AD398" s="21">
        <v>0.24831020056488401</v>
      </c>
      <c r="AE398" s="21">
        <v>4.3656157706313286</v>
      </c>
      <c r="AF398" s="21">
        <v>3.4105507817347114E-2</v>
      </c>
      <c r="AG398" s="21"/>
      <c r="AH398" s="21">
        <v>5.26858369345236</v>
      </c>
    </row>
    <row r="399" spans="1:34" ht="16.2">
      <c r="A399" s="13" t="s">
        <v>71</v>
      </c>
      <c r="B399" s="13" t="s">
        <v>192</v>
      </c>
      <c r="C399" s="13">
        <v>199</v>
      </c>
      <c r="E399" s="14">
        <v>46000</v>
      </c>
      <c r="H399" s="16">
        <v>19.100000000000001</v>
      </c>
      <c r="I399" s="16">
        <v>6.29</v>
      </c>
      <c r="J399" s="16">
        <v>48.85</v>
      </c>
      <c r="W399" s="18">
        <v>0.18708478732628303</v>
      </c>
      <c r="Y399" s="92"/>
      <c r="Z399" s="20">
        <v>-7.2690809361267199</v>
      </c>
      <c r="AA399" s="10">
        <v>-34.911503457844759</v>
      </c>
      <c r="AB399" s="17">
        <v>3.3613861434453951</v>
      </c>
      <c r="AC399" s="18">
        <v>1.0984964014485787</v>
      </c>
      <c r="AD399" s="21">
        <v>0.23138145628192514</v>
      </c>
      <c r="AE399" s="21">
        <v>4.1281058733226068</v>
      </c>
      <c r="AF399" s="21">
        <v>3.1166327014011657E-2</v>
      </c>
      <c r="AG399" s="21"/>
      <c r="AH399" s="21">
        <v>5.0490444460020978</v>
      </c>
    </row>
    <row r="400" spans="1:34" ht="16.2">
      <c r="A400" s="13" t="s">
        <v>73</v>
      </c>
      <c r="B400" s="13" t="s">
        <v>181</v>
      </c>
      <c r="C400" s="13">
        <v>199</v>
      </c>
      <c r="E400" s="14">
        <v>46000</v>
      </c>
      <c r="H400" s="16">
        <v>19</v>
      </c>
      <c r="I400" s="16">
        <v>6.32</v>
      </c>
      <c r="J400" s="16">
        <v>56.27</v>
      </c>
      <c r="W400" s="18">
        <v>0.18655154567593019</v>
      </c>
      <c r="Y400" s="92"/>
      <c r="Z400" s="20">
        <v>-7.3877888500885733</v>
      </c>
      <c r="AA400" s="10">
        <v>-36.439664234163416</v>
      </c>
      <c r="AB400" s="17">
        <v>3.5445500970187456</v>
      </c>
      <c r="AC400" s="18">
        <v>1.2891322783855528</v>
      </c>
      <c r="AD400" s="21">
        <v>0.20172665053552821</v>
      </c>
      <c r="AE400" s="21">
        <v>4.6310903793271745</v>
      </c>
      <c r="AF400" s="21">
        <v>3.5859044895271704E-2</v>
      </c>
      <c r="AG400" s="21"/>
      <c r="AH400" s="21">
        <v>5.104074087298879</v>
      </c>
    </row>
    <row r="401" spans="1:34" ht="16.2">
      <c r="A401" s="13" t="s">
        <v>71</v>
      </c>
      <c r="B401" s="13" t="s">
        <v>192</v>
      </c>
      <c r="C401" s="13">
        <v>199.5</v>
      </c>
      <c r="E401" s="14">
        <v>46007</v>
      </c>
      <c r="H401" s="16">
        <v>12.7</v>
      </c>
      <c r="I401" s="16">
        <v>6.73</v>
      </c>
      <c r="J401" s="16">
        <v>54.13</v>
      </c>
      <c r="W401" s="18">
        <v>0.11883723169763641</v>
      </c>
      <c r="Y401" s="92"/>
      <c r="Z401" s="20">
        <v>-7.368823680402361</v>
      </c>
      <c r="AA401" s="10">
        <v>-37.328775958567</v>
      </c>
      <c r="AB401" s="17">
        <v>3.4445459593754011</v>
      </c>
      <c r="AC401" s="18">
        <v>1.1666395249774588</v>
      </c>
      <c r="AD401" s="21">
        <v>0.21666721904275996</v>
      </c>
      <c r="AE401" s="21">
        <v>4.418675982334717</v>
      </c>
      <c r="AF401" s="21">
        <v>3.3262614032487293E-2</v>
      </c>
      <c r="AG401" s="21"/>
      <c r="AH401" s="21">
        <v>5.3730838429049443</v>
      </c>
    </row>
    <row r="402" spans="1:34" ht="16.2">
      <c r="A402" s="13" t="s">
        <v>73</v>
      </c>
      <c r="B402" s="13" t="s">
        <v>181</v>
      </c>
      <c r="C402" s="13">
        <v>199.9</v>
      </c>
      <c r="E402" s="14">
        <v>46007</v>
      </c>
      <c r="H402" s="16">
        <v>13.8</v>
      </c>
      <c r="I402" s="16">
        <v>6.55</v>
      </c>
      <c r="J402" s="16">
        <v>57.56</v>
      </c>
      <c r="W402" s="18">
        <v>0.15016964256041865</v>
      </c>
      <c r="Y402" s="92"/>
      <c r="Z402" s="20">
        <v>-7.4812098711354755</v>
      </c>
      <c r="AA402" s="10">
        <v>-37.0887852548315</v>
      </c>
      <c r="AB402" s="17">
        <v>3.6264800242257809</v>
      </c>
      <c r="AC402" s="18">
        <v>1.3167765296096183</v>
      </c>
      <c r="AD402" s="21">
        <v>0.21577727868165755</v>
      </c>
      <c r="AE402" s="21">
        <v>4.6689867822001681</v>
      </c>
      <c r="AF402" s="21">
        <v>3.5664053097051097E-2</v>
      </c>
      <c r="AG402" s="21"/>
      <c r="AH402" s="21">
        <v>5.1463555083617614</v>
      </c>
    </row>
    <row r="403" spans="1:34" ht="16.2">
      <c r="A403" s="13" t="s">
        <v>71</v>
      </c>
      <c r="B403" s="13" t="s">
        <v>192</v>
      </c>
      <c r="C403" s="13">
        <v>201</v>
      </c>
      <c r="E403" s="14">
        <v>46014</v>
      </c>
      <c r="H403" s="16">
        <v>19.5</v>
      </c>
      <c r="I403" s="16">
        <v>7.02</v>
      </c>
      <c r="J403" s="16">
        <v>54.89</v>
      </c>
      <c r="Y403" s="92"/>
      <c r="Z403" s="20">
        <v>-7.3674188530181963</v>
      </c>
      <c r="AA403" s="10">
        <v>-36.230931364488981</v>
      </c>
      <c r="AB403" s="17">
        <v>3.4713428860966182</v>
      </c>
      <c r="AC403" s="18">
        <v>1.2021863183123627</v>
      </c>
      <c r="AD403" s="21">
        <v>0.20956783841044388</v>
      </c>
      <c r="AE403" s="21">
        <v>4.4723641965251035</v>
      </c>
      <c r="AF403" s="21">
        <v>3.318891461632751E-2</v>
      </c>
      <c r="AG403" s="21"/>
      <c r="AH403" s="21">
        <v>5.2111408070109002</v>
      </c>
    </row>
    <row r="404" spans="1:34" ht="16.2">
      <c r="A404" s="13" t="s">
        <v>73</v>
      </c>
      <c r="B404" s="13" t="s">
        <v>181</v>
      </c>
      <c r="C404" s="13">
        <v>201</v>
      </c>
      <c r="E404" s="14">
        <v>46014</v>
      </c>
      <c r="H404" s="16">
        <v>20.6</v>
      </c>
      <c r="I404" s="16">
        <v>6.65</v>
      </c>
      <c r="J404" s="16">
        <v>59.45</v>
      </c>
      <c r="Y404" s="92"/>
      <c r="Z404" s="20">
        <v>-7.2824267962762779</v>
      </c>
      <c r="AA404" s="10">
        <v>-35.538743994670099</v>
      </c>
      <c r="AB404" s="17">
        <v>3.5739497988016482</v>
      </c>
      <c r="AC404" s="18">
        <v>1.3680499906759698</v>
      </c>
      <c r="AD404" s="21">
        <v>0.2080024573534692</v>
      </c>
      <c r="AE404" s="21">
        <v>4.892352131996228</v>
      </c>
      <c r="AF404" s="21">
        <v>3.715464273807019E-2</v>
      </c>
      <c r="AG404" s="21"/>
      <c r="AH404" s="21">
        <v>5.0768721430204806</v>
      </c>
    </row>
    <row r="405" spans="1:34" ht="16.2">
      <c r="A405" s="13" t="s">
        <v>71</v>
      </c>
      <c r="B405" s="13" t="s">
        <v>192</v>
      </c>
      <c r="C405" s="13">
        <v>201.75</v>
      </c>
      <c r="E405" s="14">
        <v>46021</v>
      </c>
      <c r="H405" s="16">
        <v>15.2</v>
      </c>
      <c r="I405" s="16">
        <v>6.78</v>
      </c>
      <c r="J405" s="16">
        <v>53.5</v>
      </c>
      <c r="Y405" s="92"/>
      <c r="Z405" s="20">
        <v>-7.4703224589082051</v>
      </c>
      <c r="AA405" s="10">
        <v>-37.609054537314528</v>
      </c>
      <c r="AB405" s="17">
        <v>3.3784601355625457</v>
      </c>
      <c r="AC405" s="18">
        <v>1.1766702700251763</v>
      </c>
      <c r="AD405" s="21">
        <v>0.220846057665636</v>
      </c>
      <c r="AE405" s="21">
        <v>4.3157579173193463</v>
      </c>
      <c r="AF405" s="21">
        <v>3.2948794676062945E-2</v>
      </c>
      <c r="AG405" s="21"/>
      <c r="AH405" s="21">
        <v>5.2723648558048204</v>
      </c>
    </row>
    <row r="406" spans="1:34" ht="16.2">
      <c r="A406" s="13" t="s">
        <v>73</v>
      </c>
      <c r="B406" s="13" t="s">
        <v>181</v>
      </c>
      <c r="C406" s="13">
        <v>202.31</v>
      </c>
      <c r="E406" s="14">
        <v>46021</v>
      </c>
      <c r="H406" s="16">
        <v>16.7</v>
      </c>
      <c r="I406" s="16">
        <v>6.41</v>
      </c>
      <c r="J406" s="16">
        <v>55.81</v>
      </c>
      <c r="Y406" s="92"/>
      <c r="Z406" s="20">
        <v>-7.3656628187879916</v>
      </c>
      <c r="AA406" s="10">
        <v>-35.884316715678516</v>
      </c>
      <c r="AB406" s="17">
        <v>3.2956489973740286</v>
      </c>
      <c r="AC406" s="18">
        <v>1.2625477788525643</v>
      </c>
      <c r="AD406" s="21">
        <v>0.20061304285227086</v>
      </c>
      <c r="AE406" s="21">
        <v>4.6120838052808679</v>
      </c>
      <c r="AF406" s="21">
        <v>3.5794530417087397E-2</v>
      </c>
      <c r="AG406" s="21"/>
      <c r="AH406" s="21">
        <v>4.952231962985687</v>
      </c>
    </row>
    <row r="407" spans="1:34" ht="16.2">
      <c r="A407" s="13" t="s">
        <v>199</v>
      </c>
      <c r="B407" s="13" t="s">
        <v>192</v>
      </c>
      <c r="C407" s="13">
        <v>203</v>
      </c>
      <c r="E407" s="14">
        <v>46028</v>
      </c>
      <c r="H407" s="16">
        <v>15.7</v>
      </c>
      <c r="I407" s="16">
        <v>6.69</v>
      </c>
      <c r="J407" s="16">
        <v>54.88</v>
      </c>
      <c r="Y407" s="92"/>
      <c r="AC407" s="18"/>
      <c r="AD407" s="21"/>
      <c r="AE407" s="21"/>
      <c r="AF407" s="21"/>
      <c r="AG407" s="21"/>
      <c r="AH407" s="21"/>
    </row>
    <row r="408" spans="1:34" ht="16.2">
      <c r="A408" s="13" t="s">
        <v>73</v>
      </c>
      <c r="B408" s="13" t="s">
        <v>181</v>
      </c>
      <c r="C408" s="13">
        <v>203</v>
      </c>
      <c r="E408" s="14">
        <v>46028</v>
      </c>
      <c r="H408" s="16">
        <v>16.3</v>
      </c>
      <c r="I408" s="16">
        <v>6.73</v>
      </c>
      <c r="J408" s="16">
        <v>57.04</v>
      </c>
      <c r="Y408" s="92"/>
      <c r="AC408" s="18"/>
      <c r="AD408" s="21"/>
      <c r="AE408" s="21"/>
      <c r="AF408" s="21"/>
      <c r="AG408" s="21"/>
      <c r="AH408" s="21"/>
    </row>
    <row r="409" spans="1:34" ht="16.2">
      <c r="A409" s="13" t="s">
        <v>199</v>
      </c>
      <c r="B409" s="13" t="s">
        <v>192</v>
      </c>
      <c r="C409" s="13">
        <v>204</v>
      </c>
      <c r="E409" s="14">
        <v>46035</v>
      </c>
      <c r="H409" s="16">
        <v>11.4</v>
      </c>
      <c r="I409" s="16">
        <v>7.3</v>
      </c>
      <c r="J409" s="16">
        <v>56.53</v>
      </c>
      <c r="Y409" s="92"/>
      <c r="AC409" s="18"/>
      <c r="AD409" s="21"/>
      <c r="AE409" s="21"/>
      <c r="AF409" s="21"/>
      <c r="AG409" s="21"/>
      <c r="AH409" s="21"/>
    </row>
    <row r="410" spans="1:34" ht="16.2">
      <c r="A410" s="13" t="s">
        <v>73</v>
      </c>
      <c r="B410" s="13" t="s">
        <v>181</v>
      </c>
      <c r="C410" s="13">
        <v>204</v>
      </c>
      <c r="E410" s="14">
        <v>46035</v>
      </c>
      <c r="H410" s="16">
        <v>12.1</v>
      </c>
      <c r="I410" s="16">
        <v>7</v>
      </c>
      <c r="J410" s="16">
        <v>59.22</v>
      </c>
      <c r="Y410" s="92"/>
      <c r="AC410" s="18"/>
      <c r="AD410" s="21"/>
      <c r="AE410" s="21"/>
      <c r="AF410" s="21"/>
      <c r="AG410" s="21"/>
      <c r="AH410" s="21"/>
    </row>
    <row r="411" spans="1:34" ht="16.2">
      <c r="A411" s="13" t="s">
        <v>162</v>
      </c>
      <c r="B411" s="13" t="s">
        <v>192</v>
      </c>
      <c r="C411" s="13">
        <v>205</v>
      </c>
      <c r="E411" s="14">
        <v>46042</v>
      </c>
      <c r="H411" s="16">
        <v>12.8</v>
      </c>
      <c r="I411" s="16">
        <v>6.49</v>
      </c>
      <c r="J411" s="16">
        <v>59.14</v>
      </c>
      <c r="Y411" s="92"/>
      <c r="AC411" s="18"/>
      <c r="AD411" s="21"/>
      <c r="AE411" s="21"/>
      <c r="AF411" s="21"/>
      <c r="AG411" s="21"/>
      <c r="AH411" s="21"/>
    </row>
    <row r="412" spans="1:34" ht="16.2">
      <c r="A412" s="13" t="s">
        <v>73</v>
      </c>
      <c r="B412" s="13" t="s">
        <v>181</v>
      </c>
      <c r="C412" s="13">
        <v>205</v>
      </c>
      <c r="E412" s="14">
        <v>46042</v>
      </c>
      <c r="H412" s="16">
        <v>13</v>
      </c>
      <c r="I412" s="16">
        <v>6.92</v>
      </c>
      <c r="J412" s="16">
        <v>61.04</v>
      </c>
      <c r="Y412" s="92"/>
      <c r="AC412" s="18"/>
      <c r="AD412" s="21"/>
      <c r="AE412" s="21"/>
      <c r="AF412" s="21"/>
      <c r="AG412" s="21"/>
      <c r="AH412" s="21"/>
    </row>
    <row r="413" spans="1:34" ht="16.2">
      <c r="A413" s="13" t="s">
        <v>162</v>
      </c>
      <c r="B413" s="13" t="s">
        <v>192</v>
      </c>
      <c r="C413" s="13">
        <v>206</v>
      </c>
      <c r="E413" s="14">
        <v>46049</v>
      </c>
      <c r="H413" s="16">
        <v>15.7</v>
      </c>
      <c r="I413" s="16">
        <v>6.59</v>
      </c>
      <c r="J413" s="16">
        <v>59.72</v>
      </c>
      <c r="Y413" s="92"/>
      <c r="AC413" s="18"/>
      <c r="AD413" s="21"/>
      <c r="AE413" s="21"/>
      <c r="AF413" s="21"/>
      <c r="AG413" s="21"/>
      <c r="AH413" s="21"/>
    </row>
    <row r="414" spans="1:34" ht="16.2">
      <c r="A414" s="13" t="s">
        <v>73</v>
      </c>
      <c r="B414" s="13" t="s">
        <v>181</v>
      </c>
      <c r="C414" s="13">
        <v>206</v>
      </c>
      <c r="E414" s="14">
        <v>46049</v>
      </c>
      <c r="H414" s="16">
        <v>15.5</v>
      </c>
      <c r="I414" s="16">
        <v>6.65</v>
      </c>
      <c r="J414" s="16">
        <v>61.61</v>
      </c>
      <c r="Y414" s="92"/>
      <c r="AC414" s="18"/>
      <c r="AD414" s="21"/>
      <c r="AE414" s="21"/>
      <c r="AF414" s="21"/>
      <c r="AG414" s="21"/>
      <c r="AH414" s="21"/>
    </row>
    <row r="415" spans="1:34" ht="16.2">
      <c r="A415" s="13" t="s">
        <v>162</v>
      </c>
      <c r="B415" s="13" t="s">
        <v>192</v>
      </c>
      <c r="C415" s="13">
        <v>207</v>
      </c>
      <c r="E415" s="14">
        <v>46056</v>
      </c>
      <c r="H415" s="16">
        <v>13</v>
      </c>
      <c r="I415" s="16">
        <v>6.07</v>
      </c>
      <c r="J415" s="16">
        <v>55.58</v>
      </c>
      <c r="Y415" s="92"/>
      <c r="AC415" s="18"/>
      <c r="AD415" s="21"/>
      <c r="AE415" s="21"/>
      <c r="AF415" s="21"/>
      <c r="AG415" s="21"/>
      <c r="AH415" s="21"/>
    </row>
    <row r="416" spans="1:34" ht="16.2">
      <c r="A416" s="13" t="s">
        <v>73</v>
      </c>
      <c r="B416" s="13" t="s">
        <v>181</v>
      </c>
      <c r="C416" s="13">
        <v>207</v>
      </c>
      <c r="E416" s="14">
        <v>46056</v>
      </c>
      <c r="H416" s="16">
        <v>13.4</v>
      </c>
      <c r="I416" s="16">
        <v>6.3</v>
      </c>
      <c r="J416" s="16">
        <v>60.08</v>
      </c>
      <c r="Y416" s="92"/>
      <c r="AC416" s="18"/>
      <c r="AD416" s="21"/>
      <c r="AE416" s="21"/>
      <c r="AF416" s="21"/>
      <c r="AG416" s="21"/>
      <c r="AH416" s="21"/>
    </row>
    <row r="417" spans="25:34">
      <c r="Y417" s="92"/>
      <c r="AC417" s="18"/>
      <c r="AD417" s="21"/>
      <c r="AE417" s="21"/>
      <c r="AF417" s="21"/>
      <c r="AG417" s="21"/>
      <c r="AH417" s="21"/>
    </row>
    <row r="418" spans="25:34">
      <c r="Y418" s="92"/>
      <c r="AC418" s="18"/>
      <c r="AD418" s="21"/>
      <c r="AE418" s="21"/>
      <c r="AF418" s="21"/>
      <c r="AG418" s="21"/>
      <c r="AH418" s="21"/>
    </row>
    <row r="419" spans="25:34">
      <c r="Y419" s="92"/>
      <c r="AC419" s="18"/>
      <c r="AD419" s="21"/>
      <c r="AE419" s="21"/>
      <c r="AF419" s="21"/>
      <c r="AG419" s="21"/>
      <c r="AH419" s="21"/>
    </row>
    <row r="420" spans="25:34">
      <c r="Y420" s="92"/>
      <c r="AC420" s="18"/>
      <c r="AD420" s="21"/>
      <c r="AE420" s="21"/>
      <c r="AF420" s="21"/>
      <c r="AG420" s="21"/>
      <c r="AH420" s="21"/>
    </row>
    <row r="421" spans="25:34">
      <c r="Y421" s="92"/>
      <c r="AC421" s="18"/>
      <c r="AD421" s="21"/>
      <c r="AE421" s="21"/>
      <c r="AF421" s="21"/>
      <c r="AG421" s="21"/>
      <c r="AH421" s="21"/>
    </row>
    <row r="422" spans="25:34">
      <c r="Y422" s="92"/>
      <c r="AC422" s="18"/>
      <c r="AD422" s="21"/>
      <c r="AE422" s="21"/>
      <c r="AF422" s="21"/>
      <c r="AG422" s="21"/>
      <c r="AH422" s="21"/>
    </row>
    <row r="423" spans="25:34">
      <c r="Y423" s="92"/>
      <c r="AC423" s="18"/>
      <c r="AD423" s="21"/>
      <c r="AE423" s="21"/>
      <c r="AF423" s="21"/>
      <c r="AG423" s="21"/>
      <c r="AH423" s="21"/>
    </row>
    <row r="424" spans="25:34">
      <c r="Y424" s="92"/>
      <c r="AC424" s="18"/>
      <c r="AD424" s="21"/>
      <c r="AE424" s="21"/>
      <c r="AF424" s="21"/>
      <c r="AG424" s="21"/>
      <c r="AH424" s="21"/>
    </row>
    <row r="425" spans="25:34">
      <c r="Y425" s="92"/>
      <c r="AC425" s="18"/>
      <c r="AD425" s="21"/>
      <c r="AE425" s="21"/>
      <c r="AF425" s="21"/>
      <c r="AG425" s="21"/>
      <c r="AH425" s="21"/>
    </row>
    <row r="426" spans="25:34">
      <c r="Y426" s="92"/>
      <c r="AC426" s="18"/>
      <c r="AD426" s="21"/>
      <c r="AE426" s="21"/>
      <c r="AF426" s="21"/>
      <c r="AG426" s="21"/>
      <c r="AH426" s="21"/>
    </row>
    <row r="427" spans="25:34">
      <c r="Y427" s="92"/>
      <c r="AC427" s="18"/>
      <c r="AD427" s="21"/>
      <c r="AE427" s="21"/>
      <c r="AF427" s="21"/>
      <c r="AG427" s="21"/>
      <c r="AH427" s="21"/>
    </row>
    <row r="428" spans="25:34">
      <c r="Y428" s="92"/>
      <c r="AC428" s="18"/>
      <c r="AD428" s="21"/>
      <c r="AE428" s="21"/>
      <c r="AF428" s="21"/>
      <c r="AG428" s="21"/>
      <c r="AH428" s="21"/>
    </row>
    <row r="429" spans="25:34">
      <c r="Y429" s="92"/>
      <c r="AC429" s="18"/>
      <c r="AD429" s="21"/>
      <c r="AE429" s="21"/>
      <c r="AF429" s="21"/>
      <c r="AG429" s="21"/>
      <c r="AH429" s="21"/>
    </row>
    <row r="430" spans="25:34">
      <c r="Y430" s="92"/>
      <c r="AC430" s="18"/>
      <c r="AD430" s="21"/>
      <c r="AE430" s="21"/>
      <c r="AF430" s="21"/>
      <c r="AG430" s="21"/>
      <c r="AH430" s="21"/>
    </row>
    <row r="431" spans="25:34">
      <c r="Y431" s="92"/>
      <c r="AC431" s="18"/>
      <c r="AD431" s="21"/>
      <c r="AE431" s="21"/>
      <c r="AF431" s="21"/>
      <c r="AG431" s="21"/>
      <c r="AH431" s="21"/>
    </row>
    <row r="432" spans="25:34">
      <c r="Y432" s="92"/>
      <c r="AC432" s="18"/>
      <c r="AD432" s="21"/>
      <c r="AE432" s="21"/>
      <c r="AF432" s="21"/>
      <c r="AG432" s="21"/>
      <c r="AH432" s="21"/>
    </row>
    <row r="433" spans="25:34">
      <c r="Y433" s="92"/>
      <c r="AC433" s="18"/>
      <c r="AD433" s="21"/>
      <c r="AE433" s="21"/>
      <c r="AF433" s="21"/>
      <c r="AG433" s="21"/>
      <c r="AH433" s="21"/>
    </row>
    <row r="434" spans="25:34">
      <c r="Y434" s="92"/>
      <c r="AC434" s="18"/>
      <c r="AD434" s="21"/>
      <c r="AE434" s="21"/>
      <c r="AF434" s="21"/>
      <c r="AG434" s="21"/>
      <c r="AH434" s="21"/>
    </row>
    <row r="435" spans="25:34">
      <c r="Y435" s="92"/>
      <c r="AC435" s="18"/>
      <c r="AD435" s="21"/>
      <c r="AE435" s="21"/>
      <c r="AF435" s="21"/>
      <c r="AG435" s="21"/>
      <c r="AH435" s="21"/>
    </row>
    <row r="436" spans="25:34">
      <c r="Y436" s="92"/>
      <c r="AC436" s="18"/>
      <c r="AD436" s="21"/>
      <c r="AE436" s="21"/>
      <c r="AF436" s="21"/>
      <c r="AG436" s="21"/>
      <c r="AH436" s="21"/>
    </row>
    <row r="437" spans="25:34">
      <c r="Y437" s="92"/>
      <c r="AC437" s="18"/>
      <c r="AD437" s="21"/>
      <c r="AE437" s="21"/>
      <c r="AF437" s="21"/>
      <c r="AG437" s="21"/>
      <c r="AH437" s="21"/>
    </row>
    <row r="438" spans="25:34">
      <c r="Y438" s="92"/>
      <c r="AC438" s="18"/>
      <c r="AD438" s="21"/>
      <c r="AE438" s="21"/>
      <c r="AF438" s="21"/>
      <c r="AG438" s="21"/>
      <c r="AH438" s="21"/>
    </row>
    <row r="439" spans="25:34">
      <c r="Y439" s="92"/>
      <c r="AC439" s="18"/>
      <c r="AD439" s="21"/>
      <c r="AE439" s="21"/>
      <c r="AF439" s="21"/>
      <c r="AG439" s="21"/>
      <c r="AH439" s="21"/>
    </row>
    <row r="440" spans="25:34">
      <c r="Y440" s="92"/>
      <c r="AC440" s="18"/>
      <c r="AD440" s="21"/>
      <c r="AE440" s="21"/>
      <c r="AF440" s="21"/>
      <c r="AG440" s="21"/>
      <c r="AH440" s="21"/>
    </row>
    <row r="441" spans="25:34">
      <c r="Y441" s="92"/>
      <c r="AC441" s="18"/>
      <c r="AD441" s="21"/>
      <c r="AE441" s="21"/>
      <c r="AF441" s="21"/>
      <c r="AG441" s="21"/>
      <c r="AH441" s="21"/>
    </row>
    <row r="442" spans="25:34">
      <c r="Y442" s="92"/>
      <c r="AC442" s="18"/>
      <c r="AD442" s="21"/>
      <c r="AE442" s="21"/>
      <c r="AF442" s="21"/>
      <c r="AG442" s="21"/>
      <c r="AH442" s="21"/>
    </row>
    <row r="443" spans="25:34">
      <c r="Y443" s="92"/>
      <c r="AC443" s="18"/>
      <c r="AD443" s="21"/>
      <c r="AE443" s="21"/>
      <c r="AF443" s="21"/>
      <c r="AG443" s="21"/>
      <c r="AH443" s="21"/>
    </row>
    <row r="444" spans="25:34">
      <c r="Y444" s="92"/>
      <c r="AC444" s="18"/>
      <c r="AD444" s="21"/>
      <c r="AE444" s="21"/>
      <c r="AF444" s="21"/>
      <c r="AG444" s="21"/>
      <c r="AH444" s="21"/>
    </row>
    <row r="445" spans="25:34">
      <c r="Y445" s="92"/>
      <c r="AC445" s="18"/>
      <c r="AD445" s="21"/>
      <c r="AE445" s="21"/>
      <c r="AF445" s="21"/>
      <c r="AG445" s="21"/>
      <c r="AH445" s="21"/>
    </row>
    <row r="446" spans="25:34">
      <c r="Y446" s="92"/>
      <c r="AC446" s="18"/>
      <c r="AD446" s="21"/>
      <c r="AE446" s="21"/>
      <c r="AF446" s="21"/>
      <c r="AG446" s="21"/>
      <c r="AH446" s="21"/>
    </row>
    <row r="447" spans="25:34">
      <c r="Y447" s="92"/>
      <c r="AC447" s="18"/>
      <c r="AD447" s="21"/>
      <c r="AE447" s="21"/>
      <c r="AF447" s="21"/>
      <c r="AG447" s="21"/>
      <c r="AH447" s="21"/>
    </row>
    <row r="448" spans="25:34">
      <c r="Y448" s="92"/>
      <c r="AC448" s="18"/>
      <c r="AD448" s="21"/>
      <c r="AE448" s="21"/>
      <c r="AF448" s="21"/>
      <c r="AG448" s="21"/>
      <c r="AH448" s="21"/>
    </row>
    <row r="449" spans="25:34">
      <c r="Y449" s="92"/>
      <c r="AC449" s="18"/>
      <c r="AD449" s="21"/>
      <c r="AE449" s="21"/>
      <c r="AF449" s="21"/>
      <c r="AG449" s="21"/>
      <c r="AH449" s="21"/>
    </row>
    <row r="450" spans="25:34">
      <c r="Y450" s="92"/>
      <c r="AC450" s="18"/>
      <c r="AD450" s="21"/>
      <c r="AE450" s="21"/>
      <c r="AF450" s="21"/>
      <c r="AG450" s="21"/>
      <c r="AH450" s="21"/>
    </row>
    <row r="451" spans="25:34">
      <c r="Y451" s="92"/>
      <c r="AC451" s="18"/>
      <c r="AD451" s="21"/>
      <c r="AE451" s="21"/>
      <c r="AF451" s="21"/>
      <c r="AG451" s="21"/>
      <c r="AH451" s="21"/>
    </row>
    <row r="452" spans="25:34">
      <c r="Y452" s="92"/>
      <c r="AC452" s="18"/>
      <c r="AD452" s="21"/>
      <c r="AE452" s="21"/>
      <c r="AF452" s="21"/>
      <c r="AG452" s="21"/>
      <c r="AH452" s="21"/>
    </row>
    <row r="453" spans="25:34">
      <c r="Y453" s="92"/>
      <c r="AC453" s="18"/>
      <c r="AD453" s="21"/>
      <c r="AE453" s="21"/>
      <c r="AF453" s="21"/>
      <c r="AG453" s="21"/>
      <c r="AH453" s="21"/>
    </row>
    <row r="454" spans="25:34">
      <c r="Y454" s="92"/>
      <c r="AC454" s="18"/>
      <c r="AD454" s="21"/>
      <c r="AE454" s="21"/>
      <c r="AF454" s="21"/>
      <c r="AG454" s="21"/>
      <c r="AH454" s="21"/>
    </row>
    <row r="455" spans="25:34">
      <c r="Y455" s="92"/>
      <c r="AC455" s="18"/>
      <c r="AD455" s="21"/>
      <c r="AE455" s="21"/>
      <c r="AF455" s="21"/>
      <c r="AG455" s="21"/>
      <c r="AH455" s="21"/>
    </row>
    <row r="456" spans="25:34">
      <c r="Y456" s="92"/>
      <c r="AC456" s="18"/>
      <c r="AD456" s="21"/>
      <c r="AE456" s="21"/>
      <c r="AF456" s="21"/>
      <c r="AG456" s="21"/>
      <c r="AH456" s="21"/>
    </row>
    <row r="457" spans="25:34">
      <c r="Y457" s="92"/>
      <c r="AC457" s="18"/>
      <c r="AD457" s="21"/>
      <c r="AE457" s="21"/>
      <c r="AF457" s="21"/>
      <c r="AG457" s="21"/>
      <c r="AH457" s="21"/>
    </row>
    <row r="458" spans="25:34">
      <c r="Y458" s="92"/>
      <c r="AC458" s="18"/>
      <c r="AD458" s="21"/>
      <c r="AE458" s="21"/>
      <c r="AF458" s="21"/>
      <c r="AG458" s="21"/>
      <c r="AH458" s="21"/>
    </row>
    <row r="459" spans="25:34">
      <c r="Y459" s="92"/>
      <c r="AC459" s="18"/>
      <c r="AD459" s="21"/>
      <c r="AE459" s="21"/>
      <c r="AF459" s="21"/>
      <c r="AG459" s="21"/>
      <c r="AH459" s="21"/>
    </row>
    <row r="460" spans="25:34">
      <c r="Y460" s="92"/>
      <c r="AC460" s="18"/>
      <c r="AD460" s="21"/>
      <c r="AE460" s="21"/>
      <c r="AF460" s="21"/>
      <c r="AG460" s="21"/>
      <c r="AH460" s="21"/>
    </row>
    <row r="461" spans="25:34">
      <c r="Y461" s="92"/>
      <c r="AC461" s="18"/>
      <c r="AD461" s="21"/>
      <c r="AE461" s="21"/>
      <c r="AF461" s="21"/>
      <c r="AG461" s="21"/>
      <c r="AH461" s="21"/>
    </row>
    <row r="462" spans="25:34">
      <c r="Y462" s="92"/>
      <c r="AC462" s="18"/>
      <c r="AD462" s="21"/>
      <c r="AE462" s="21"/>
      <c r="AF462" s="21"/>
      <c r="AG462" s="21"/>
      <c r="AH462" s="21"/>
    </row>
    <row r="463" spans="25:34">
      <c r="Y463" s="92"/>
      <c r="AC463" s="18"/>
      <c r="AD463" s="21"/>
      <c r="AE463" s="21"/>
      <c r="AF463" s="21"/>
      <c r="AG463" s="21"/>
      <c r="AH463" s="21"/>
    </row>
    <row r="464" spans="25:34">
      <c r="Y464" s="92"/>
      <c r="AC464" s="18"/>
      <c r="AD464" s="21"/>
      <c r="AE464" s="21"/>
      <c r="AF464" s="21"/>
      <c r="AG464" s="21"/>
      <c r="AH464" s="21"/>
    </row>
    <row r="465" spans="25:34">
      <c r="Y465" s="92"/>
      <c r="AC465" s="18"/>
      <c r="AD465" s="21"/>
      <c r="AE465" s="21"/>
      <c r="AF465" s="21"/>
      <c r="AG465" s="21"/>
      <c r="AH465" s="21"/>
    </row>
    <row r="466" spans="25:34">
      <c r="Y466" s="92"/>
      <c r="AC466" s="18"/>
      <c r="AD466" s="21"/>
      <c r="AE466" s="21"/>
      <c r="AF466" s="21"/>
      <c r="AG466" s="21"/>
      <c r="AH466" s="21"/>
    </row>
    <row r="467" spans="25:34">
      <c r="Y467" s="92"/>
      <c r="AC467" s="18"/>
      <c r="AD467" s="21"/>
      <c r="AE467" s="21"/>
      <c r="AF467" s="21"/>
      <c r="AG467" s="21"/>
      <c r="AH467" s="21"/>
    </row>
    <row r="468" spans="25:34">
      <c r="Y468" s="92"/>
      <c r="AC468" s="18"/>
      <c r="AD468" s="21"/>
      <c r="AE468" s="21"/>
      <c r="AF468" s="21"/>
      <c r="AG468" s="21"/>
      <c r="AH468" s="21"/>
    </row>
    <row r="469" spans="25:34">
      <c r="Y469" s="92"/>
      <c r="AC469" s="18"/>
      <c r="AD469" s="21"/>
      <c r="AE469" s="21"/>
      <c r="AF469" s="21"/>
      <c r="AG469" s="21"/>
      <c r="AH469" s="21"/>
    </row>
    <row r="470" spans="25:34">
      <c r="Y470" s="92"/>
      <c r="AC470" s="18"/>
      <c r="AD470" s="21"/>
      <c r="AE470" s="21"/>
      <c r="AF470" s="21"/>
      <c r="AG470" s="21"/>
      <c r="AH470" s="21"/>
    </row>
    <row r="471" spans="25:34">
      <c r="Y471" s="92"/>
      <c r="AC471" s="18"/>
      <c r="AD471" s="21"/>
      <c r="AE471" s="21"/>
      <c r="AF471" s="21"/>
      <c r="AG471" s="21"/>
      <c r="AH471" s="21"/>
    </row>
    <row r="472" spans="25:34">
      <c r="Y472" s="92"/>
      <c r="AC472" s="18"/>
      <c r="AD472" s="21"/>
      <c r="AE472" s="21"/>
      <c r="AF472" s="21"/>
      <c r="AG472" s="21"/>
      <c r="AH472" s="21"/>
    </row>
    <row r="473" spans="25:34">
      <c r="Y473" s="92"/>
      <c r="AC473" s="18"/>
      <c r="AD473" s="21"/>
      <c r="AE473" s="21"/>
      <c r="AF473" s="21"/>
      <c r="AG473" s="21"/>
      <c r="AH473" s="21"/>
    </row>
    <row r="474" spans="25:34">
      <c r="Y474" s="92"/>
      <c r="AC474" s="18"/>
      <c r="AD474" s="21"/>
      <c r="AE474" s="21"/>
      <c r="AF474" s="21"/>
      <c r="AG474" s="21"/>
      <c r="AH474" s="21"/>
    </row>
    <row r="475" spans="25:34">
      <c r="Y475" s="92"/>
      <c r="AC475" s="18"/>
      <c r="AD475" s="21"/>
      <c r="AE475" s="21"/>
      <c r="AF475" s="21"/>
      <c r="AG475" s="21"/>
      <c r="AH475" s="21"/>
    </row>
    <row r="476" spans="25:34">
      <c r="Y476" s="92"/>
      <c r="AC476" s="18"/>
      <c r="AD476" s="21"/>
      <c r="AE476" s="21"/>
      <c r="AF476" s="21"/>
      <c r="AG476" s="21"/>
      <c r="AH476" s="21"/>
    </row>
    <row r="477" spans="25:34">
      <c r="Y477" s="92"/>
      <c r="AC477" s="18"/>
      <c r="AD477" s="21"/>
      <c r="AE477" s="21"/>
      <c r="AF477" s="21"/>
      <c r="AG477" s="21"/>
      <c r="AH477" s="21"/>
    </row>
    <row r="478" spans="25:34">
      <c r="Y478" s="92"/>
      <c r="AC478" s="18"/>
      <c r="AD478" s="21"/>
      <c r="AE478" s="21"/>
      <c r="AF478" s="21"/>
      <c r="AG478" s="21"/>
      <c r="AH478" s="21"/>
    </row>
    <row r="479" spans="25:34">
      <c r="Y479" s="92"/>
      <c r="AC479" s="18"/>
      <c r="AD479" s="21"/>
      <c r="AE479" s="21"/>
      <c r="AF479" s="21"/>
      <c r="AG479" s="21"/>
      <c r="AH479" s="21"/>
    </row>
    <row r="480" spans="25:34">
      <c r="Y480" s="92"/>
      <c r="AC480" s="18"/>
      <c r="AD480" s="21"/>
      <c r="AE480" s="21"/>
      <c r="AF480" s="21"/>
      <c r="AG480" s="21"/>
      <c r="AH480" s="21"/>
    </row>
    <row r="481" spans="25:34">
      <c r="Y481" s="92"/>
      <c r="AC481" s="18"/>
      <c r="AD481" s="21"/>
      <c r="AE481" s="21"/>
      <c r="AF481" s="21"/>
      <c r="AG481" s="21"/>
      <c r="AH481" s="21"/>
    </row>
    <row r="482" spans="25:34">
      <c r="Y482" s="92"/>
      <c r="AC482" s="18"/>
      <c r="AD482" s="21"/>
      <c r="AE482" s="21"/>
      <c r="AF482" s="21"/>
      <c r="AG482" s="21"/>
      <c r="AH482" s="21"/>
    </row>
    <row r="483" spans="25:34">
      <c r="Y483" s="92"/>
      <c r="AC483" s="18"/>
      <c r="AD483" s="21"/>
      <c r="AE483" s="21"/>
      <c r="AF483" s="21"/>
      <c r="AG483" s="21"/>
      <c r="AH483" s="21"/>
    </row>
    <row r="484" spans="25:34">
      <c r="Y484" s="92"/>
    </row>
    <row r="485" spans="25:34">
      <c r="Y485" s="92"/>
    </row>
    <row r="486" spans="25:34">
      <c r="Y486" s="92"/>
    </row>
    <row r="487" spans="25:34">
      <c r="Y487" s="92"/>
    </row>
    <row r="488" spans="25:34">
      <c r="Y488" s="92"/>
    </row>
    <row r="489" spans="25:34">
      <c r="Y489" s="92"/>
    </row>
    <row r="490" spans="25:34">
      <c r="Y490" s="92"/>
    </row>
    <row r="491" spans="25:34">
      <c r="Y491" s="92"/>
    </row>
    <row r="492" spans="25:34">
      <c r="Y492" s="92"/>
    </row>
    <row r="493" spans="25:34">
      <c r="Y493" s="92"/>
    </row>
    <row r="494" spans="25:34">
      <c r="Y494" s="92"/>
    </row>
    <row r="495" spans="25:34">
      <c r="Y495" s="92"/>
    </row>
    <row r="496" spans="25:34">
      <c r="Y496" s="92"/>
    </row>
    <row r="497" spans="25:25">
      <c r="Y497" s="92"/>
    </row>
    <row r="498" spans="25:25">
      <c r="Y498" s="92"/>
    </row>
    <row r="499" spans="25:25">
      <c r="Y499" s="92"/>
    </row>
    <row r="500" spans="25:25">
      <c r="Y500" s="92"/>
    </row>
    <row r="501" spans="25:25">
      <c r="Y501" s="92"/>
    </row>
    <row r="502" spans="25:25">
      <c r="Y502" s="92"/>
    </row>
    <row r="503" spans="25:25">
      <c r="Y503" s="92"/>
    </row>
    <row r="504" spans="25:25">
      <c r="Y504" s="92"/>
    </row>
    <row r="505" spans="25:25">
      <c r="Y505" s="92"/>
    </row>
    <row r="506" spans="25:25">
      <c r="Y506" s="92"/>
    </row>
    <row r="507" spans="25:25">
      <c r="Y507" s="92"/>
    </row>
    <row r="508" spans="25:25">
      <c r="Y508" s="92"/>
    </row>
    <row r="509" spans="25:25">
      <c r="Y509" s="92"/>
    </row>
    <row r="510" spans="25:25">
      <c r="Y510" s="92"/>
    </row>
    <row r="511" spans="25:25">
      <c r="Y511" s="92"/>
    </row>
    <row r="512" spans="25:25">
      <c r="Y512" s="92"/>
    </row>
    <row r="513" spans="25:25">
      <c r="Y513" s="92"/>
    </row>
    <row r="514" spans="25:25">
      <c r="Y514" s="92"/>
    </row>
    <row r="515" spans="25:25">
      <c r="Y515" s="92"/>
    </row>
    <row r="516" spans="25:25">
      <c r="Y516" s="92"/>
    </row>
    <row r="517" spans="25:25">
      <c r="Y517" s="92"/>
    </row>
    <row r="518" spans="25:25">
      <c r="Y518" s="92"/>
    </row>
    <row r="519" spans="25:25">
      <c r="Y519" s="92"/>
    </row>
    <row r="520" spans="25:25">
      <c r="Y520" s="92"/>
    </row>
    <row r="521" spans="25:25">
      <c r="Y521" s="92"/>
    </row>
    <row r="522" spans="25:25">
      <c r="Y522" s="92"/>
    </row>
    <row r="523" spans="25:25">
      <c r="Y523" s="92"/>
    </row>
    <row r="524" spans="25:25">
      <c r="Y524" s="92"/>
    </row>
    <row r="525" spans="25:25">
      <c r="Y525" s="92"/>
    </row>
    <row r="526" spans="25:25">
      <c r="Y526" s="92"/>
    </row>
    <row r="527" spans="25:25">
      <c r="Y527" s="92"/>
    </row>
    <row r="528" spans="25:25">
      <c r="Y528" s="92"/>
    </row>
    <row r="529" spans="25:25">
      <c r="Y529" s="92"/>
    </row>
    <row r="530" spans="25:25">
      <c r="Y530" s="92"/>
    </row>
    <row r="531" spans="25:25">
      <c r="Y531" s="92"/>
    </row>
    <row r="532" spans="25:25">
      <c r="Y532" s="92"/>
    </row>
    <row r="533" spans="25:25">
      <c r="Y533" s="92"/>
    </row>
    <row r="534" spans="25:25">
      <c r="Y534" s="92"/>
    </row>
    <row r="535" spans="25:25">
      <c r="Y535" s="92"/>
    </row>
    <row r="536" spans="25:25">
      <c r="Y536" s="92"/>
    </row>
    <row r="537" spans="25:25">
      <c r="Y537" s="92"/>
    </row>
    <row r="538" spans="25:25">
      <c r="Y538" s="92"/>
    </row>
    <row r="539" spans="25:25">
      <c r="Y539" s="92"/>
    </row>
    <row r="540" spans="25:25">
      <c r="Y540" s="92"/>
    </row>
    <row r="541" spans="25:25">
      <c r="Y541" s="92"/>
    </row>
    <row r="542" spans="25:25">
      <c r="Y542" s="92"/>
    </row>
    <row r="543" spans="25:25">
      <c r="Y543" s="92"/>
    </row>
    <row r="544" spans="25:25">
      <c r="Y544" s="92"/>
    </row>
    <row r="545" spans="25:25">
      <c r="Y545" s="92"/>
    </row>
    <row r="546" spans="25:25">
      <c r="Y546" s="92"/>
    </row>
    <row r="547" spans="25:25">
      <c r="Y547" s="92"/>
    </row>
    <row r="548" spans="25:25">
      <c r="Y548" s="92"/>
    </row>
    <row r="549" spans="25:25">
      <c r="Y549" s="92"/>
    </row>
    <row r="550" spans="25:25">
      <c r="Y550" s="92"/>
    </row>
    <row r="551" spans="25:25">
      <c r="Y551" s="92"/>
    </row>
    <row r="552" spans="25:25">
      <c r="Y552" s="92"/>
    </row>
    <row r="553" spans="25:25">
      <c r="Y553" s="92"/>
    </row>
    <row r="554" spans="25:25">
      <c r="Y554" s="92"/>
    </row>
    <row r="555" spans="25:25">
      <c r="Y555" s="92"/>
    </row>
    <row r="556" spans="25:25">
      <c r="Y556" s="92"/>
    </row>
    <row r="557" spans="25:25">
      <c r="Y557" s="92"/>
    </row>
    <row r="558" spans="25:25">
      <c r="Y558" s="92"/>
    </row>
    <row r="559" spans="25:25">
      <c r="Y559" s="92"/>
    </row>
    <row r="560" spans="25:25">
      <c r="Y560" s="92"/>
    </row>
    <row r="561" spans="25:25">
      <c r="Y561" s="92"/>
    </row>
    <row r="562" spans="25:25">
      <c r="Y562" s="92"/>
    </row>
    <row r="563" spans="25:25">
      <c r="Y563" s="92"/>
    </row>
    <row r="564" spans="25:25">
      <c r="Y564" s="92"/>
    </row>
    <row r="565" spans="25:25">
      <c r="Y565" s="92"/>
    </row>
    <row r="566" spans="25:25">
      <c r="Y566" s="92"/>
    </row>
    <row r="567" spans="25:25">
      <c r="Y567" s="92"/>
    </row>
    <row r="568" spans="25:25">
      <c r="Y568" s="92"/>
    </row>
    <row r="569" spans="25:25">
      <c r="Y569" s="92"/>
    </row>
    <row r="570" spans="25:25">
      <c r="Y570" s="92"/>
    </row>
    <row r="571" spans="25:25">
      <c r="Y571" s="92"/>
    </row>
    <row r="572" spans="25:25">
      <c r="Y572" s="92"/>
    </row>
    <row r="573" spans="25:25">
      <c r="Y573" s="92"/>
    </row>
    <row r="574" spans="25:25">
      <c r="Y574" s="92"/>
    </row>
    <row r="575" spans="25:25">
      <c r="Y575" s="92"/>
    </row>
    <row r="576" spans="25:25">
      <c r="Y576" s="92"/>
    </row>
    <row r="577" spans="25:25">
      <c r="Y577" s="92"/>
    </row>
    <row r="578" spans="25:25">
      <c r="Y578" s="92"/>
    </row>
    <row r="579" spans="25:25">
      <c r="Y579" s="92"/>
    </row>
    <row r="580" spans="25:25">
      <c r="Y580" s="92"/>
    </row>
    <row r="581" spans="25:25">
      <c r="Y581" s="92"/>
    </row>
    <row r="582" spans="25:25">
      <c r="Y582" s="92"/>
    </row>
    <row r="583" spans="25:25">
      <c r="Y583" s="92"/>
    </row>
    <row r="584" spans="25:25">
      <c r="Y584" s="92"/>
    </row>
    <row r="585" spans="25:25">
      <c r="Y585" s="92"/>
    </row>
    <row r="586" spans="25:25">
      <c r="Y586" s="92"/>
    </row>
    <row r="587" spans="25:25">
      <c r="Y587" s="92"/>
    </row>
    <row r="588" spans="25:25">
      <c r="Y588" s="92"/>
    </row>
    <row r="589" spans="25:25">
      <c r="Y589" s="92"/>
    </row>
    <row r="590" spans="25:25">
      <c r="Y590" s="92"/>
    </row>
    <row r="591" spans="25:25">
      <c r="Y591" s="92"/>
    </row>
    <row r="592" spans="25:25">
      <c r="Y592" s="92"/>
    </row>
    <row r="593" spans="25:25">
      <c r="Y593" s="92"/>
    </row>
    <row r="594" spans="25:25">
      <c r="Y594" s="92"/>
    </row>
    <row r="595" spans="25:25">
      <c r="Y595" s="92"/>
    </row>
    <row r="596" spans="25:25">
      <c r="Y596" s="92"/>
    </row>
    <row r="597" spans="25:25">
      <c r="Y597" s="92"/>
    </row>
    <row r="598" spans="25:25">
      <c r="Y598" s="92"/>
    </row>
    <row r="599" spans="25:25">
      <c r="Y599" s="92"/>
    </row>
    <row r="600" spans="25:25">
      <c r="Y600" s="92"/>
    </row>
    <row r="601" spans="25:25">
      <c r="Y601" s="92"/>
    </row>
    <row r="602" spans="25:25">
      <c r="Y602" s="92"/>
    </row>
    <row r="603" spans="25:25">
      <c r="Y603" s="92"/>
    </row>
    <row r="604" spans="25:25">
      <c r="Y604" s="92"/>
    </row>
    <row r="605" spans="25:25">
      <c r="Y605" s="92"/>
    </row>
    <row r="606" spans="25:25">
      <c r="Y606" s="92"/>
    </row>
    <row r="607" spans="25:25">
      <c r="Y607" s="92"/>
    </row>
    <row r="608" spans="25:25">
      <c r="Y608" s="92"/>
    </row>
    <row r="609" spans="25:25">
      <c r="Y609" s="92"/>
    </row>
    <row r="610" spans="25:25">
      <c r="Y610" s="92"/>
    </row>
    <row r="611" spans="25:25">
      <c r="Y611" s="92"/>
    </row>
    <row r="612" spans="25:25">
      <c r="Y612" s="92"/>
    </row>
    <row r="613" spans="25:25">
      <c r="Y613" s="92"/>
    </row>
    <row r="614" spans="25:25">
      <c r="Y614" s="92"/>
    </row>
    <row r="615" spans="25:25">
      <c r="Y615" s="92"/>
    </row>
    <row r="616" spans="25:25">
      <c r="Y616" s="92"/>
    </row>
    <row r="617" spans="25:25">
      <c r="Y617" s="92"/>
    </row>
    <row r="618" spans="25:25">
      <c r="Y618" s="92"/>
    </row>
    <row r="619" spans="25:25">
      <c r="Y619" s="92"/>
    </row>
    <row r="620" spans="25:25">
      <c r="Y620" s="92"/>
    </row>
    <row r="621" spans="25:25">
      <c r="Y621" s="92"/>
    </row>
    <row r="622" spans="25:25">
      <c r="Y622" s="92"/>
    </row>
    <row r="623" spans="25:25">
      <c r="Y623" s="92"/>
    </row>
    <row r="624" spans="25:25">
      <c r="Y624" s="92"/>
    </row>
    <row r="625" spans="25:25">
      <c r="Y625" s="92"/>
    </row>
    <row r="626" spans="25:25">
      <c r="Y626" s="92"/>
    </row>
    <row r="627" spans="25:25">
      <c r="Y627" s="92"/>
    </row>
    <row r="628" spans="25:25">
      <c r="Y628" s="92"/>
    </row>
    <row r="629" spans="25:25">
      <c r="Y629" s="92"/>
    </row>
    <row r="630" spans="25:25">
      <c r="Y630" s="92"/>
    </row>
    <row r="631" spans="25:25">
      <c r="Y631" s="92"/>
    </row>
    <row r="632" spans="25:25">
      <c r="Y632" s="92"/>
    </row>
    <row r="633" spans="25:25">
      <c r="Y633" s="92"/>
    </row>
    <row r="634" spans="25:25">
      <c r="Y634" s="92"/>
    </row>
    <row r="635" spans="25:25">
      <c r="Y635" s="92"/>
    </row>
    <row r="636" spans="25:25">
      <c r="Y636" s="92"/>
    </row>
    <row r="637" spans="25:25">
      <c r="Y637" s="92"/>
    </row>
    <row r="638" spans="25:25">
      <c r="Y638" s="92"/>
    </row>
    <row r="639" spans="25:25">
      <c r="Y639" s="92"/>
    </row>
    <row r="640" spans="25:25">
      <c r="Y640" s="92"/>
    </row>
    <row r="641" spans="25:25">
      <c r="Y641" s="92"/>
    </row>
    <row r="642" spans="25:25">
      <c r="Y642" s="92"/>
    </row>
    <row r="643" spans="25:25">
      <c r="Y643" s="92"/>
    </row>
    <row r="644" spans="25:25">
      <c r="Y644" s="92"/>
    </row>
    <row r="645" spans="25:25">
      <c r="Y645" s="92"/>
    </row>
    <row r="646" spans="25:25">
      <c r="Y646" s="92"/>
    </row>
    <row r="647" spans="25:25">
      <c r="Y647" s="92"/>
    </row>
    <row r="648" spans="25:25">
      <c r="Y648" s="92"/>
    </row>
    <row r="649" spans="25:25">
      <c r="Y649" s="92"/>
    </row>
    <row r="650" spans="25:25">
      <c r="Y650" s="92"/>
    </row>
    <row r="651" spans="25:25">
      <c r="Y651" s="92"/>
    </row>
    <row r="652" spans="25:25">
      <c r="Y652" s="92"/>
    </row>
    <row r="653" spans="25:25">
      <c r="Y653" s="92"/>
    </row>
    <row r="654" spans="25:25">
      <c r="Y654" s="92"/>
    </row>
    <row r="655" spans="25:25">
      <c r="Y655" s="92"/>
    </row>
    <row r="656" spans="25:25">
      <c r="Y656" s="92"/>
    </row>
    <row r="657" spans="25:25">
      <c r="Y657" s="92"/>
    </row>
    <row r="658" spans="25:25">
      <c r="Y658" s="92"/>
    </row>
    <row r="659" spans="25:25">
      <c r="Y659" s="92"/>
    </row>
    <row r="660" spans="25:25">
      <c r="Y660" s="92"/>
    </row>
    <row r="661" spans="25:25">
      <c r="Y661" s="92"/>
    </row>
    <row r="662" spans="25:25">
      <c r="Y662" s="92"/>
    </row>
    <row r="663" spans="25:25">
      <c r="Y663" s="92"/>
    </row>
    <row r="664" spans="25:25">
      <c r="Y664" s="92"/>
    </row>
    <row r="665" spans="25:25">
      <c r="Y665" s="92"/>
    </row>
    <row r="666" spans="25:25">
      <c r="Y666" s="92"/>
    </row>
    <row r="667" spans="25:25">
      <c r="Y667" s="92"/>
    </row>
    <row r="668" spans="25:25">
      <c r="Y668" s="92"/>
    </row>
    <row r="669" spans="25:25">
      <c r="Y669" s="92"/>
    </row>
    <row r="670" spans="25:25">
      <c r="Y670" s="92"/>
    </row>
    <row r="671" spans="25:25">
      <c r="Y671" s="92"/>
    </row>
    <row r="672" spans="25:25">
      <c r="Y672" s="92"/>
    </row>
    <row r="673" spans="25:25">
      <c r="Y673" s="92"/>
    </row>
    <row r="674" spans="25:25">
      <c r="Y674" s="92"/>
    </row>
    <row r="675" spans="25:25">
      <c r="Y675" s="92"/>
    </row>
    <row r="676" spans="25:25">
      <c r="Y676" s="92"/>
    </row>
    <row r="677" spans="25:25">
      <c r="Y677" s="92"/>
    </row>
    <row r="678" spans="25:25">
      <c r="Y678" s="92"/>
    </row>
    <row r="679" spans="25:25">
      <c r="Y679" s="92"/>
    </row>
    <row r="680" spans="25:25">
      <c r="Y680" s="92"/>
    </row>
    <row r="681" spans="25:25">
      <c r="Y681" s="92"/>
    </row>
    <row r="682" spans="25:25">
      <c r="Y682" s="92"/>
    </row>
    <row r="683" spans="25:25">
      <c r="Y683" s="92"/>
    </row>
    <row r="684" spans="25:25">
      <c r="Y684" s="92"/>
    </row>
    <row r="685" spans="25:25">
      <c r="Y685" s="92"/>
    </row>
    <row r="686" spans="25:25">
      <c r="Y686" s="92"/>
    </row>
    <row r="687" spans="25:25">
      <c r="Y687" s="92"/>
    </row>
    <row r="688" spans="25:25">
      <c r="Y688" s="92"/>
    </row>
    <row r="689" spans="25:25">
      <c r="Y689" s="92"/>
    </row>
    <row r="690" spans="25:25">
      <c r="Y690" s="92"/>
    </row>
    <row r="691" spans="25:25">
      <c r="Y691" s="92"/>
    </row>
    <row r="692" spans="25:25">
      <c r="Y692" s="92"/>
    </row>
    <row r="693" spans="25:25">
      <c r="Y693" s="92"/>
    </row>
    <row r="694" spans="25:25">
      <c r="Y694" s="92"/>
    </row>
    <row r="695" spans="25:25">
      <c r="Y695" s="92"/>
    </row>
    <row r="696" spans="25:25">
      <c r="Y696" s="92"/>
    </row>
    <row r="697" spans="25:25">
      <c r="Y697" s="92"/>
    </row>
    <row r="698" spans="25:25">
      <c r="Y698" s="92"/>
    </row>
    <row r="699" spans="25:25">
      <c r="Y699" s="92"/>
    </row>
    <row r="700" spans="25:25">
      <c r="Y700" s="92"/>
    </row>
    <row r="701" spans="25:25">
      <c r="Y701" s="92"/>
    </row>
    <row r="702" spans="25:25">
      <c r="Y702" s="92"/>
    </row>
    <row r="703" spans="25:25">
      <c r="Y703" s="92"/>
    </row>
    <row r="704" spans="25:25">
      <c r="Y704" s="92"/>
    </row>
    <row r="705" spans="25:25">
      <c r="Y705" s="92"/>
    </row>
    <row r="706" spans="25:25">
      <c r="Y706" s="92"/>
    </row>
    <row r="707" spans="25:25">
      <c r="Y707" s="92"/>
    </row>
    <row r="708" spans="25:25">
      <c r="Y708" s="92"/>
    </row>
    <row r="709" spans="25:25">
      <c r="Y709" s="92"/>
    </row>
    <row r="710" spans="25:25">
      <c r="Y710" s="92"/>
    </row>
    <row r="711" spans="25:25">
      <c r="Y711" s="92"/>
    </row>
    <row r="712" spans="25:25">
      <c r="Y712" s="92"/>
    </row>
    <row r="713" spans="25:25">
      <c r="Y713" s="92"/>
    </row>
    <row r="714" spans="25:25">
      <c r="Y714" s="92"/>
    </row>
    <row r="715" spans="25:25">
      <c r="Y715" s="92"/>
    </row>
    <row r="716" spans="25:25">
      <c r="Y716" s="92"/>
    </row>
    <row r="717" spans="25:25">
      <c r="Y717" s="92"/>
    </row>
    <row r="718" spans="25:25">
      <c r="Y718" s="92"/>
    </row>
    <row r="719" spans="25:25">
      <c r="Y719" s="92"/>
    </row>
    <row r="720" spans="25:25">
      <c r="Y720" s="92"/>
    </row>
    <row r="721" spans="25:25">
      <c r="Y721" s="92"/>
    </row>
    <row r="722" spans="25:25">
      <c r="Y722" s="92"/>
    </row>
    <row r="723" spans="25:25">
      <c r="Y723" s="92"/>
    </row>
    <row r="724" spans="25:25">
      <c r="Y724" s="92"/>
    </row>
    <row r="725" spans="25:25">
      <c r="Y725" s="92"/>
    </row>
    <row r="726" spans="25:25">
      <c r="Y726" s="92"/>
    </row>
    <row r="727" spans="25:25">
      <c r="Y727" s="92"/>
    </row>
    <row r="728" spans="25:25">
      <c r="Y728" s="92"/>
    </row>
    <row r="729" spans="25:25">
      <c r="Y729" s="92"/>
    </row>
    <row r="730" spans="25:25">
      <c r="Y730" s="92"/>
    </row>
    <row r="731" spans="25:25">
      <c r="Y731" s="92"/>
    </row>
    <row r="732" spans="25:25">
      <c r="Y732" s="92"/>
    </row>
    <row r="733" spans="25:25">
      <c r="Y733" s="92"/>
    </row>
    <row r="734" spans="25:25">
      <c r="Y734" s="92"/>
    </row>
    <row r="735" spans="25:25">
      <c r="Y735" s="92"/>
    </row>
    <row r="736" spans="25:25">
      <c r="Y736" s="92"/>
    </row>
    <row r="737" spans="25:25">
      <c r="Y737" s="92"/>
    </row>
    <row r="738" spans="25:25">
      <c r="Y738" s="92"/>
    </row>
    <row r="739" spans="25:25">
      <c r="Y739" s="92"/>
    </row>
    <row r="740" spans="25:25">
      <c r="Y740" s="92"/>
    </row>
    <row r="741" spans="25:25">
      <c r="Y741" s="92"/>
    </row>
    <row r="742" spans="25:25">
      <c r="Y742" s="92"/>
    </row>
    <row r="743" spans="25:25">
      <c r="Y743" s="92"/>
    </row>
    <row r="744" spans="25:25">
      <c r="Y744" s="92"/>
    </row>
    <row r="745" spans="25:25">
      <c r="Y745" s="92"/>
    </row>
    <row r="746" spans="25:25">
      <c r="Y746" s="92"/>
    </row>
    <row r="747" spans="25:25">
      <c r="Y747" s="92"/>
    </row>
    <row r="748" spans="25:25">
      <c r="Y748" s="92"/>
    </row>
    <row r="749" spans="25:25">
      <c r="Y749" s="92"/>
    </row>
    <row r="750" spans="25:25">
      <c r="Y750" s="92"/>
    </row>
    <row r="751" spans="25:25">
      <c r="Y751" s="92"/>
    </row>
    <row r="752" spans="25:25">
      <c r="Y752" s="92"/>
    </row>
    <row r="753" spans="25:25">
      <c r="Y753" s="92"/>
    </row>
    <row r="754" spans="25:25">
      <c r="Y754" s="92"/>
    </row>
    <row r="755" spans="25:25">
      <c r="Y755" s="92"/>
    </row>
    <row r="756" spans="25:25">
      <c r="Y756" s="92"/>
    </row>
    <row r="757" spans="25:25">
      <c r="Y757" s="92"/>
    </row>
    <row r="758" spans="25:25">
      <c r="Y758" s="92"/>
    </row>
    <row r="759" spans="25:25">
      <c r="Y759" s="92"/>
    </row>
    <row r="760" spans="25:25">
      <c r="Y760" s="92"/>
    </row>
    <row r="761" spans="25:25">
      <c r="Y761" s="92"/>
    </row>
    <row r="762" spans="25:25">
      <c r="Y762" s="92"/>
    </row>
    <row r="763" spans="25:25">
      <c r="Y763" s="92"/>
    </row>
    <row r="764" spans="25:25">
      <c r="Y764" s="92"/>
    </row>
    <row r="765" spans="25:25">
      <c r="Y765" s="92"/>
    </row>
    <row r="766" spans="25:25">
      <c r="Y766" s="92"/>
    </row>
    <row r="767" spans="25:25">
      <c r="Y767" s="92"/>
    </row>
    <row r="768" spans="25:25">
      <c r="Y768" s="92"/>
    </row>
    <row r="769" spans="25:25">
      <c r="Y769" s="92"/>
    </row>
    <row r="770" spans="25:25">
      <c r="Y770" s="92"/>
    </row>
    <row r="771" spans="25:25">
      <c r="Y771" s="92"/>
    </row>
    <row r="772" spans="25:25">
      <c r="Y772" s="92"/>
    </row>
    <row r="773" spans="25:25">
      <c r="Y773" s="92"/>
    </row>
    <row r="774" spans="25:25">
      <c r="Y774" s="92"/>
    </row>
    <row r="775" spans="25:25">
      <c r="Y775" s="92"/>
    </row>
    <row r="776" spans="25:25">
      <c r="Y776" s="92"/>
    </row>
    <row r="777" spans="25:25">
      <c r="Y777" s="92"/>
    </row>
    <row r="778" spans="25:25">
      <c r="Y778" s="92"/>
    </row>
    <row r="779" spans="25:25">
      <c r="Y779" s="92"/>
    </row>
    <row r="780" spans="25:25">
      <c r="Y780" s="92"/>
    </row>
    <row r="781" spans="25:25">
      <c r="Y781" s="92"/>
    </row>
    <row r="782" spans="25:25">
      <c r="Y782" s="92"/>
    </row>
    <row r="783" spans="25:25">
      <c r="Y783" s="92"/>
    </row>
    <row r="784" spans="25:25">
      <c r="Y784" s="92"/>
    </row>
    <row r="785" spans="25:25">
      <c r="Y785" s="92"/>
    </row>
    <row r="786" spans="25:25">
      <c r="Y786" s="92"/>
    </row>
    <row r="787" spans="25:25">
      <c r="Y787" s="92"/>
    </row>
    <row r="788" spans="25:25">
      <c r="Y788" s="92"/>
    </row>
    <row r="789" spans="25:25">
      <c r="Y789" s="92"/>
    </row>
    <row r="790" spans="25:25">
      <c r="Y790" s="92"/>
    </row>
    <row r="791" spans="25:25">
      <c r="Y791" s="92"/>
    </row>
    <row r="792" spans="25:25">
      <c r="Y792" s="92"/>
    </row>
    <row r="793" spans="25:25">
      <c r="Y793" s="92"/>
    </row>
    <row r="794" spans="25:25">
      <c r="Y794" s="92"/>
    </row>
    <row r="795" spans="25:25">
      <c r="Y795" s="92"/>
    </row>
    <row r="796" spans="25:25">
      <c r="Y796" s="92"/>
    </row>
    <row r="797" spans="25:25">
      <c r="Y797" s="92"/>
    </row>
    <row r="798" spans="25:25">
      <c r="Y798" s="92"/>
    </row>
    <row r="799" spans="25:25">
      <c r="Y799" s="92"/>
    </row>
    <row r="800" spans="25:25">
      <c r="Y800" s="92"/>
    </row>
    <row r="801" spans="25:25">
      <c r="Y801" s="92"/>
    </row>
    <row r="802" spans="25:25">
      <c r="Y802" s="92"/>
    </row>
    <row r="803" spans="25:25">
      <c r="Y803" s="92"/>
    </row>
    <row r="804" spans="25:25">
      <c r="Y804" s="92"/>
    </row>
    <row r="805" spans="25:25">
      <c r="Y805" s="92"/>
    </row>
    <row r="806" spans="25:25">
      <c r="Y806" s="92"/>
    </row>
    <row r="807" spans="25:25">
      <c r="Y807" s="92"/>
    </row>
    <row r="808" spans="25:25">
      <c r="Y808" s="92"/>
    </row>
    <row r="809" spans="25:25">
      <c r="Y809" s="92"/>
    </row>
    <row r="810" spans="25:25">
      <c r="Y810" s="92"/>
    </row>
    <row r="811" spans="25:25">
      <c r="Y811" s="92"/>
    </row>
    <row r="812" spans="25:25">
      <c r="Y812" s="92"/>
    </row>
    <row r="813" spans="25:25">
      <c r="Y813" s="92"/>
    </row>
    <row r="814" spans="25:25">
      <c r="Y814" s="92"/>
    </row>
    <row r="815" spans="25:25">
      <c r="Y815" s="92"/>
    </row>
    <row r="816" spans="25:25">
      <c r="Y816" s="92"/>
    </row>
    <row r="817" spans="25:25">
      <c r="Y817" s="92"/>
    </row>
    <row r="818" spans="25:25">
      <c r="Y818" s="92"/>
    </row>
    <row r="819" spans="25:25">
      <c r="Y819" s="92"/>
    </row>
    <row r="820" spans="25:25">
      <c r="Y820" s="92"/>
    </row>
    <row r="821" spans="25:25">
      <c r="Y821" s="92"/>
    </row>
    <row r="822" spans="25:25">
      <c r="Y822" s="92"/>
    </row>
    <row r="823" spans="25:25">
      <c r="Y823" s="92"/>
    </row>
    <row r="824" spans="25:25">
      <c r="Y824" s="92"/>
    </row>
    <row r="825" spans="25:25">
      <c r="Y825" s="92"/>
    </row>
    <row r="826" spans="25:25">
      <c r="Y826" s="92"/>
    </row>
    <row r="827" spans="25:25">
      <c r="Y827" s="92"/>
    </row>
    <row r="828" spans="25:25">
      <c r="Y828" s="92"/>
    </row>
    <row r="829" spans="25:25">
      <c r="Y829" s="92"/>
    </row>
    <row r="830" spans="25:25">
      <c r="Y830" s="92"/>
    </row>
    <row r="831" spans="25:25">
      <c r="Y831" s="92"/>
    </row>
    <row r="832" spans="25:25">
      <c r="Y832" s="92"/>
    </row>
    <row r="833" spans="25:25">
      <c r="Y833" s="92"/>
    </row>
    <row r="834" spans="25:25">
      <c r="Y834" s="92"/>
    </row>
    <row r="835" spans="25:25">
      <c r="Y835" s="92"/>
    </row>
    <row r="836" spans="25:25">
      <c r="Y836" s="92"/>
    </row>
    <row r="837" spans="25:25">
      <c r="Y837" s="92"/>
    </row>
    <row r="838" spans="25:25">
      <c r="Y838" s="92"/>
    </row>
    <row r="839" spans="25:25">
      <c r="Y839" s="92"/>
    </row>
    <row r="840" spans="25:25">
      <c r="Y840" s="92"/>
    </row>
    <row r="841" spans="25:25">
      <c r="Y841" s="92"/>
    </row>
    <row r="842" spans="25:25">
      <c r="Y842" s="92"/>
    </row>
    <row r="843" spans="25:25">
      <c r="Y843" s="92"/>
    </row>
    <row r="844" spans="25:25">
      <c r="Y844" s="92"/>
    </row>
    <row r="845" spans="25:25">
      <c r="Y845" s="92"/>
    </row>
    <row r="846" spans="25:25">
      <c r="Y846" s="92"/>
    </row>
    <row r="847" spans="25:25">
      <c r="Y847" s="92"/>
    </row>
    <row r="848" spans="25:25">
      <c r="Y848" s="92"/>
    </row>
    <row r="849" spans="25:25">
      <c r="Y849" s="92"/>
    </row>
    <row r="850" spans="25:25">
      <c r="Y850" s="92"/>
    </row>
    <row r="851" spans="25:25">
      <c r="Y851" s="92"/>
    </row>
    <row r="852" spans="25:25">
      <c r="Y852" s="92"/>
    </row>
    <row r="853" spans="25:25">
      <c r="Y853" s="92"/>
    </row>
    <row r="854" spans="25:25">
      <c r="Y854" s="92"/>
    </row>
    <row r="855" spans="25:25">
      <c r="Y855" s="92"/>
    </row>
    <row r="856" spans="25:25">
      <c r="Y856" s="92"/>
    </row>
    <row r="857" spans="25:25">
      <c r="Y857" s="92"/>
    </row>
    <row r="858" spans="25:25">
      <c r="Y858" s="92"/>
    </row>
    <row r="859" spans="25:25">
      <c r="Y859" s="92"/>
    </row>
    <row r="860" spans="25:25">
      <c r="Y860" s="92"/>
    </row>
    <row r="861" spans="25:25">
      <c r="Y861" s="92"/>
    </row>
    <row r="862" spans="25:25">
      <c r="Y862" s="92"/>
    </row>
    <row r="863" spans="25:25">
      <c r="Y863" s="92"/>
    </row>
    <row r="864" spans="25:25">
      <c r="Y864" s="92"/>
    </row>
    <row r="865" spans="25:25">
      <c r="Y865" s="92"/>
    </row>
    <row r="866" spans="25:25">
      <c r="Y866" s="92"/>
    </row>
    <row r="867" spans="25:25">
      <c r="Y867" s="92"/>
    </row>
    <row r="868" spans="25:25">
      <c r="Y868" s="92"/>
    </row>
    <row r="869" spans="25:25">
      <c r="Y869" s="92"/>
    </row>
    <row r="870" spans="25:25">
      <c r="Y870" s="92"/>
    </row>
    <row r="871" spans="25:25">
      <c r="Y871" s="92"/>
    </row>
    <row r="872" spans="25:25">
      <c r="Y872" s="92"/>
    </row>
    <row r="873" spans="25:25">
      <c r="Y873" s="92"/>
    </row>
    <row r="874" spans="25:25">
      <c r="Y874" s="92"/>
    </row>
    <row r="875" spans="25:25">
      <c r="Y875" s="92"/>
    </row>
    <row r="876" spans="25:25">
      <c r="Y876" s="92"/>
    </row>
    <row r="877" spans="25:25">
      <c r="Y877" s="92"/>
    </row>
    <row r="878" spans="25:25">
      <c r="Y878" s="92"/>
    </row>
    <row r="879" spans="25:25">
      <c r="Y879" s="92"/>
    </row>
    <row r="880" spans="25:25">
      <c r="Y880" s="92"/>
    </row>
    <row r="881" spans="25:25">
      <c r="Y881" s="92"/>
    </row>
    <row r="882" spans="25:25">
      <c r="Y882" s="92"/>
    </row>
    <row r="883" spans="25:25">
      <c r="Y883" s="92"/>
    </row>
    <row r="884" spans="25:25">
      <c r="Y884" s="92"/>
    </row>
    <row r="885" spans="25:25">
      <c r="Y885" s="92"/>
    </row>
    <row r="886" spans="25:25">
      <c r="Y886" s="92"/>
    </row>
    <row r="887" spans="25:25">
      <c r="Y887" s="92"/>
    </row>
    <row r="888" spans="25:25">
      <c r="Y888" s="92"/>
    </row>
    <row r="889" spans="25:25">
      <c r="Y889" s="92"/>
    </row>
    <row r="890" spans="25:25">
      <c r="Y890" s="92"/>
    </row>
    <row r="891" spans="25:25">
      <c r="Y891" s="92"/>
    </row>
    <row r="892" spans="25:25">
      <c r="Y892" s="92"/>
    </row>
    <row r="893" spans="25:25">
      <c r="Y893" s="92"/>
    </row>
    <row r="894" spans="25:25">
      <c r="Y894" s="92"/>
    </row>
    <row r="895" spans="25:25">
      <c r="Y895" s="92"/>
    </row>
    <row r="896" spans="25:25">
      <c r="Y896" s="92"/>
    </row>
    <row r="897" spans="25:25">
      <c r="Y897" s="92"/>
    </row>
    <row r="898" spans="25:25">
      <c r="Y898" s="92"/>
    </row>
    <row r="899" spans="25:25">
      <c r="Y899" s="92"/>
    </row>
    <row r="900" spans="25:25">
      <c r="Y900" s="92"/>
    </row>
    <row r="901" spans="25:25">
      <c r="Y901" s="92"/>
    </row>
    <row r="902" spans="25:25">
      <c r="Y902" s="92"/>
    </row>
    <row r="903" spans="25:25">
      <c r="Y903" s="92"/>
    </row>
    <row r="904" spans="25:25">
      <c r="Y904" s="92"/>
    </row>
    <row r="905" spans="25:25">
      <c r="Y905" s="92"/>
    </row>
    <row r="906" spans="25:25">
      <c r="Y906" s="92"/>
    </row>
    <row r="907" spans="25:25">
      <c r="Y907" s="92"/>
    </row>
    <row r="908" spans="25:25">
      <c r="Y908" s="92"/>
    </row>
    <row r="909" spans="25:25">
      <c r="Y909" s="92"/>
    </row>
    <row r="910" spans="25:25">
      <c r="Y910" s="92"/>
    </row>
    <row r="911" spans="25:25">
      <c r="Y911" s="92"/>
    </row>
    <row r="912" spans="25:25">
      <c r="Y912" s="92"/>
    </row>
    <row r="913" spans="25:25">
      <c r="Y913" s="92"/>
    </row>
    <row r="914" spans="25:25">
      <c r="Y914" s="92"/>
    </row>
    <row r="915" spans="25:25">
      <c r="Y915" s="92"/>
    </row>
    <row r="916" spans="25:25">
      <c r="Y916" s="92"/>
    </row>
    <row r="917" spans="25:25">
      <c r="Y917" s="92"/>
    </row>
    <row r="918" spans="25:25">
      <c r="Y918" s="92"/>
    </row>
    <row r="919" spans="25:25">
      <c r="Y919" s="92"/>
    </row>
    <row r="920" spans="25:25">
      <c r="Y920" s="92"/>
    </row>
    <row r="921" spans="25:25">
      <c r="Y921" s="92"/>
    </row>
    <row r="922" spans="25:25">
      <c r="Y922" s="92"/>
    </row>
    <row r="923" spans="25:25">
      <c r="Y923" s="92"/>
    </row>
    <row r="924" spans="25:25">
      <c r="Y924" s="92"/>
    </row>
    <row r="925" spans="25:25">
      <c r="Y925" s="92"/>
    </row>
    <row r="926" spans="25:25">
      <c r="Y926" s="92"/>
    </row>
    <row r="927" spans="25:25">
      <c r="Y927" s="92"/>
    </row>
    <row r="928" spans="25:25">
      <c r="Y928" s="92"/>
    </row>
    <row r="929" spans="25:25">
      <c r="Y929" s="92"/>
    </row>
    <row r="930" spans="25:25">
      <c r="Y930" s="92"/>
    </row>
    <row r="931" spans="25:25">
      <c r="Y931" s="92"/>
    </row>
    <row r="932" spans="25:25">
      <c r="Y932" s="92"/>
    </row>
    <row r="933" spans="25:25">
      <c r="Y933" s="92"/>
    </row>
    <row r="934" spans="25:25">
      <c r="Y934" s="92"/>
    </row>
    <row r="935" spans="25:25">
      <c r="Y935" s="92"/>
    </row>
    <row r="936" spans="25:25">
      <c r="Y936" s="92"/>
    </row>
    <row r="937" spans="25:25">
      <c r="Y937" s="92"/>
    </row>
    <row r="938" spans="25:25">
      <c r="Y938" s="92"/>
    </row>
    <row r="939" spans="25:25">
      <c r="Y939" s="92"/>
    </row>
    <row r="940" spans="25:25">
      <c r="Y940" s="92"/>
    </row>
    <row r="941" spans="25:25">
      <c r="Y941" s="92"/>
    </row>
    <row r="942" spans="25:25">
      <c r="Y942" s="92"/>
    </row>
    <row r="943" spans="25:25">
      <c r="Y943" s="92"/>
    </row>
    <row r="944" spans="25:25">
      <c r="Y944" s="92"/>
    </row>
    <row r="945" spans="25:25">
      <c r="Y945" s="92"/>
    </row>
    <row r="946" spans="25:25">
      <c r="Y946" s="92"/>
    </row>
    <row r="947" spans="25:25">
      <c r="Y947" s="92"/>
    </row>
    <row r="948" spans="25:25">
      <c r="Y948" s="92"/>
    </row>
    <row r="949" spans="25:25">
      <c r="Y949" s="92"/>
    </row>
    <row r="950" spans="25:25">
      <c r="Y950" s="92"/>
    </row>
    <row r="951" spans="25:25">
      <c r="Y951" s="92"/>
    </row>
    <row r="952" spans="25:25">
      <c r="Y952" s="92"/>
    </row>
    <row r="953" spans="25:25">
      <c r="Y953" s="92"/>
    </row>
    <row r="954" spans="25:25">
      <c r="Y954" s="92"/>
    </row>
    <row r="955" spans="25:25">
      <c r="Y955" s="92"/>
    </row>
    <row r="956" spans="25:25">
      <c r="Y956" s="92"/>
    </row>
    <row r="957" spans="25:25">
      <c r="Y957" s="92"/>
    </row>
    <row r="958" spans="25:25">
      <c r="Y958" s="92"/>
    </row>
    <row r="959" spans="25:25">
      <c r="Y959" s="92"/>
    </row>
    <row r="960" spans="25:25">
      <c r="Y960" s="92"/>
    </row>
    <row r="961" spans="25:25">
      <c r="Y961" s="92"/>
    </row>
    <row r="962" spans="25:25">
      <c r="Y962" s="92"/>
    </row>
    <row r="963" spans="25:25">
      <c r="Y963" s="92"/>
    </row>
    <row r="964" spans="25:25">
      <c r="Y964" s="92"/>
    </row>
    <row r="965" spans="25:25">
      <c r="Y965" s="92"/>
    </row>
    <row r="966" spans="25:25">
      <c r="Y966" s="92"/>
    </row>
    <row r="967" spans="25:25">
      <c r="Y967" s="92"/>
    </row>
    <row r="968" spans="25:25">
      <c r="Y968" s="92"/>
    </row>
    <row r="969" spans="25:25">
      <c r="Y969" s="92"/>
    </row>
    <row r="970" spans="25:25">
      <c r="Y970" s="92"/>
    </row>
    <row r="971" spans="25:25">
      <c r="Y971" s="92"/>
    </row>
    <row r="972" spans="25:25">
      <c r="Y972" s="92"/>
    </row>
    <row r="973" spans="25:25">
      <c r="Y973" s="92"/>
    </row>
    <row r="974" spans="25:25">
      <c r="Y974" s="92"/>
    </row>
    <row r="975" spans="25:25">
      <c r="Y975" s="92"/>
    </row>
    <row r="976" spans="25:25">
      <c r="Y976" s="92"/>
    </row>
    <row r="977" spans="25:25">
      <c r="Y977" s="92"/>
    </row>
    <row r="978" spans="25:25">
      <c r="Y978" s="92"/>
    </row>
    <row r="979" spans="25:25">
      <c r="Y979" s="92"/>
    </row>
    <row r="980" spans="25:25">
      <c r="Y980" s="92"/>
    </row>
    <row r="981" spans="25:25">
      <c r="Y981" s="92"/>
    </row>
    <row r="982" spans="25:25">
      <c r="Y982" s="92"/>
    </row>
    <row r="983" spans="25:25">
      <c r="Y983" s="92"/>
    </row>
    <row r="984" spans="25:25">
      <c r="Y984" s="92"/>
    </row>
    <row r="985" spans="25:25">
      <c r="Y985" s="92"/>
    </row>
    <row r="986" spans="25:25">
      <c r="Y986" s="92"/>
    </row>
    <row r="987" spans="25:25">
      <c r="Y987" s="92"/>
    </row>
    <row r="988" spans="25:25">
      <c r="Y988" s="92"/>
    </row>
    <row r="989" spans="25:25">
      <c r="Y989" s="92"/>
    </row>
    <row r="990" spans="25:25">
      <c r="Y990" s="92"/>
    </row>
    <row r="991" spans="25:25">
      <c r="Y991" s="92"/>
    </row>
    <row r="992" spans="25:25">
      <c r="Y992" s="92"/>
    </row>
    <row r="993" spans="25:25">
      <c r="Y993" s="92"/>
    </row>
    <row r="994" spans="25:25">
      <c r="Y994" s="92"/>
    </row>
    <row r="995" spans="25:25">
      <c r="Y995" s="92"/>
    </row>
    <row r="996" spans="25:25">
      <c r="Y996" s="92"/>
    </row>
    <row r="997" spans="25:25">
      <c r="Y997" s="92"/>
    </row>
    <row r="998" spans="25:25">
      <c r="Y998" s="92"/>
    </row>
    <row r="999" spans="25:25">
      <c r="Y999" s="92"/>
    </row>
    <row r="1000" spans="25:25">
      <c r="Y1000" s="92"/>
    </row>
  </sheetData>
  <autoFilter ref="A2:AJ348" xr:uid="{00000000-0009-0000-0000-000003000000}"/>
  <phoneticPr fontId="4" type="noConversion"/>
  <pageMargins left="0.75" right="0.75" top="1" bottom="1" header="0.5" footer="0.5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3"/>
  <sheetViews>
    <sheetView zoomScale="70" zoomScaleNormal="70" workbookViewId="0">
      <pane xSplit="5" ySplit="2" topLeftCell="F614" activePane="bottomRight" state="frozen"/>
      <selection pane="topRight" activeCell="F1" sqref="F1"/>
      <selection pane="bottomLeft" activeCell="A3" sqref="A3"/>
      <selection pane="bottomRight" activeCell="K620" sqref="K620"/>
    </sheetView>
  </sheetViews>
  <sheetFormatPr defaultColWidth="10" defaultRowHeight="15.6"/>
  <cols>
    <col min="1" max="1" width="17.109375" style="13" customWidth="1"/>
    <col min="2" max="2" width="14.21875" style="13" customWidth="1"/>
    <col min="3" max="3" width="6.88671875" style="13" bestFit="1" customWidth="1"/>
    <col min="4" max="4" width="10.1093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7.21875" style="18" customWidth="1"/>
    <col min="24" max="24" width="8.88671875" style="19" customWidth="1"/>
    <col min="25" max="25" width="21.88671875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149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150</v>
      </c>
      <c r="V1" s="8" t="s">
        <v>12</v>
      </c>
      <c r="W1" s="8" t="s">
        <v>11</v>
      </c>
      <c r="X1" s="1" t="s">
        <v>165</v>
      </c>
      <c r="Y1" s="90" t="s">
        <v>13</v>
      </c>
      <c r="Z1" s="1" t="s">
        <v>14</v>
      </c>
      <c r="AA1" s="1" t="s">
        <v>141</v>
      </c>
      <c r="AB1" s="1" t="s">
        <v>140</v>
      </c>
      <c r="AC1" s="1" t="s">
        <v>140</v>
      </c>
      <c r="AD1" s="1" t="s">
        <v>140</v>
      </c>
      <c r="AE1" s="1" t="s">
        <v>140</v>
      </c>
      <c r="AF1" s="1" t="s">
        <v>140</v>
      </c>
      <c r="AG1" s="1" t="s">
        <v>140</v>
      </c>
      <c r="AH1" s="1" t="s">
        <v>140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91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</row>
    <row r="3" spans="1:36">
      <c r="A3" s="13" t="s">
        <v>166</v>
      </c>
      <c r="B3" s="13" t="s">
        <v>76</v>
      </c>
      <c r="C3" s="13">
        <v>2</v>
      </c>
      <c r="R3" s="18"/>
      <c r="S3" s="18"/>
      <c r="T3" s="18"/>
      <c r="U3" s="18"/>
      <c r="V3" s="18"/>
      <c r="Y3" s="92"/>
      <c r="AB3" s="21"/>
      <c r="AC3" s="18"/>
      <c r="AD3" s="21"/>
      <c r="AE3" s="18"/>
      <c r="AF3" s="18"/>
      <c r="AG3" s="21"/>
      <c r="AH3" s="21"/>
      <c r="AI3" s="19"/>
      <c r="AJ3" s="19"/>
    </row>
    <row r="4" spans="1:36">
      <c r="A4" s="13" t="s">
        <v>167</v>
      </c>
      <c r="B4" s="13" t="s">
        <v>76</v>
      </c>
      <c r="C4" s="13">
        <v>2</v>
      </c>
      <c r="R4" s="18"/>
      <c r="S4" s="18"/>
      <c r="T4" s="18"/>
      <c r="U4" s="18"/>
      <c r="V4" s="18"/>
      <c r="Y4" s="92"/>
      <c r="AC4" s="18"/>
      <c r="AD4" s="21"/>
      <c r="AE4" s="21"/>
      <c r="AF4" s="21"/>
      <c r="AG4" s="21"/>
      <c r="AH4" s="21"/>
    </row>
    <row r="5" spans="1:36">
      <c r="A5" s="13" t="s">
        <v>168</v>
      </c>
      <c r="B5" s="13" t="s">
        <v>76</v>
      </c>
      <c r="C5" s="13">
        <v>2</v>
      </c>
      <c r="E5" s="14">
        <v>44607</v>
      </c>
      <c r="P5" s="18">
        <v>8.1500000000000003E-2</v>
      </c>
      <c r="Q5" s="18">
        <v>2.699450984871036</v>
      </c>
      <c r="R5" s="18" t="s">
        <v>50</v>
      </c>
      <c r="S5" s="18">
        <v>2.584103671506822</v>
      </c>
      <c r="T5" s="18">
        <v>1.692437388585158</v>
      </c>
      <c r="U5" s="18"/>
      <c r="V5" s="18" t="s">
        <v>50</v>
      </c>
      <c r="Y5" s="92">
        <v>0.92277189519969194</v>
      </c>
      <c r="Z5" s="20">
        <v>-4.8559687938610532</v>
      </c>
      <c r="AA5" s="10">
        <v>-9.2927625333627883</v>
      </c>
      <c r="AB5" s="17">
        <v>1.793804424118342</v>
      </c>
      <c r="AC5" s="18">
        <v>3.5080268576326139</v>
      </c>
      <c r="AD5" s="21">
        <v>0.17968334672945949</v>
      </c>
      <c r="AE5" s="21">
        <v>6.112670330751218</v>
      </c>
      <c r="AF5" s="21">
        <v>3.469388631878377E-2</v>
      </c>
      <c r="AG5" s="21"/>
      <c r="AH5" s="21">
        <v>5.5455107631298812</v>
      </c>
    </row>
    <row r="6" spans="1:36">
      <c r="A6" s="13" t="s">
        <v>75</v>
      </c>
      <c r="B6" s="13" t="s">
        <v>76</v>
      </c>
      <c r="C6" s="13">
        <v>3</v>
      </c>
      <c r="E6" s="14">
        <v>44614</v>
      </c>
      <c r="R6" s="18"/>
      <c r="S6" s="18"/>
      <c r="T6" s="18"/>
      <c r="U6" s="18"/>
      <c r="V6" s="18"/>
      <c r="Y6" s="92"/>
      <c r="AC6" s="18"/>
      <c r="AD6" s="21"/>
      <c r="AE6" s="21"/>
      <c r="AF6" s="21"/>
      <c r="AG6" s="21"/>
      <c r="AH6" s="21"/>
    </row>
    <row r="7" spans="1:36" s="25" customFormat="1" ht="16.2">
      <c r="A7" s="22" t="s">
        <v>77</v>
      </c>
      <c r="B7" s="22" t="s">
        <v>76</v>
      </c>
      <c r="C7" s="22">
        <v>3</v>
      </c>
      <c r="D7" s="23"/>
      <c r="E7" s="23">
        <v>44614</v>
      </c>
      <c r="F7" s="24"/>
      <c r="K7" s="26"/>
      <c r="M7" s="22"/>
      <c r="N7" s="22"/>
      <c r="O7" s="22"/>
      <c r="P7" s="27" t="s">
        <v>50</v>
      </c>
      <c r="Q7" s="27">
        <v>6.7652287772314494</v>
      </c>
      <c r="R7" s="27" t="s">
        <v>50</v>
      </c>
      <c r="S7" s="27">
        <v>11.58193478528483</v>
      </c>
      <c r="T7" s="27">
        <v>5.4153608164709386</v>
      </c>
      <c r="U7" s="27"/>
      <c r="V7" s="27" t="s">
        <v>50</v>
      </c>
      <c r="W7" s="27">
        <v>6.0053999999999998</v>
      </c>
      <c r="X7" s="28"/>
      <c r="Y7" s="93">
        <v>3.426942498328303</v>
      </c>
      <c r="Z7" s="26">
        <v>-5.0857977767884517</v>
      </c>
      <c r="AA7" s="29">
        <v>-16.596475694862299</v>
      </c>
      <c r="AB7" s="26">
        <v>3.602982383294258</v>
      </c>
      <c r="AC7" s="30">
        <v>2.9456727037455068</v>
      </c>
      <c r="AD7" s="30">
        <v>3.2371726242182288</v>
      </c>
      <c r="AE7" s="30">
        <v>4.3568801332822069</v>
      </c>
      <c r="AF7" s="30">
        <v>3.8302628039819119E-2</v>
      </c>
      <c r="AG7" s="30"/>
      <c r="AH7" s="30">
        <v>3.8304125381736109</v>
      </c>
      <c r="AI7" s="31"/>
      <c r="AJ7" s="26"/>
    </row>
    <row r="8" spans="1:36">
      <c r="A8" s="13" t="s">
        <v>169</v>
      </c>
      <c r="B8" s="13" t="s">
        <v>76</v>
      </c>
      <c r="C8" s="13">
        <v>3</v>
      </c>
      <c r="E8" s="14">
        <v>44614</v>
      </c>
      <c r="P8" s="18">
        <v>9.4500000000000001E-2</v>
      </c>
      <c r="Q8" s="18">
        <v>7.1391037314866024</v>
      </c>
      <c r="R8" s="18">
        <v>1.0500000000000001E-2</v>
      </c>
      <c r="S8" s="18">
        <v>5.3676534967125109</v>
      </c>
      <c r="T8" s="18">
        <v>6.2366093824781306</v>
      </c>
      <c r="U8" s="18"/>
      <c r="V8" s="18">
        <v>0.35720582502897802</v>
      </c>
      <c r="W8" s="18">
        <v>10.614000000000001</v>
      </c>
      <c r="Y8" s="92">
        <v>2.4974722399770219</v>
      </c>
      <c r="Z8" s="20">
        <v>-5.2257934625373839</v>
      </c>
      <c r="AA8" s="10">
        <v>-18.55983593991095</v>
      </c>
      <c r="AB8" s="17">
        <v>3.7737069742064611</v>
      </c>
      <c r="AC8" s="18">
        <v>2.7160767138231559</v>
      </c>
      <c r="AD8" s="21">
        <v>3.3608533887059928</v>
      </c>
      <c r="AE8" s="21">
        <v>3.8475363555734989</v>
      </c>
      <c r="AF8" s="21">
        <v>3.4868732826884519E-2</v>
      </c>
      <c r="AG8" s="21"/>
      <c r="AH8" s="21">
        <v>4.0635188446005044</v>
      </c>
    </row>
    <row r="9" spans="1:36" ht="16.2">
      <c r="A9" s="13" t="s">
        <v>170</v>
      </c>
      <c r="B9" s="32" t="s">
        <v>171</v>
      </c>
      <c r="C9" s="13">
        <v>4</v>
      </c>
      <c r="E9" s="14">
        <v>44621</v>
      </c>
      <c r="H9" s="16">
        <v>20.100000000000001</v>
      </c>
      <c r="I9" s="16">
        <v>6.95</v>
      </c>
      <c r="J9" s="16">
        <v>59.83</v>
      </c>
      <c r="K9" s="17">
        <v>5.6979181174495839</v>
      </c>
      <c r="P9" s="18" t="s">
        <v>50</v>
      </c>
      <c r="Q9" s="18">
        <v>5.5290856470762346</v>
      </c>
      <c r="R9" s="18" t="s">
        <v>50</v>
      </c>
      <c r="S9" s="18">
        <v>6.3239228850555627</v>
      </c>
      <c r="T9" s="18">
        <v>4.4758042601237307</v>
      </c>
      <c r="U9" s="18"/>
      <c r="V9" s="18">
        <v>7.1538648337364535E-2</v>
      </c>
      <c r="W9" s="18">
        <v>2.3210999999999999</v>
      </c>
      <c r="Y9" s="92">
        <v>1.967299250463975</v>
      </c>
      <c r="Z9" s="20">
        <v>-6.2523192051132606</v>
      </c>
      <c r="AA9" s="10">
        <v>-21.281722700369709</v>
      </c>
      <c r="AB9" s="17">
        <v>2.3137371198590722</v>
      </c>
      <c r="AC9" s="18">
        <v>1.7830882041491669</v>
      </c>
      <c r="AD9" s="21">
        <v>2.8626060615799198</v>
      </c>
      <c r="AE9" s="21">
        <v>3.316540758339261</v>
      </c>
      <c r="AF9" s="21">
        <v>2.3555813033562741E-2</v>
      </c>
      <c r="AG9" s="21"/>
      <c r="AH9" s="21">
        <v>2.0967276606809939</v>
      </c>
    </row>
    <row r="10" spans="1:36">
      <c r="A10" s="13" t="s">
        <v>77</v>
      </c>
      <c r="B10" s="13" t="s">
        <v>76</v>
      </c>
      <c r="C10" s="13">
        <v>4</v>
      </c>
      <c r="E10" s="14">
        <v>44621</v>
      </c>
      <c r="H10" s="16">
        <v>19.399999999999999</v>
      </c>
      <c r="I10" s="16">
        <v>6.22</v>
      </c>
      <c r="J10" s="16">
        <v>67.599999999999994</v>
      </c>
      <c r="K10" s="17">
        <v>3.1955171115078991</v>
      </c>
      <c r="P10" s="18" t="s">
        <v>50</v>
      </c>
      <c r="Q10" s="18">
        <v>4.3748886649081333</v>
      </c>
      <c r="R10" s="18" t="s">
        <v>50</v>
      </c>
      <c r="S10" s="18">
        <v>11.50514476039605</v>
      </c>
      <c r="T10" s="18">
        <v>8.8177373377366131</v>
      </c>
      <c r="U10" s="18"/>
      <c r="V10" s="18" t="s">
        <v>50</v>
      </c>
      <c r="W10" s="18">
        <v>2.0097999999999998</v>
      </c>
      <c r="Y10" s="92">
        <v>3.2671935493994488</v>
      </c>
      <c r="Z10" s="20">
        <v>-5.3520190808355981</v>
      </c>
      <c r="AA10" s="10">
        <v>-16.233035463392682</v>
      </c>
      <c r="AB10" s="17">
        <v>2.1960326080795149</v>
      </c>
      <c r="AC10" s="18">
        <v>2.3485386466174418</v>
      </c>
      <c r="AD10" s="21">
        <v>1.8300841895416751</v>
      </c>
      <c r="AE10" s="21">
        <v>4.4308378387721818</v>
      </c>
      <c r="AF10" s="21">
        <v>2.982116396151949E-2</v>
      </c>
      <c r="AG10" s="21"/>
      <c r="AH10" s="21">
        <v>1.7415046679657911</v>
      </c>
    </row>
    <row r="11" spans="1:36">
      <c r="A11" s="13" t="s">
        <v>78</v>
      </c>
      <c r="B11" s="13" t="s">
        <v>76</v>
      </c>
      <c r="C11" s="13">
        <v>4</v>
      </c>
      <c r="E11" s="14">
        <v>44621</v>
      </c>
      <c r="H11" s="16">
        <v>19.2</v>
      </c>
      <c r="I11" s="16">
        <v>6.17</v>
      </c>
      <c r="J11" s="16">
        <v>65.87</v>
      </c>
      <c r="K11" s="17">
        <v>5.503276451644191</v>
      </c>
      <c r="P11" s="18" t="s">
        <v>50</v>
      </c>
      <c r="Q11" s="18">
        <v>5.5648445420073251</v>
      </c>
      <c r="R11" s="18" t="s">
        <v>50</v>
      </c>
      <c r="S11" s="18">
        <v>5.1104240500050073</v>
      </c>
      <c r="T11" s="18">
        <v>8.2136979173466109</v>
      </c>
      <c r="U11" s="18"/>
      <c r="V11" s="18">
        <v>0.28491543073453218</v>
      </c>
      <c r="W11" s="18">
        <v>2.6760000000000002</v>
      </c>
      <c r="Y11" s="92">
        <v>1.8593397225932951</v>
      </c>
      <c r="Z11" s="20">
        <v>-5.1838275426875846</v>
      </c>
      <c r="AA11" s="10">
        <v>-15.858829049123679</v>
      </c>
      <c r="AB11" s="17">
        <v>2.4788854965559679</v>
      </c>
      <c r="AC11" s="18">
        <v>1.2462537706966901</v>
      </c>
      <c r="AD11" s="21">
        <v>1.63838549345638</v>
      </c>
      <c r="AE11" s="21">
        <v>2.1873125548529502</v>
      </c>
      <c r="AF11" s="21">
        <v>1.314017495786176E-2</v>
      </c>
      <c r="AG11" s="21"/>
      <c r="AH11" s="21">
        <v>1.917440341846802</v>
      </c>
    </row>
    <row r="12" spans="1:36">
      <c r="A12" s="13" t="s">
        <v>75</v>
      </c>
      <c r="B12" s="13" t="s">
        <v>76</v>
      </c>
      <c r="C12" s="13">
        <v>5</v>
      </c>
      <c r="E12" s="14">
        <v>44628</v>
      </c>
      <c r="H12" s="16">
        <v>18.600000000000001</v>
      </c>
      <c r="I12" s="16">
        <v>6.73</v>
      </c>
      <c r="J12" s="16">
        <v>71.95</v>
      </c>
      <c r="K12" s="17">
        <v>3.0986623957970392</v>
      </c>
      <c r="P12" s="18" t="s">
        <v>50</v>
      </c>
      <c r="Q12" s="18">
        <v>6.6614688069565577</v>
      </c>
      <c r="R12" s="18" t="s">
        <v>50</v>
      </c>
      <c r="S12" s="18">
        <v>14.561941998719121</v>
      </c>
      <c r="T12" s="18">
        <v>4.5590118157310329</v>
      </c>
      <c r="U12" s="18"/>
      <c r="V12" s="18">
        <v>2.1699083388619891E-2</v>
      </c>
      <c r="W12" s="18">
        <v>1.4253</v>
      </c>
      <c r="Y12" s="92">
        <v>4.2351450326833824</v>
      </c>
      <c r="Z12" s="20">
        <v>-6.7355830008835733</v>
      </c>
      <c r="AA12" s="10">
        <v>-25.004538213206221</v>
      </c>
      <c r="AB12" s="17">
        <v>1.919089075887966</v>
      </c>
      <c r="AC12" s="21">
        <v>1.9992750923968701</v>
      </c>
      <c r="AD12" s="33">
        <v>4.4946062360115908</v>
      </c>
      <c r="AE12" s="33">
        <v>3.9500948496168262</v>
      </c>
      <c r="AF12" s="33">
        <v>2.9213346740946548E-2</v>
      </c>
      <c r="AH12" s="33">
        <v>2.3518936112730371</v>
      </c>
    </row>
    <row r="13" spans="1:36">
      <c r="A13" s="13" t="s">
        <v>77</v>
      </c>
      <c r="B13" s="13" t="s">
        <v>76</v>
      </c>
      <c r="C13" s="13">
        <v>5</v>
      </c>
      <c r="E13" s="14">
        <v>44628</v>
      </c>
      <c r="H13" s="16">
        <v>19.2</v>
      </c>
      <c r="I13" s="16">
        <v>6.78</v>
      </c>
      <c r="J13" s="16">
        <v>68.7</v>
      </c>
      <c r="K13" s="17">
        <v>1.632916076958145</v>
      </c>
      <c r="P13" s="18" t="s">
        <v>50</v>
      </c>
      <c r="Q13" s="18">
        <v>4.5717712696848141</v>
      </c>
      <c r="R13" s="18" t="s">
        <v>50</v>
      </c>
      <c r="S13" s="18">
        <v>15.666407724651179</v>
      </c>
      <c r="T13" s="18">
        <v>8.2883511875996358</v>
      </c>
      <c r="U13" s="18"/>
      <c r="V13" s="18">
        <v>4.2578849028539791E-3</v>
      </c>
      <c r="W13" s="18">
        <v>1.5103</v>
      </c>
      <c r="Y13" s="92">
        <v>4.4497959232497513</v>
      </c>
      <c r="Z13" s="20">
        <v>-6.1437979592516774</v>
      </c>
      <c r="AA13" s="10">
        <v>-20.378015841149921</v>
      </c>
      <c r="AB13" s="17">
        <v>2.105082302500489</v>
      </c>
      <c r="AC13" s="18">
        <v>2.2974999062639658</v>
      </c>
      <c r="AD13" s="21">
        <v>2.0402781023197192</v>
      </c>
      <c r="AE13" s="21">
        <v>4.5847954436587557</v>
      </c>
      <c r="AF13" s="21">
        <v>2.9705173229888391E-2</v>
      </c>
      <c r="AG13" s="21"/>
      <c r="AH13" s="21">
        <v>1.960404345063022</v>
      </c>
    </row>
    <row r="14" spans="1:36">
      <c r="A14" s="13" t="s">
        <v>78</v>
      </c>
      <c r="B14" s="13" t="s">
        <v>76</v>
      </c>
      <c r="C14" s="13">
        <v>5</v>
      </c>
      <c r="E14" s="14">
        <v>44628</v>
      </c>
      <c r="H14" s="16">
        <v>18.7</v>
      </c>
      <c r="I14" s="16">
        <v>6.6</v>
      </c>
      <c r="J14" s="16">
        <v>52.12</v>
      </c>
      <c r="K14" s="17">
        <v>3.5462107430041891</v>
      </c>
      <c r="P14" s="18" t="s">
        <v>50</v>
      </c>
      <c r="Q14" s="18">
        <v>3.7047896418204722</v>
      </c>
      <c r="R14" s="18" t="s">
        <v>50</v>
      </c>
      <c r="S14" s="18">
        <v>6.8120640572218116</v>
      </c>
      <c r="T14" s="18">
        <v>6.3431616827837889</v>
      </c>
      <c r="U14" s="18"/>
      <c r="V14" s="18">
        <v>8.8442973823082277E-2</v>
      </c>
      <c r="W14" s="18">
        <v>2.5051000000000001</v>
      </c>
      <c r="Y14" s="92">
        <v>2.1888624017600931</v>
      </c>
      <c r="Z14" s="20">
        <v>-5.5074241277793758</v>
      </c>
      <c r="AA14" s="10">
        <v>-16.7589471807437</v>
      </c>
      <c r="AB14" s="17">
        <v>2.207671970127643</v>
      </c>
      <c r="AC14" s="18">
        <v>1.0627738615120541</v>
      </c>
      <c r="AD14" s="21">
        <v>1.3461045642789471</v>
      </c>
      <c r="AE14" s="21">
        <v>1.9719021395065279</v>
      </c>
      <c r="AF14" s="21">
        <v>9.4856442212489199E-3</v>
      </c>
      <c r="AG14" s="21"/>
      <c r="AH14" s="21">
        <v>1.857265872631761</v>
      </c>
    </row>
    <row r="15" spans="1:36">
      <c r="A15" s="13" t="s">
        <v>75</v>
      </c>
      <c r="B15" s="13" t="s">
        <v>76</v>
      </c>
      <c r="C15" s="13">
        <v>6</v>
      </c>
      <c r="E15" s="14">
        <v>44635</v>
      </c>
      <c r="P15" s="18" t="s">
        <v>50</v>
      </c>
      <c r="Q15" s="18">
        <v>10.413747039441009</v>
      </c>
      <c r="R15" s="18" t="s">
        <v>50</v>
      </c>
      <c r="S15" s="18">
        <v>31.342438134775129</v>
      </c>
      <c r="T15" s="18">
        <v>3.3727698679567051</v>
      </c>
      <c r="U15" s="18"/>
      <c r="V15" s="18">
        <v>8.9796773708295807E-2</v>
      </c>
      <c r="W15" s="18">
        <v>1.7284999999999999</v>
      </c>
      <c r="Y15" s="92">
        <v>8.1470535376411171</v>
      </c>
      <c r="Z15" s="20">
        <v>-6.869021511655971</v>
      </c>
      <c r="AA15" s="10">
        <v>-26.23547177993413</v>
      </c>
      <c r="AB15" s="17">
        <v>1.9035789717302081</v>
      </c>
      <c r="AC15" s="18">
        <v>3.3395445495109288</v>
      </c>
      <c r="AD15" s="21">
        <v>6.9474116499945886</v>
      </c>
      <c r="AE15" s="21">
        <v>7.1912678604529674</v>
      </c>
      <c r="AF15" s="21">
        <v>5.7608546763774533E-2</v>
      </c>
      <c r="AG15" s="21"/>
      <c r="AH15" s="21">
        <v>2.5525507589504319</v>
      </c>
    </row>
    <row r="16" spans="1:36">
      <c r="A16" s="13" t="s">
        <v>77</v>
      </c>
      <c r="B16" s="13" t="s">
        <v>76</v>
      </c>
      <c r="C16" s="13">
        <v>6</v>
      </c>
      <c r="E16" s="14">
        <v>44635</v>
      </c>
      <c r="H16" s="16">
        <v>21.7</v>
      </c>
      <c r="I16" s="16">
        <v>6.55</v>
      </c>
      <c r="K16" s="17">
        <v>1.020641749029904</v>
      </c>
      <c r="P16" s="18" t="s">
        <v>50</v>
      </c>
      <c r="Q16" s="18">
        <v>4.2560131856483689</v>
      </c>
      <c r="R16" s="18" t="s">
        <v>50</v>
      </c>
      <c r="S16" s="18">
        <v>18.060761504442429</v>
      </c>
      <c r="T16" s="18">
        <v>7.1911420683774736</v>
      </c>
      <c r="U16" s="18"/>
      <c r="V16" s="18" t="s">
        <v>50</v>
      </c>
      <c r="W16" s="18">
        <v>1.4138999999999999</v>
      </c>
      <c r="Y16" s="92">
        <v>5.0994014174147519</v>
      </c>
      <c r="Z16" s="20">
        <v>-6.5572278415219376</v>
      </c>
      <c r="AA16" s="10">
        <v>-22.674475257051778</v>
      </c>
      <c r="AB16" s="17">
        <v>2.177764034497371</v>
      </c>
      <c r="AC16" s="18">
        <v>2.3618641929248572</v>
      </c>
      <c r="AD16" s="21">
        <v>1.8841458038105749</v>
      </c>
      <c r="AE16" s="21">
        <v>4.9501347587631761</v>
      </c>
      <c r="AF16" s="21">
        <v>3.1221806853191689E-2</v>
      </c>
      <c r="AG16" s="21"/>
      <c r="AH16" s="21">
        <v>1.973204841047872</v>
      </c>
    </row>
    <row r="17" spans="1:34">
      <c r="A17" s="13" t="s">
        <v>78</v>
      </c>
      <c r="B17" s="13" t="s">
        <v>76</v>
      </c>
      <c r="C17" s="13">
        <v>6</v>
      </c>
      <c r="E17" s="14">
        <v>44635</v>
      </c>
      <c r="H17" s="16">
        <v>21.7</v>
      </c>
      <c r="I17" s="16">
        <v>6.91</v>
      </c>
      <c r="J17" s="16">
        <v>52.08</v>
      </c>
      <c r="P17" s="18" t="s">
        <v>50</v>
      </c>
      <c r="Q17" s="18">
        <v>3.6429169224469762</v>
      </c>
      <c r="R17" s="18" t="s">
        <v>50</v>
      </c>
      <c r="S17" s="18">
        <v>7.2317776219557057</v>
      </c>
      <c r="T17" s="18">
        <v>6.1150651784994352</v>
      </c>
      <c r="U17" s="18"/>
      <c r="V17" s="18">
        <v>5.399384983718495E-2</v>
      </c>
      <c r="Y17" s="92">
        <v>2.5195530094492411</v>
      </c>
      <c r="Z17" s="20">
        <v>-5.6247975598592754</v>
      </c>
      <c r="AA17" s="10">
        <v>-17.422861786704811</v>
      </c>
      <c r="AB17" s="17">
        <v>2.2486830143547061</v>
      </c>
      <c r="AC17" s="18">
        <v>1.0964328180112091</v>
      </c>
      <c r="AD17" s="21">
        <v>1.3610956683914199</v>
      </c>
      <c r="AE17" s="21">
        <v>2.0466891642325851</v>
      </c>
      <c r="AF17" s="21">
        <v>1.058766805882428E-2</v>
      </c>
      <c r="AG17" s="21"/>
      <c r="AH17" s="21">
        <v>2.32765561935777</v>
      </c>
    </row>
    <row r="18" spans="1:34">
      <c r="A18" s="13" t="s">
        <v>75</v>
      </c>
      <c r="B18" s="13" t="s">
        <v>76</v>
      </c>
      <c r="C18" s="13">
        <v>7</v>
      </c>
      <c r="E18" s="14">
        <v>44642</v>
      </c>
      <c r="H18" s="16">
        <v>17.899999999999999</v>
      </c>
      <c r="I18" s="16">
        <v>5.5</v>
      </c>
      <c r="J18" s="16">
        <v>148.5</v>
      </c>
      <c r="K18" s="17">
        <v>0.12517322858871369</v>
      </c>
      <c r="P18" s="18">
        <v>1.9300000000000001E-2</v>
      </c>
      <c r="Q18" s="18">
        <v>14.307821231981659</v>
      </c>
      <c r="R18" s="18" t="s">
        <v>50</v>
      </c>
      <c r="S18" s="18">
        <v>48.761615125409683</v>
      </c>
      <c r="T18" s="18">
        <v>3.2845387416247722</v>
      </c>
      <c r="U18" s="18"/>
      <c r="V18" s="18">
        <v>0.35412683885862362</v>
      </c>
      <c r="W18" s="18">
        <v>1.3649231889942359</v>
      </c>
      <c r="Y18" s="92">
        <v>12.68089242678799</v>
      </c>
      <c r="Z18" s="20">
        <v>-6.3729712246814252</v>
      </c>
      <c r="AA18" s="10">
        <v>-23.608196928924372</v>
      </c>
      <c r="AB18" s="17">
        <v>1.973735990090014</v>
      </c>
      <c r="AC18" s="18">
        <v>3.4404512606381159</v>
      </c>
      <c r="AD18" s="21">
        <v>11.775075707185939</v>
      </c>
      <c r="AE18" s="21">
        <v>10.07086371051293</v>
      </c>
      <c r="AF18" s="21">
        <v>8.044858453435276E-2</v>
      </c>
      <c r="AG18" s="21"/>
      <c r="AH18" s="21">
        <v>2.4920039107459782</v>
      </c>
    </row>
    <row r="19" spans="1:34">
      <c r="A19" s="13" t="s">
        <v>77</v>
      </c>
      <c r="B19" s="13" t="s">
        <v>76</v>
      </c>
      <c r="C19" s="13">
        <v>7</v>
      </c>
      <c r="E19" s="14">
        <v>44642</v>
      </c>
      <c r="R19" s="18"/>
      <c r="S19" s="18"/>
      <c r="T19" s="18"/>
      <c r="U19" s="18"/>
      <c r="V19" s="18"/>
      <c r="Y19" s="92"/>
      <c r="AC19" s="18"/>
      <c r="AD19" s="21"/>
      <c r="AE19" s="21"/>
      <c r="AF19" s="21"/>
      <c r="AG19" s="21"/>
      <c r="AH19" s="21"/>
    </row>
    <row r="20" spans="1:34">
      <c r="A20" s="13" t="s">
        <v>78</v>
      </c>
      <c r="B20" s="13" t="s">
        <v>76</v>
      </c>
      <c r="C20" s="13">
        <v>7</v>
      </c>
      <c r="E20" s="14">
        <v>44642</v>
      </c>
      <c r="H20" s="16">
        <v>18</v>
      </c>
      <c r="I20" s="16">
        <v>6.37</v>
      </c>
      <c r="J20" s="16">
        <v>51.24</v>
      </c>
      <c r="K20" s="17">
        <v>2.0784852873556252</v>
      </c>
      <c r="P20" s="18" t="s">
        <v>50</v>
      </c>
      <c r="Q20" s="18">
        <v>3.0305746105792868</v>
      </c>
      <c r="R20" s="18" t="s">
        <v>50</v>
      </c>
      <c r="S20" s="18">
        <v>12.176520169293889</v>
      </c>
      <c r="T20" s="18">
        <v>4.8165194533400868</v>
      </c>
      <c r="U20" s="18"/>
      <c r="V20" s="18" t="s">
        <v>50</v>
      </c>
      <c r="W20" s="18">
        <v>1.8407186084351039</v>
      </c>
      <c r="Y20" s="92">
        <v>3.7123384924911682</v>
      </c>
      <c r="Z20" s="20">
        <v>-6.1621580491859644</v>
      </c>
      <c r="AA20" s="10">
        <v>-20.110492510983772</v>
      </c>
      <c r="AB20" s="17">
        <v>2.269397241925589</v>
      </c>
      <c r="AC20" s="18">
        <v>1.3662046216183119</v>
      </c>
      <c r="AD20" s="21">
        <v>1.42699840386646</v>
      </c>
      <c r="AE20" s="21">
        <v>2.9295099963709501</v>
      </c>
      <c r="AF20" s="21">
        <v>1.7271663276528529E-2</v>
      </c>
      <c r="AG20" s="21"/>
      <c r="AH20" s="21">
        <v>3.2296615754621598</v>
      </c>
    </row>
    <row r="21" spans="1:34">
      <c r="A21" s="13" t="s">
        <v>75</v>
      </c>
      <c r="B21" s="13" t="s">
        <v>76</v>
      </c>
      <c r="C21" s="13">
        <v>8</v>
      </c>
      <c r="E21" s="14">
        <v>44649</v>
      </c>
      <c r="H21" s="16">
        <v>17.600000000000001</v>
      </c>
      <c r="I21" s="16">
        <v>5.2</v>
      </c>
      <c r="J21" s="16">
        <v>119.9</v>
      </c>
      <c r="K21" s="17">
        <v>-2.0708930027344499E-2</v>
      </c>
      <c r="P21" s="18" t="s">
        <v>50</v>
      </c>
      <c r="Q21" s="18">
        <v>8.0522504196351097</v>
      </c>
      <c r="R21" s="18" t="s">
        <v>50</v>
      </c>
      <c r="S21" s="18">
        <v>27.58771736568027</v>
      </c>
      <c r="T21" s="18">
        <v>1.87007245243202</v>
      </c>
      <c r="U21" s="18"/>
      <c r="V21" s="18">
        <v>0.31109183652338429</v>
      </c>
      <c r="W21" s="18">
        <v>1.3566455180440451</v>
      </c>
      <c r="X21" s="19">
        <v>0.56979999999999997</v>
      </c>
      <c r="Y21" s="92">
        <v>10.33618007077969</v>
      </c>
      <c r="Z21" s="20">
        <v>-5.8828223951857579</v>
      </c>
      <c r="AA21" s="10">
        <v>-23.2855376929069</v>
      </c>
      <c r="AB21" s="17">
        <v>1.4968150756424801</v>
      </c>
      <c r="AC21" s="18">
        <v>2.2424292096642122</v>
      </c>
      <c r="AD21" s="21">
        <v>11.63554739772025</v>
      </c>
      <c r="AE21" s="21">
        <v>6.1443478333071369</v>
      </c>
      <c r="AF21" s="21">
        <v>4.810026334892939E-2</v>
      </c>
      <c r="AG21" s="21"/>
      <c r="AH21" s="21">
        <v>2.244225482406057</v>
      </c>
    </row>
    <row r="22" spans="1:34">
      <c r="A22" s="13" t="s">
        <v>77</v>
      </c>
      <c r="B22" s="13" t="s">
        <v>76</v>
      </c>
      <c r="C22" s="13">
        <v>8</v>
      </c>
      <c r="E22" s="14">
        <v>44649</v>
      </c>
      <c r="R22" s="18"/>
      <c r="S22" s="18"/>
      <c r="T22" s="18"/>
      <c r="U22" s="18"/>
      <c r="V22" s="18"/>
      <c r="Y22" s="92"/>
      <c r="AC22" s="18"/>
      <c r="AD22" s="21"/>
      <c r="AE22" s="21"/>
      <c r="AF22" s="21"/>
      <c r="AG22" s="21"/>
      <c r="AH22" s="21"/>
    </row>
    <row r="23" spans="1:34">
      <c r="A23" s="13" t="s">
        <v>169</v>
      </c>
      <c r="B23" s="13" t="s">
        <v>76</v>
      </c>
      <c r="C23" s="13">
        <v>8</v>
      </c>
      <c r="E23" s="14">
        <v>44649</v>
      </c>
      <c r="H23" s="16">
        <v>17.7</v>
      </c>
      <c r="I23" s="16">
        <v>6.6</v>
      </c>
      <c r="J23" s="16">
        <v>50.77</v>
      </c>
      <c r="K23" s="17">
        <v>1.3497387623878541</v>
      </c>
      <c r="P23" s="18" t="s">
        <v>50</v>
      </c>
      <c r="Q23" s="18">
        <v>2.3999227366631168</v>
      </c>
      <c r="R23" s="18" t="s">
        <v>50</v>
      </c>
      <c r="S23" s="18">
        <v>13.001973157880149</v>
      </c>
      <c r="T23" s="18">
        <v>3.9736145906509668</v>
      </c>
      <c r="U23" s="18"/>
      <c r="V23" s="18" t="s">
        <v>50</v>
      </c>
      <c r="W23" s="18">
        <v>1.2862892624545339</v>
      </c>
      <c r="Y23" s="92">
        <v>4.1224795607749281</v>
      </c>
      <c r="Z23" s="20">
        <v>-6.2854329387447416</v>
      </c>
      <c r="AA23" s="10">
        <v>-21.67061027300149</v>
      </c>
      <c r="AB23" s="17">
        <v>2.274591262898003</v>
      </c>
      <c r="AC23" s="18">
        <v>1.424598036034566</v>
      </c>
      <c r="AD23" s="21">
        <v>1.4469847229633139</v>
      </c>
      <c r="AE23" s="21">
        <v>3.124647019018147</v>
      </c>
      <c r="AF23" s="21">
        <v>1.8404910454372449E-2</v>
      </c>
      <c r="AG23" s="21"/>
      <c r="AH23" s="21">
        <v>2.8406454256975988</v>
      </c>
    </row>
    <row r="24" spans="1:34">
      <c r="A24" s="13" t="s">
        <v>170</v>
      </c>
      <c r="B24" s="13" t="s">
        <v>76</v>
      </c>
      <c r="C24" s="13">
        <v>9</v>
      </c>
      <c r="E24" s="14">
        <v>44658</v>
      </c>
      <c r="H24" s="16">
        <v>15.7</v>
      </c>
      <c r="I24" s="16">
        <v>5.5</v>
      </c>
      <c r="J24" s="16">
        <v>89.4</v>
      </c>
      <c r="K24" s="17">
        <v>0.1314598844737217</v>
      </c>
      <c r="P24" s="18" t="s">
        <v>50</v>
      </c>
      <c r="Q24" s="18">
        <v>6.3530500993806456</v>
      </c>
      <c r="R24" s="18" t="s">
        <v>50</v>
      </c>
      <c r="S24" s="18">
        <v>26.430880986298149</v>
      </c>
      <c r="T24" s="18">
        <v>2.7115505048543822</v>
      </c>
      <c r="U24" s="18"/>
      <c r="V24" s="18" t="s">
        <v>50</v>
      </c>
      <c r="W24" s="18">
        <v>1.0801866972558229</v>
      </c>
      <c r="X24" s="19">
        <v>1.1547000000000001</v>
      </c>
      <c r="Y24" s="92">
        <v>7.5344071201602469</v>
      </c>
      <c r="Z24" s="20">
        <v>-6.0952748644253507</v>
      </c>
      <c r="AA24" s="10">
        <v>-29.337437418006999</v>
      </c>
      <c r="AB24" s="17">
        <v>1.2721485659322751</v>
      </c>
      <c r="AC24" s="18">
        <v>1.805438125933758</v>
      </c>
      <c r="AD24" s="21">
        <v>9.399996403700122</v>
      </c>
      <c r="AE24" s="21">
        <v>4.5292327518912927</v>
      </c>
      <c r="AF24" s="21">
        <v>3.2841871291075117E-2</v>
      </c>
      <c r="AG24" s="21"/>
      <c r="AH24" s="21">
        <v>1.95517650453888</v>
      </c>
    </row>
    <row r="25" spans="1:34">
      <c r="A25" s="13" t="s">
        <v>172</v>
      </c>
      <c r="B25" s="13" t="s">
        <v>76</v>
      </c>
      <c r="C25" s="13">
        <v>9</v>
      </c>
      <c r="E25" s="14">
        <v>44658</v>
      </c>
      <c r="H25" s="16">
        <v>19.3</v>
      </c>
      <c r="I25" s="16">
        <v>6.79</v>
      </c>
      <c r="J25" s="16">
        <v>75.540000000000006</v>
      </c>
      <c r="P25" s="18" t="s">
        <v>50</v>
      </c>
      <c r="Q25" s="18">
        <v>3.9383140665602752</v>
      </c>
      <c r="R25" s="18" t="s">
        <v>50</v>
      </c>
      <c r="S25" s="18">
        <v>23.18900247499187</v>
      </c>
      <c r="T25" s="18">
        <v>5.3900865187287126</v>
      </c>
      <c r="U25" s="18"/>
      <c r="V25" s="18" t="s">
        <v>50</v>
      </c>
      <c r="W25" s="18">
        <v>1.7119513346095241</v>
      </c>
      <c r="Y25" s="92">
        <v>6.5456219061964616</v>
      </c>
      <c r="Z25" s="20">
        <v>-6.259859956336272</v>
      </c>
      <c r="AA25" s="10">
        <v>-24.956906010518111</v>
      </c>
      <c r="AB25" s="17">
        <v>2.1272476078278388</v>
      </c>
      <c r="AC25" s="18">
        <v>2.640054725657488</v>
      </c>
      <c r="AD25" s="21">
        <v>1.731001448297024</v>
      </c>
      <c r="AE25" s="21">
        <v>5.8325058319553422</v>
      </c>
      <c r="AF25" s="21">
        <v>3.8276410882015069E-2</v>
      </c>
      <c r="AG25" s="21"/>
      <c r="AH25" s="21">
        <v>2.6227527767254211</v>
      </c>
    </row>
    <row r="26" spans="1:34">
      <c r="A26" s="13" t="s">
        <v>169</v>
      </c>
      <c r="B26" s="13" t="s">
        <v>76</v>
      </c>
      <c r="C26" s="13">
        <v>9</v>
      </c>
      <c r="E26" s="14">
        <v>44658</v>
      </c>
      <c r="H26" s="16">
        <v>15.6</v>
      </c>
      <c r="I26" s="16">
        <v>5.63</v>
      </c>
      <c r="J26" s="16">
        <v>45.6</v>
      </c>
      <c r="K26" s="17">
        <v>1.2263264438336869</v>
      </c>
      <c r="P26" s="18" t="s">
        <v>50</v>
      </c>
      <c r="Q26" s="18">
        <v>2.2015957539601398</v>
      </c>
      <c r="R26" s="18" t="s">
        <v>50</v>
      </c>
      <c r="S26" s="18">
        <v>12.388745900543441</v>
      </c>
      <c r="T26" s="18">
        <v>4.7032377595368597</v>
      </c>
      <c r="U26" s="18"/>
      <c r="V26" s="18">
        <v>2.7512175531691201E-2</v>
      </c>
      <c r="W26" s="18">
        <v>1.1515360948601401</v>
      </c>
      <c r="X26" s="19">
        <v>2.1972</v>
      </c>
      <c r="Y26" s="92">
        <v>3.7487810039070548</v>
      </c>
      <c r="Z26" s="20">
        <v>-6.5041147242120383</v>
      </c>
      <c r="AA26" s="10">
        <v>-23.950104794795259</v>
      </c>
      <c r="AB26" s="17">
        <v>2.098741313398786</v>
      </c>
      <c r="AC26" s="18">
        <v>1.303223384333432</v>
      </c>
      <c r="AD26" s="21">
        <v>1.272774564212533</v>
      </c>
      <c r="AE26" s="21">
        <v>2.8654133509047801</v>
      </c>
      <c r="AF26" s="21">
        <v>1.6431613509608919E-2</v>
      </c>
      <c r="AG26" s="21"/>
      <c r="AH26" s="21">
        <v>2.268514572272037</v>
      </c>
    </row>
    <row r="27" spans="1:34">
      <c r="A27" s="13" t="s">
        <v>170</v>
      </c>
      <c r="B27" s="13" t="s">
        <v>76</v>
      </c>
      <c r="C27" s="13">
        <v>10</v>
      </c>
      <c r="E27" s="14">
        <v>44663</v>
      </c>
      <c r="H27" s="16">
        <v>17.399999999999999</v>
      </c>
      <c r="I27" s="16">
        <v>5.31</v>
      </c>
      <c r="J27" s="16">
        <v>85.64</v>
      </c>
      <c r="K27" s="17">
        <v>8.4989561957661316E-2</v>
      </c>
      <c r="P27" s="18" t="s">
        <v>50</v>
      </c>
      <c r="Q27" s="18">
        <v>6.2631621440176257</v>
      </c>
      <c r="R27" s="18" t="s">
        <v>50</v>
      </c>
      <c r="S27" s="18">
        <v>24.189183909855601</v>
      </c>
      <c r="T27" s="18">
        <v>5.1771608896888974</v>
      </c>
      <c r="U27" s="18"/>
      <c r="V27" s="18">
        <v>2.6701262931567622E-2</v>
      </c>
      <c r="W27" s="18">
        <v>1.2133978012803399</v>
      </c>
      <c r="Y27" s="92">
        <v>6.7932787767552432</v>
      </c>
      <c r="Z27" s="20">
        <v>-6.017244482204636</v>
      </c>
      <c r="AA27" s="10">
        <v>-27.45759665164438</v>
      </c>
      <c r="AB27" s="17">
        <v>1.2242302616211591</v>
      </c>
      <c r="AC27" s="18">
        <v>1.507857075294619</v>
      </c>
      <c r="AD27" s="21">
        <v>9.9183234127087054</v>
      </c>
      <c r="AE27" s="21">
        <v>3.754025605255201</v>
      </c>
      <c r="AF27" s="21">
        <v>2.634060235691511E-2</v>
      </c>
      <c r="AG27" s="21"/>
      <c r="AH27" s="21">
        <v>1.7768941538526559</v>
      </c>
    </row>
    <row r="28" spans="1:34">
      <c r="A28" s="13" t="s">
        <v>172</v>
      </c>
      <c r="B28" s="13" t="s">
        <v>76</v>
      </c>
      <c r="C28" s="13">
        <v>10</v>
      </c>
      <c r="E28" s="14">
        <v>44663</v>
      </c>
      <c r="H28" s="16">
        <v>13.7</v>
      </c>
      <c r="I28" s="16">
        <v>5.31</v>
      </c>
      <c r="J28" s="16">
        <v>68.069999999999993</v>
      </c>
      <c r="K28" s="17">
        <v>0.30929470465725339</v>
      </c>
      <c r="P28" s="18" t="s">
        <v>50</v>
      </c>
      <c r="Q28" s="18">
        <v>3.9860636168656649</v>
      </c>
      <c r="R28" s="18" t="s">
        <v>50</v>
      </c>
      <c r="S28" s="18">
        <v>21.34388414966665</v>
      </c>
      <c r="T28" s="18">
        <v>5.1283127998165217</v>
      </c>
      <c r="U28" s="18"/>
      <c r="V28" s="18">
        <v>6.2930369228021759E-3</v>
      </c>
      <c r="W28" s="18">
        <v>0.94550932212716143</v>
      </c>
      <c r="X28" s="19">
        <v>1.5656000000000001</v>
      </c>
      <c r="Y28" s="92">
        <v>5.7477379078767399</v>
      </c>
      <c r="Z28" s="20">
        <v>-6.38575771588566</v>
      </c>
      <c r="AA28" s="10">
        <v>-30.433304327797359</v>
      </c>
      <c r="AB28" s="17">
        <v>1.7053971594528019</v>
      </c>
      <c r="AC28" s="18">
        <v>2.270725448410805</v>
      </c>
      <c r="AD28" s="21">
        <v>1.2695281824995459</v>
      </c>
      <c r="AE28" s="21">
        <v>5.0604828883117898</v>
      </c>
      <c r="AF28" s="21">
        <v>3.1022346445699501E-2</v>
      </c>
      <c r="AG28" s="21"/>
      <c r="AH28" s="21">
        <v>1.474995968993575</v>
      </c>
    </row>
    <row r="29" spans="1:34">
      <c r="A29" s="13" t="s">
        <v>78</v>
      </c>
      <c r="B29" s="13" t="s">
        <v>76</v>
      </c>
      <c r="C29" s="13">
        <v>10</v>
      </c>
      <c r="E29" s="14">
        <v>44663</v>
      </c>
      <c r="H29" s="16">
        <v>13.7</v>
      </c>
      <c r="I29" s="16">
        <v>5.34</v>
      </c>
      <c r="J29" s="16">
        <v>44.9</v>
      </c>
      <c r="K29" s="17">
        <v>0.77450769974465494</v>
      </c>
      <c r="P29" s="18" t="s">
        <v>50</v>
      </c>
      <c r="Q29" s="18">
        <v>1.9827674071107571</v>
      </c>
      <c r="R29" s="18" t="s">
        <v>50</v>
      </c>
      <c r="S29" s="18">
        <v>13.00297843243302</v>
      </c>
      <c r="T29" s="18">
        <v>4.4507008507653136</v>
      </c>
      <c r="U29" s="18"/>
      <c r="V29" s="18">
        <v>1.9676121123009861E-2</v>
      </c>
      <c r="W29" s="18">
        <v>1.12073433256174</v>
      </c>
      <c r="X29" s="19">
        <v>1.9527000000000001</v>
      </c>
      <c r="Y29" s="92">
        <v>3.5547851397399368</v>
      </c>
      <c r="Z29" s="20">
        <v>-6.4690338380876007</v>
      </c>
      <c r="AA29" s="10">
        <v>-27.656607909450901</v>
      </c>
      <c r="AB29" s="17">
        <v>1.9630880457521069</v>
      </c>
      <c r="AC29" s="18">
        <v>1.2358655282190649</v>
      </c>
      <c r="AD29" s="21">
        <v>1.172613315915205</v>
      </c>
      <c r="AE29" s="21">
        <v>2.786603114079488</v>
      </c>
      <c r="AF29" s="21">
        <v>1.517953836037942E-2</v>
      </c>
      <c r="AG29" s="21"/>
      <c r="AH29" s="21">
        <v>2.0286097015603541</v>
      </c>
    </row>
    <row r="30" spans="1:34">
      <c r="A30" s="13" t="s">
        <v>75</v>
      </c>
      <c r="B30" s="13" t="s">
        <v>76</v>
      </c>
      <c r="C30" s="13">
        <v>11</v>
      </c>
      <c r="E30" s="14">
        <v>44670</v>
      </c>
      <c r="H30" s="16">
        <v>16.899999999999999</v>
      </c>
      <c r="I30" s="16">
        <v>6.35</v>
      </c>
      <c r="J30" s="16">
        <v>79.12</v>
      </c>
      <c r="P30" s="18" t="s">
        <v>50</v>
      </c>
      <c r="Q30" s="18">
        <v>7.0343935986154751</v>
      </c>
      <c r="R30" s="18" t="s">
        <v>50</v>
      </c>
      <c r="S30" s="18">
        <v>22.452826534968189</v>
      </c>
      <c r="T30" s="18">
        <v>5.2496851950155428</v>
      </c>
      <c r="U30" s="18"/>
      <c r="V30" s="18">
        <v>1.029787230155365E-2</v>
      </c>
      <c r="W30" s="18">
        <v>1.2999000000000001</v>
      </c>
      <c r="Y30" s="92">
        <v>6.2809474668426688</v>
      </c>
      <c r="Z30" s="20">
        <v>-5.7772356880340912</v>
      </c>
      <c r="AA30" s="10">
        <v>-23.932245993855869</v>
      </c>
      <c r="AB30" s="17">
        <v>1.1104502978765329</v>
      </c>
      <c r="AC30" s="18">
        <v>1.3825008486279891</v>
      </c>
      <c r="AD30" s="21">
        <v>10.02630051728023</v>
      </c>
      <c r="AE30" s="21">
        <v>3.2510879367995069</v>
      </c>
      <c r="AF30" s="21">
        <v>2.169775386077908E-2</v>
      </c>
      <c r="AG30" s="21"/>
      <c r="AH30" s="21">
        <v>1.7892343302969571</v>
      </c>
    </row>
    <row r="31" spans="1:34">
      <c r="A31" s="13" t="s">
        <v>77</v>
      </c>
      <c r="B31" s="13" t="s">
        <v>76</v>
      </c>
      <c r="C31" s="13">
        <v>11</v>
      </c>
      <c r="E31" s="14">
        <v>44670</v>
      </c>
      <c r="H31" s="16">
        <v>17.100000000000001</v>
      </c>
      <c r="I31" s="16">
        <v>6.4</v>
      </c>
      <c r="J31" s="16">
        <v>64.25</v>
      </c>
      <c r="P31" s="18" t="s">
        <v>50</v>
      </c>
      <c r="Q31" s="18">
        <v>3.857109376139916</v>
      </c>
      <c r="R31" s="18" t="s">
        <v>50</v>
      </c>
      <c r="S31" s="18">
        <v>21.58500840629149</v>
      </c>
      <c r="T31" s="18">
        <v>4.7446410681129336</v>
      </c>
      <c r="U31" s="18"/>
      <c r="V31" s="18">
        <v>7.9512756182052238E-3</v>
      </c>
      <c r="W31" s="18">
        <v>1.2309000000000001</v>
      </c>
      <c r="Y31" s="92">
        <v>6.0557679146306791</v>
      </c>
      <c r="Z31" s="20">
        <v>-6.2216565815146581</v>
      </c>
      <c r="AA31" s="10">
        <v>-28.705161783198239</v>
      </c>
      <c r="AB31" s="17">
        <v>1.685826985159419</v>
      </c>
      <c r="AC31" s="18">
        <v>2.0724997290157101</v>
      </c>
      <c r="AD31" s="21">
        <v>1.3135022909177381</v>
      </c>
      <c r="AE31" s="18">
        <v>4.6500547483315824</v>
      </c>
      <c r="AF31" s="21">
        <v>2.638126768158397E-2</v>
      </c>
      <c r="AG31" s="21"/>
      <c r="AH31" s="21">
        <v>1.967962406893017</v>
      </c>
    </row>
    <row r="32" spans="1:34">
      <c r="A32" s="13" t="s">
        <v>78</v>
      </c>
      <c r="B32" s="13" t="s">
        <v>76</v>
      </c>
      <c r="C32" s="13">
        <v>11</v>
      </c>
      <c r="E32" s="14">
        <v>44670</v>
      </c>
      <c r="K32" s="17">
        <v>0.407881763812386</v>
      </c>
      <c r="P32" s="18" t="s">
        <v>50</v>
      </c>
      <c r="Q32" s="18">
        <v>1.8485232127946469</v>
      </c>
      <c r="R32" s="18" t="s">
        <v>50</v>
      </c>
      <c r="S32" s="18">
        <v>13.524142519302661</v>
      </c>
      <c r="T32" s="18">
        <v>4.1959724699110534</v>
      </c>
      <c r="U32" s="18"/>
      <c r="V32" s="18">
        <v>1.2643655193708331E-2</v>
      </c>
      <c r="W32" s="18">
        <v>1.2518</v>
      </c>
      <c r="Y32" s="92">
        <v>3.773860355409957</v>
      </c>
      <c r="Z32" s="20">
        <v>-6.5025893084745947</v>
      </c>
      <c r="AA32" s="10">
        <v>-29.550168943904211</v>
      </c>
      <c r="AB32" s="17">
        <v>1.849343008514073</v>
      </c>
      <c r="AC32" s="18">
        <v>1.0803100720916889</v>
      </c>
      <c r="AD32" s="21">
        <v>1.1274302614949909</v>
      </c>
      <c r="AE32" s="21">
        <v>2.4743946959506742</v>
      </c>
      <c r="AF32" s="21">
        <v>1.4719307356261429E-2</v>
      </c>
      <c r="AG32" s="21"/>
      <c r="AH32" s="21">
        <v>1.865723323750935</v>
      </c>
    </row>
    <row r="33" spans="1:34">
      <c r="A33" s="13" t="s">
        <v>75</v>
      </c>
      <c r="B33" s="13" t="s">
        <v>76</v>
      </c>
      <c r="C33" s="13">
        <v>12</v>
      </c>
      <c r="E33" s="14">
        <v>44677</v>
      </c>
      <c r="R33" s="18"/>
      <c r="S33" s="18"/>
      <c r="T33" s="18"/>
      <c r="U33" s="18"/>
      <c r="V33" s="18"/>
      <c r="Y33" s="92"/>
      <c r="AC33" s="18"/>
      <c r="AD33" s="21"/>
      <c r="AE33" s="21"/>
      <c r="AF33" s="21"/>
      <c r="AG33" s="21"/>
      <c r="AH33" s="21"/>
    </row>
    <row r="34" spans="1:34">
      <c r="A34" s="13" t="s">
        <v>77</v>
      </c>
      <c r="B34" s="13" t="s">
        <v>76</v>
      </c>
      <c r="C34" s="13">
        <v>12</v>
      </c>
      <c r="E34" s="14">
        <v>44677</v>
      </c>
      <c r="R34" s="18"/>
      <c r="S34" s="18"/>
      <c r="T34" s="18"/>
      <c r="U34" s="18"/>
      <c r="V34" s="18"/>
      <c r="Y34" s="92"/>
      <c r="AC34" s="18"/>
      <c r="AD34" s="21"/>
      <c r="AE34" s="21"/>
      <c r="AF34" s="21"/>
      <c r="AG34" s="21"/>
      <c r="AH34" s="21"/>
    </row>
    <row r="35" spans="1:34">
      <c r="A35" s="13" t="s">
        <v>78</v>
      </c>
      <c r="B35" s="13" t="s">
        <v>76</v>
      </c>
      <c r="C35" s="13">
        <v>12</v>
      </c>
      <c r="E35" s="14">
        <v>44677</v>
      </c>
      <c r="H35" s="16">
        <v>20.3</v>
      </c>
      <c r="I35" s="16">
        <v>6.47</v>
      </c>
      <c r="J35" s="16">
        <v>43.89</v>
      </c>
      <c r="K35" s="17">
        <v>0.39028774789993959</v>
      </c>
      <c r="P35" s="18" t="s">
        <v>50</v>
      </c>
      <c r="Q35" s="18">
        <v>1.8499148136249031</v>
      </c>
      <c r="R35" s="18" t="s">
        <v>50</v>
      </c>
      <c r="S35" s="18">
        <v>14.07886321672283</v>
      </c>
      <c r="T35" s="18">
        <v>4.0710837945177856</v>
      </c>
      <c r="U35" s="18"/>
      <c r="V35" s="18">
        <v>1.6551484922424451E-2</v>
      </c>
      <c r="W35" s="18">
        <v>1.2362</v>
      </c>
      <c r="X35" s="19">
        <v>1.302</v>
      </c>
      <c r="Y35" s="92">
        <v>3.9423120441560089</v>
      </c>
      <c r="Z35" s="20">
        <v>-6.525944760834685</v>
      </c>
      <c r="AA35" s="10">
        <v>-29.918513892044171</v>
      </c>
      <c r="AB35" s="17">
        <v>1.9008247122966859</v>
      </c>
      <c r="AC35" s="18">
        <v>1.106636679486388</v>
      </c>
      <c r="AD35" s="21">
        <v>1.16306515771049</v>
      </c>
      <c r="AE35" s="21">
        <v>2.5126841129428672</v>
      </c>
      <c r="AF35" s="21">
        <v>1.5326823183453049E-2</v>
      </c>
      <c r="AG35" s="21"/>
      <c r="AH35" s="21">
        <v>2.0177629364018408</v>
      </c>
    </row>
    <row r="36" spans="1:34">
      <c r="A36" s="13" t="s">
        <v>75</v>
      </c>
      <c r="B36" s="13" t="s">
        <v>76</v>
      </c>
      <c r="C36" s="13">
        <v>13</v>
      </c>
      <c r="E36" s="14">
        <v>44684</v>
      </c>
      <c r="P36" s="18">
        <v>0.1021856432665397</v>
      </c>
      <c r="Q36" s="18">
        <v>7.9374854862665893</v>
      </c>
      <c r="R36" s="18" t="s">
        <v>50</v>
      </c>
      <c r="S36" s="18">
        <v>32.928845654764856</v>
      </c>
      <c r="T36" s="18">
        <v>4.9244150450511013</v>
      </c>
      <c r="U36" s="18"/>
      <c r="V36" s="18" t="s">
        <v>50</v>
      </c>
      <c r="Y36" s="92">
        <v>9.9041574288432503</v>
      </c>
      <c r="Z36" s="20">
        <v>-4.6505019363194702</v>
      </c>
      <c r="AA36" s="10">
        <v>-14.975037592189761</v>
      </c>
      <c r="AB36" s="17">
        <v>1.818613275933743</v>
      </c>
      <c r="AC36" s="18">
        <v>2.0993366048740278</v>
      </c>
      <c r="AD36" s="21">
        <v>9.9636054849387996</v>
      </c>
      <c r="AE36" s="21">
        <v>4.8030419455714011</v>
      </c>
      <c r="AF36" s="21">
        <v>3.3434687939573479E-2</v>
      </c>
      <c r="AG36" s="21"/>
      <c r="AH36" s="21">
        <v>2.9459935710379219</v>
      </c>
    </row>
    <row r="37" spans="1:34">
      <c r="A37" s="13" t="s">
        <v>77</v>
      </c>
      <c r="B37" s="13" t="s">
        <v>76</v>
      </c>
      <c r="C37" s="13">
        <v>13</v>
      </c>
      <c r="E37" s="14">
        <v>44684</v>
      </c>
      <c r="P37" s="18">
        <v>0.103304040910686</v>
      </c>
      <c r="Q37" s="18">
        <v>3.9280717852408431</v>
      </c>
      <c r="R37" s="18" t="s">
        <v>50</v>
      </c>
      <c r="S37" s="18">
        <v>28.35047856247682</v>
      </c>
      <c r="T37" s="18">
        <v>4.9471235731541752</v>
      </c>
      <c r="U37" s="18"/>
      <c r="V37" s="18" t="s">
        <v>50</v>
      </c>
      <c r="Y37" s="92">
        <v>8.4529290153856191</v>
      </c>
      <c r="Z37" s="20">
        <v>-6.1178916431719719</v>
      </c>
      <c r="AA37" s="10">
        <v>-27.658757384660341</v>
      </c>
      <c r="AB37" s="17">
        <v>1.879696104548777</v>
      </c>
      <c r="AC37" s="18">
        <v>2.3937679297778032</v>
      </c>
      <c r="AD37" s="21">
        <v>1.4250755018699299</v>
      </c>
      <c r="AE37" s="21">
        <v>5.5261316070797122</v>
      </c>
      <c r="AF37" s="21">
        <v>3.2958482488925397E-2</v>
      </c>
      <c r="AG37" s="21"/>
      <c r="AH37" s="21">
        <v>2.6386063454161208</v>
      </c>
    </row>
    <row r="38" spans="1:34">
      <c r="A38" s="13" t="s">
        <v>78</v>
      </c>
      <c r="B38" s="13" t="s">
        <v>76</v>
      </c>
      <c r="C38" s="13">
        <v>13</v>
      </c>
      <c r="E38" s="14">
        <v>44684</v>
      </c>
      <c r="R38" s="18"/>
      <c r="S38" s="18"/>
      <c r="T38" s="18"/>
      <c r="U38" s="18"/>
      <c r="V38" s="18"/>
      <c r="Y38" s="92"/>
      <c r="AC38" s="18"/>
      <c r="AD38" s="21"/>
      <c r="AE38" s="21"/>
      <c r="AF38" s="21"/>
      <c r="AG38" s="21"/>
      <c r="AH38" s="21"/>
    </row>
    <row r="39" spans="1:34">
      <c r="A39" s="13" t="s">
        <v>75</v>
      </c>
      <c r="B39" s="13" t="s">
        <v>76</v>
      </c>
      <c r="C39" s="13">
        <v>14</v>
      </c>
      <c r="E39" s="14">
        <v>44691</v>
      </c>
      <c r="H39" s="16">
        <v>18.2</v>
      </c>
      <c r="I39" s="16">
        <v>5.56</v>
      </c>
      <c r="J39" s="16">
        <v>102.8</v>
      </c>
      <c r="K39" s="17">
        <v>0.47395975655760803</v>
      </c>
      <c r="P39" s="18" t="s">
        <v>50</v>
      </c>
      <c r="Q39" s="18">
        <v>7.0514587582026653</v>
      </c>
      <c r="R39" s="18">
        <v>6.4500000000000002E-2</v>
      </c>
      <c r="S39" s="18">
        <v>33.039617525554739</v>
      </c>
      <c r="T39" s="18">
        <v>4.6019077070679133</v>
      </c>
      <c r="U39" s="18"/>
      <c r="V39" s="18">
        <v>1.0999999999999999E-2</v>
      </c>
      <c r="W39" s="18">
        <v>1.461722332313224</v>
      </c>
      <c r="Y39" s="92">
        <v>9.8957359686353676</v>
      </c>
      <c r="Z39" s="20">
        <v>-4.4676621092719104</v>
      </c>
      <c r="AA39" s="10">
        <v>-14.17110486814687</v>
      </c>
      <c r="AB39" s="17">
        <v>1.633029815652123</v>
      </c>
      <c r="AC39" s="18">
        <v>2.2362256276655241</v>
      </c>
      <c r="AD39" s="21">
        <v>9.5101283563192087</v>
      </c>
      <c r="AE39" s="21">
        <v>5.2929882286091416</v>
      </c>
      <c r="AF39" s="21">
        <v>3.5458751317971861E-2</v>
      </c>
      <c r="AG39" s="21"/>
      <c r="AH39" s="21">
        <v>1.65811490651667</v>
      </c>
    </row>
    <row r="40" spans="1:34">
      <c r="A40" s="13" t="s">
        <v>167</v>
      </c>
      <c r="B40" s="13" t="s">
        <v>76</v>
      </c>
      <c r="C40" s="13">
        <v>14</v>
      </c>
      <c r="E40" s="14">
        <v>44691</v>
      </c>
      <c r="H40" s="16">
        <v>19.8</v>
      </c>
      <c r="I40" s="16">
        <v>6.05</v>
      </c>
      <c r="J40" s="16">
        <v>61.62</v>
      </c>
      <c r="K40" s="17">
        <v>0.33461260339078758</v>
      </c>
      <c r="P40" s="18" t="s">
        <v>50</v>
      </c>
      <c r="Q40" s="18">
        <v>3.2854927797941729</v>
      </c>
      <c r="R40" s="18" t="s">
        <v>50</v>
      </c>
      <c r="S40" s="18">
        <v>20.032541729820821</v>
      </c>
      <c r="T40" s="18">
        <v>4.023966169545325</v>
      </c>
      <c r="U40" s="18"/>
      <c r="V40" s="18" t="s">
        <v>52</v>
      </c>
      <c r="W40" s="18">
        <v>1.108928695499978</v>
      </c>
      <c r="Y40" s="92">
        <v>6.1286796265183154</v>
      </c>
      <c r="Z40" s="20">
        <v>-5.9863151855050258</v>
      </c>
      <c r="AA40" s="10">
        <v>-25.73199379467167</v>
      </c>
      <c r="AB40" s="17">
        <v>1.572238190919778</v>
      </c>
      <c r="AC40" s="18">
        <v>1.859739772720679</v>
      </c>
      <c r="AD40" s="21">
        <v>1.1038365962627561</v>
      </c>
      <c r="AE40" s="21">
        <v>4.3712234771207621</v>
      </c>
      <c r="AF40" s="21">
        <v>2.4177349487338181E-2</v>
      </c>
      <c r="AG40" s="21"/>
      <c r="AH40" s="21">
        <v>1.308979501004651</v>
      </c>
    </row>
    <row r="41" spans="1:34">
      <c r="A41" s="13" t="s">
        <v>168</v>
      </c>
      <c r="B41" s="13" t="s">
        <v>76</v>
      </c>
      <c r="C41" s="13">
        <v>14</v>
      </c>
      <c r="E41" s="14">
        <v>44691</v>
      </c>
      <c r="H41" s="16">
        <v>19.2</v>
      </c>
      <c r="I41" s="16">
        <v>5.58</v>
      </c>
      <c r="J41" s="16">
        <v>58.51</v>
      </c>
      <c r="K41" s="17">
        <v>0.31782945073798069</v>
      </c>
      <c r="P41" s="18" t="s">
        <v>50</v>
      </c>
      <c r="Q41" s="18">
        <v>1.871187508611093</v>
      </c>
      <c r="R41" s="18" t="s">
        <v>50</v>
      </c>
      <c r="S41" s="18">
        <v>20.768284549085461</v>
      </c>
      <c r="T41" s="18">
        <v>3.588404812355058</v>
      </c>
      <c r="U41" s="18"/>
      <c r="V41" s="18" t="s">
        <v>52</v>
      </c>
      <c r="W41" s="18">
        <v>1.062130063615458</v>
      </c>
      <c r="Y41" s="92">
        <v>5.988466367460914</v>
      </c>
      <c r="Z41" s="20">
        <v>-6.4082678714300894</v>
      </c>
      <c r="AA41" s="10">
        <v>-29.355441387055588</v>
      </c>
      <c r="AB41" s="17">
        <v>2.0473930231990209</v>
      </c>
      <c r="AC41" s="18">
        <v>1.478921858612894</v>
      </c>
      <c r="AD41" s="21">
        <v>1.1992179383452359</v>
      </c>
      <c r="AE41" s="21">
        <v>3.4468909320115788</v>
      </c>
      <c r="AF41" s="21">
        <v>1.8836000709628521E-2</v>
      </c>
      <c r="AG41" s="21"/>
      <c r="AH41" s="21">
        <v>2.0282429924193841</v>
      </c>
    </row>
    <row r="42" spans="1:34">
      <c r="A42" s="13" t="s">
        <v>166</v>
      </c>
      <c r="B42" s="13" t="s">
        <v>76</v>
      </c>
      <c r="C42" s="13">
        <v>15</v>
      </c>
      <c r="E42" s="14">
        <v>44698</v>
      </c>
      <c r="H42" s="16">
        <v>17.3</v>
      </c>
      <c r="I42" s="16">
        <v>6.66</v>
      </c>
      <c r="J42" s="16">
        <v>78.56</v>
      </c>
      <c r="K42" s="17">
        <v>0.25239472817330422</v>
      </c>
      <c r="P42" s="18" t="s">
        <v>50</v>
      </c>
      <c r="Q42" s="18">
        <v>5.2723897158532731</v>
      </c>
      <c r="R42" s="18" t="s">
        <v>50</v>
      </c>
      <c r="S42" s="18">
        <v>23.690349493467451</v>
      </c>
      <c r="T42" s="18">
        <v>4.4624963510473501</v>
      </c>
      <c r="U42" s="18"/>
      <c r="V42" s="18" t="s">
        <v>52</v>
      </c>
      <c r="W42" s="18">
        <v>1.075355429160604</v>
      </c>
      <c r="Y42" s="92">
        <v>7.1481740098365556</v>
      </c>
      <c r="Z42" s="20">
        <v>-5.3861607797630526</v>
      </c>
      <c r="AA42" s="10">
        <v>-21.431807344313171</v>
      </c>
      <c r="AB42" s="17">
        <v>1.37076239941216</v>
      </c>
      <c r="AC42" s="18">
        <v>1.4308818484671679</v>
      </c>
      <c r="AD42" s="21">
        <v>8.0179983657599898</v>
      </c>
      <c r="AE42" s="21">
        <v>3.579485261944463</v>
      </c>
      <c r="AF42" s="21">
        <v>2.0996571343206181E-2</v>
      </c>
      <c r="AG42" s="21"/>
      <c r="AH42" s="21">
        <v>1.609577244996254</v>
      </c>
    </row>
    <row r="43" spans="1:34">
      <c r="A43" s="13" t="s">
        <v>167</v>
      </c>
      <c r="B43" s="13" t="s">
        <v>76</v>
      </c>
      <c r="C43" s="13">
        <v>15</v>
      </c>
      <c r="E43" s="14">
        <v>44698</v>
      </c>
      <c r="H43" s="16">
        <v>20.5</v>
      </c>
      <c r="I43" s="16">
        <v>5.71</v>
      </c>
      <c r="J43" s="16">
        <v>94.72</v>
      </c>
      <c r="K43" s="17">
        <v>-8.7584075684623452E-2</v>
      </c>
      <c r="P43" s="18" t="s">
        <v>50</v>
      </c>
      <c r="Q43" s="18">
        <v>3.6746127618789139</v>
      </c>
      <c r="R43" s="18" t="s">
        <v>50</v>
      </c>
      <c r="S43" s="18">
        <v>24.068798010107709</v>
      </c>
      <c r="T43" s="18">
        <v>4.0026579417888772</v>
      </c>
      <c r="U43" s="18"/>
      <c r="V43" s="18">
        <v>0.01</v>
      </c>
      <c r="W43" s="18">
        <v>1.2235281183278559</v>
      </c>
      <c r="Y43" s="92">
        <v>7.2583806303124048</v>
      </c>
      <c r="Z43" s="20">
        <v>-5.3136942763254931</v>
      </c>
      <c r="AA43" s="10">
        <v>-20.52905275368493</v>
      </c>
      <c r="AB43" s="17">
        <v>1.665947411433419</v>
      </c>
      <c r="AC43" s="18">
        <v>1.9886553088032159</v>
      </c>
      <c r="AD43" s="21">
        <v>1.415458688515113</v>
      </c>
      <c r="AE43" s="21">
        <v>4.8267431328291606</v>
      </c>
      <c r="AF43" s="21">
        <v>2.4637758752575661E-2</v>
      </c>
      <c r="AG43" s="21"/>
      <c r="AH43" s="21">
        <v>1.609562934029946</v>
      </c>
    </row>
    <row r="44" spans="1:34">
      <c r="A44" s="13" t="s">
        <v>168</v>
      </c>
      <c r="B44" s="13" t="s">
        <v>76</v>
      </c>
      <c r="C44" s="13">
        <v>15</v>
      </c>
      <c r="E44" s="14">
        <v>44698</v>
      </c>
      <c r="H44" s="16">
        <v>17.600000000000001</v>
      </c>
      <c r="I44" s="16">
        <v>6.17</v>
      </c>
      <c r="J44" s="16">
        <v>66.72</v>
      </c>
      <c r="K44" s="17">
        <v>-3.7137852406401409E-3</v>
      </c>
      <c r="P44" s="18" t="s">
        <v>50</v>
      </c>
      <c r="Q44" s="18">
        <v>1.9288385352137121</v>
      </c>
      <c r="R44" s="18" t="s">
        <v>50</v>
      </c>
      <c r="S44" s="18">
        <v>27.726560527640309</v>
      </c>
      <c r="T44" s="18">
        <v>3.061463341938941</v>
      </c>
      <c r="U44" s="18"/>
      <c r="V44" s="18">
        <v>1.7999999999999999E-2</v>
      </c>
      <c r="W44" s="18">
        <v>1.0532407110201829</v>
      </c>
      <c r="Y44" s="92">
        <v>8.1026286195476338</v>
      </c>
      <c r="Z44" s="20">
        <v>-6.2287485788234074</v>
      </c>
      <c r="AA44" s="10">
        <v>-28.157329044493551</v>
      </c>
      <c r="AB44" s="17">
        <v>1.9588542180623769</v>
      </c>
      <c r="AC44" s="18">
        <v>1.8819483375539749</v>
      </c>
      <c r="AD44" s="21">
        <v>1.3213780686033709</v>
      </c>
      <c r="AE44" s="21">
        <v>4.5210254684687214</v>
      </c>
      <c r="AF44" s="21">
        <v>2.5319114323559992E-2</v>
      </c>
      <c r="AG44" s="21"/>
      <c r="AH44" s="21">
        <v>2.3105109721499071</v>
      </c>
    </row>
    <row r="45" spans="1:34">
      <c r="A45" s="13" t="s">
        <v>166</v>
      </c>
      <c r="B45" s="13" t="s">
        <v>76</v>
      </c>
      <c r="C45" s="13">
        <v>16</v>
      </c>
      <c r="E45" s="14">
        <v>44705</v>
      </c>
      <c r="R45" s="18"/>
      <c r="S45" s="18"/>
      <c r="T45" s="18"/>
      <c r="U45" s="18"/>
      <c r="V45" s="18"/>
      <c r="Y45" s="92"/>
      <c r="Z45" s="20">
        <v>-7.0640897275400061</v>
      </c>
      <c r="AA45" s="10">
        <v>-36.360620759332747</v>
      </c>
      <c r="AB45" s="17">
        <v>1.4091501161985329</v>
      </c>
      <c r="AC45" s="18">
        <v>1.171836426628418</v>
      </c>
      <c r="AD45" s="21">
        <v>7.4342992810494177</v>
      </c>
      <c r="AE45" s="21">
        <v>3.0420219029030489</v>
      </c>
      <c r="AF45" s="21">
        <v>1.8071645666775479E-2</v>
      </c>
      <c r="AG45" s="21"/>
      <c r="AH45" s="21">
        <v>2.1849651492364401</v>
      </c>
    </row>
    <row r="46" spans="1:34">
      <c r="A46" s="13" t="s">
        <v>167</v>
      </c>
      <c r="B46" s="13" t="s">
        <v>76</v>
      </c>
      <c r="C46" s="13">
        <v>16</v>
      </c>
      <c r="E46" s="14">
        <v>44705</v>
      </c>
      <c r="H46" s="16">
        <v>17.5</v>
      </c>
      <c r="I46" s="16">
        <v>5.96</v>
      </c>
      <c r="J46" s="16">
        <v>71.73</v>
      </c>
      <c r="P46" s="18" t="s">
        <v>50</v>
      </c>
      <c r="Q46" s="18">
        <v>3.85899334410434</v>
      </c>
      <c r="R46" s="18" t="s">
        <v>50</v>
      </c>
      <c r="S46" s="18">
        <v>24.865791993025901</v>
      </c>
      <c r="T46" s="18">
        <v>3.9934478413760499</v>
      </c>
      <c r="U46" s="18"/>
      <c r="V46" s="18">
        <v>1.7000000000000001E-2</v>
      </c>
      <c r="Y46" s="92">
        <v>7.3718213170417384</v>
      </c>
      <c r="Z46" s="20">
        <v>-6.1210370032593984</v>
      </c>
      <c r="AA46" s="10">
        <v>-28.280640088213421</v>
      </c>
      <c r="AB46" s="17">
        <v>1.7063701766836119</v>
      </c>
      <c r="AC46" s="18">
        <v>2.0423778493863858</v>
      </c>
      <c r="AD46" s="21">
        <v>1.40217193049394</v>
      </c>
      <c r="AE46" s="21">
        <v>4.9139136758946789</v>
      </c>
      <c r="AF46" s="21">
        <v>2.5745912836060428E-2</v>
      </c>
      <c r="AG46" s="21"/>
      <c r="AH46" s="21">
        <v>1.6128700846395121</v>
      </c>
    </row>
    <row r="47" spans="1:34">
      <c r="A47" s="13" t="s">
        <v>78</v>
      </c>
      <c r="B47" s="13" t="s">
        <v>76</v>
      </c>
      <c r="C47" s="13">
        <v>16</v>
      </c>
      <c r="E47" s="14">
        <v>44705</v>
      </c>
      <c r="H47" s="16">
        <v>18.3</v>
      </c>
      <c r="I47" s="16">
        <v>5.97</v>
      </c>
      <c r="J47" s="16">
        <v>61.68</v>
      </c>
      <c r="K47" s="17">
        <v>0.2519769791303279</v>
      </c>
      <c r="P47" s="18" t="s">
        <v>50</v>
      </c>
      <c r="Q47" s="18">
        <v>1.999271636288197</v>
      </c>
      <c r="R47" s="18" t="s">
        <v>50</v>
      </c>
      <c r="S47" s="18">
        <v>24.683257932014609</v>
      </c>
      <c r="T47" s="18">
        <v>2.9396044786214621</v>
      </c>
      <c r="U47" s="18"/>
      <c r="V47" s="18">
        <v>8.0000000000000002E-3</v>
      </c>
      <c r="W47" s="18">
        <v>1.074598329267447</v>
      </c>
      <c r="Y47" s="92">
        <v>7.4378118070342696</v>
      </c>
      <c r="Z47" s="20">
        <v>-5.8851914738898854</v>
      </c>
      <c r="AA47" s="10">
        <v>-25.01567765210795</v>
      </c>
      <c r="AB47" s="17">
        <v>1.726488943313236</v>
      </c>
      <c r="AC47" s="18">
        <v>1.677240097635271</v>
      </c>
      <c r="AD47" s="21">
        <v>1.121263003277313</v>
      </c>
      <c r="AE47" s="21">
        <v>4.1958040500336864</v>
      </c>
      <c r="AF47" s="21">
        <v>2.3745531148178199E-2</v>
      </c>
      <c r="AG47" s="21"/>
      <c r="AH47" s="21">
        <v>2.0110314810720902</v>
      </c>
    </row>
    <row r="48" spans="1:34">
      <c r="A48" s="13" t="s">
        <v>75</v>
      </c>
      <c r="B48" s="13" t="s">
        <v>76</v>
      </c>
      <c r="C48" s="13">
        <v>17</v>
      </c>
      <c r="E48" s="14">
        <v>44712</v>
      </c>
      <c r="H48" s="16">
        <v>19.399999999999999</v>
      </c>
      <c r="I48" s="16">
        <v>6.74</v>
      </c>
      <c r="J48" s="16">
        <v>61.67</v>
      </c>
      <c r="K48" s="17">
        <v>0.68442009379523605</v>
      </c>
      <c r="P48" s="18" t="s">
        <v>50</v>
      </c>
      <c r="Q48" s="18">
        <v>2.9898697231220859</v>
      </c>
      <c r="R48" s="18" t="s">
        <v>50</v>
      </c>
      <c r="S48" s="18">
        <v>16.09207242009359</v>
      </c>
      <c r="T48" s="18">
        <v>5.9609840394074736</v>
      </c>
      <c r="U48" s="18"/>
      <c r="V48" s="18">
        <v>1.2E-2</v>
      </c>
      <c r="W48" s="18">
        <v>1.474809586420059</v>
      </c>
      <c r="Y48" s="92">
        <v>4.8196340722867683</v>
      </c>
      <c r="Z48" s="20">
        <v>-8.00384851984618</v>
      </c>
      <c r="AA48" s="10">
        <v>-44.672504693044637</v>
      </c>
      <c r="AB48" s="17">
        <v>1.0501457958029099</v>
      </c>
      <c r="AC48" s="18">
        <v>0.93333738323127979</v>
      </c>
      <c r="AD48" s="21">
        <v>6.9788684732973909</v>
      </c>
      <c r="AE48" s="21">
        <v>2.6061476445614802</v>
      </c>
      <c r="AF48" s="21">
        <v>1.4686017074292229E-2</v>
      </c>
      <c r="AG48" s="21"/>
      <c r="AH48" s="18">
        <v>1.781084186344728</v>
      </c>
    </row>
    <row r="49" spans="1:34">
      <c r="A49" s="13" t="s">
        <v>77</v>
      </c>
      <c r="B49" s="13" t="s">
        <v>76</v>
      </c>
      <c r="C49" s="13">
        <v>17</v>
      </c>
      <c r="E49" s="14">
        <v>44712</v>
      </c>
      <c r="H49" s="16">
        <v>16.5</v>
      </c>
      <c r="I49" s="16">
        <v>5.5</v>
      </c>
      <c r="J49" s="16">
        <v>62.51</v>
      </c>
      <c r="K49" s="17">
        <v>0.1600031077549201</v>
      </c>
      <c r="P49" s="18" t="s">
        <v>50</v>
      </c>
      <c r="Q49" s="18">
        <v>3.3996656239672189</v>
      </c>
      <c r="R49" s="21" t="s">
        <v>50</v>
      </c>
      <c r="S49" s="21">
        <v>22.517879594545811</v>
      </c>
      <c r="T49" s="21">
        <v>3.6417514977704171</v>
      </c>
      <c r="V49" s="21">
        <v>1.7999999999999999E-2</v>
      </c>
      <c r="W49" s="18">
        <v>1.073184156572643</v>
      </c>
      <c r="Y49" s="92">
        <v>6.7769910742000921</v>
      </c>
      <c r="Z49" s="20">
        <v>-7.1899179289634034</v>
      </c>
      <c r="AA49" s="10">
        <v>-38.870016853281967</v>
      </c>
      <c r="AB49" s="17">
        <v>1.502574876883032</v>
      </c>
      <c r="AC49" s="18">
        <v>1.667411070645809</v>
      </c>
      <c r="AD49" s="21">
        <v>1.2653904301502761</v>
      </c>
      <c r="AE49" s="21">
        <v>4.3101412015127254</v>
      </c>
      <c r="AF49" s="21">
        <v>2.2365911443856159E-2</v>
      </c>
      <c r="AG49" s="21"/>
      <c r="AH49" s="21">
        <v>1.2810978211877899</v>
      </c>
    </row>
    <row r="50" spans="1:34">
      <c r="A50" s="13" t="s">
        <v>78</v>
      </c>
      <c r="B50" s="13" t="s">
        <v>76</v>
      </c>
      <c r="C50" s="13">
        <v>17</v>
      </c>
      <c r="E50" s="14">
        <v>44712</v>
      </c>
      <c r="H50" s="16">
        <v>14.9</v>
      </c>
      <c r="I50" s="16">
        <v>5.37</v>
      </c>
      <c r="J50" s="16">
        <v>47.56</v>
      </c>
      <c r="K50" s="17">
        <v>0.26535832527085418</v>
      </c>
      <c r="P50" s="18" t="s">
        <v>50</v>
      </c>
      <c r="Q50" s="18">
        <v>2.2035120660525109</v>
      </c>
      <c r="R50" s="21" t="s">
        <v>50</v>
      </c>
      <c r="S50" s="21">
        <v>19.761712131475321</v>
      </c>
      <c r="T50" s="21">
        <v>2.9680864982137471</v>
      </c>
      <c r="V50" s="21">
        <v>1.4999999999999999E-2</v>
      </c>
      <c r="W50" s="18">
        <v>0.94793648411859555</v>
      </c>
      <c r="Y50" s="92">
        <v>5.8018870176615787</v>
      </c>
      <c r="Z50" s="20">
        <v>-6.1875744291429751</v>
      </c>
      <c r="AA50" s="10">
        <v>-28.639452329488481</v>
      </c>
      <c r="AB50" s="17">
        <v>1.6573053718650621</v>
      </c>
      <c r="AC50" s="18">
        <v>1.322931012041078</v>
      </c>
      <c r="AD50" s="21">
        <v>1.0026701461105241</v>
      </c>
      <c r="AE50" s="21">
        <v>3.46638444995367</v>
      </c>
      <c r="AF50" s="21">
        <v>1.9349488708222541E-2</v>
      </c>
      <c r="AG50" s="21"/>
      <c r="AH50" s="21">
        <v>1.9010965146567931</v>
      </c>
    </row>
    <row r="51" spans="1:34">
      <c r="A51" s="13" t="s">
        <v>75</v>
      </c>
      <c r="B51" s="13" t="s">
        <v>76</v>
      </c>
      <c r="C51" s="13">
        <v>18</v>
      </c>
      <c r="E51" s="14">
        <v>44719</v>
      </c>
      <c r="H51" s="16">
        <v>19.100000000000001</v>
      </c>
      <c r="I51" s="16">
        <v>5.84</v>
      </c>
      <c r="J51" s="16">
        <v>55.76</v>
      </c>
      <c r="K51" s="17">
        <v>0.6545067451781208</v>
      </c>
      <c r="P51" s="18" t="s">
        <v>50</v>
      </c>
      <c r="Q51" s="18">
        <v>2.247013569056338</v>
      </c>
      <c r="R51" s="21" t="s">
        <v>50</v>
      </c>
      <c r="S51" s="21">
        <v>13.737690409112361</v>
      </c>
      <c r="T51" s="21">
        <v>6.092080931032827</v>
      </c>
      <c r="V51" s="21">
        <v>4.0000000000000001E-3</v>
      </c>
      <c r="W51" s="18">
        <v>1.4336555224797261</v>
      </c>
      <c r="Y51" s="92">
        <v>3.993914655050109</v>
      </c>
      <c r="Z51" s="20">
        <v>-11.28032265481621</v>
      </c>
      <c r="AA51" s="10">
        <v>-74.396353759472575</v>
      </c>
      <c r="AB51" s="17">
        <v>0.79866063951579391</v>
      </c>
      <c r="AC51" s="18">
        <v>0.73108105330192008</v>
      </c>
      <c r="AD51" s="21">
        <v>6.7982362758837152</v>
      </c>
      <c r="AE51" s="21">
        <v>2.1146126151806461</v>
      </c>
      <c r="AF51" s="21">
        <v>1.2039633317352669E-2</v>
      </c>
      <c r="AG51" s="21"/>
      <c r="AH51" s="21">
        <v>1.652923559830825</v>
      </c>
    </row>
    <row r="52" spans="1:34">
      <c r="A52" s="13" t="s">
        <v>77</v>
      </c>
      <c r="B52" s="13" t="s">
        <v>76</v>
      </c>
      <c r="C52" s="13">
        <v>18</v>
      </c>
      <c r="E52" s="14">
        <v>44719</v>
      </c>
      <c r="H52" s="16">
        <v>18.3</v>
      </c>
      <c r="I52" s="16">
        <v>5.07</v>
      </c>
      <c r="J52" s="16">
        <v>60.64</v>
      </c>
      <c r="K52" s="17">
        <v>0.31362236094460177</v>
      </c>
      <c r="P52" s="18" t="s">
        <v>50</v>
      </c>
      <c r="Q52" s="18">
        <v>2.4536381235720479</v>
      </c>
      <c r="R52" s="21" t="s">
        <v>50</v>
      </c>
      <c r="S52" s="21">
        <v>22.685805578530871</v>
      </c>
      <c r="T52" s="21">
        <v>3.290310020814156</v>
      </c>
      <c r="V52" s="21">
        <v>7.0000000000000007E-2</v>
      </c>
      <c r="W52" s="18">
        <v>0.95881314186210131</v>
      </c>
      <c r="Y52" s="92">
        <v>6.8052410966283263</v>
      </c>
      <c r="Z52" s="20">
        <v>-10.0605796446831</v>
      </c>
      <c r="AA52" s="10">
        <v>-63.0373459973938</v>
      </c>
      <c r="AB52" s="17">
        <v>1.301464731914626</v>
      </c>
      <c r="AC52" s="18">
        <v>1.504925672257925</v>
      </c>
      <c r="AD52" s="21">
        <v>1.1997059714598499</v>
      </c>
      <c r="AE52" s="21">
        <v>4.1195714153635627</v>
      </c>
      <c r="AF52" s="21">
        <v>2.140349902033669E-2</v>
      </c>
      <c r="AG52" s="21"/>
      <c r="AH52" s="21">
        <v>1.278097849171429</v>
      </c>
    </row>
    <row r="53" spans="1:34">
      <c r="A53" s="13" t="s">
        <v>78</v>
      </c>
      <c r="B53" s="13" t="s">
        <v>76</v>
      </c>
      <c r="C53" s="13">
        <v>18</v>
      </c>
      <c r="E53" s="14">
        <v>44719</v>
      </c>
      <c r="H53" s="16">
        <v>19.399999999999999</v>
      </c>
      <c r="I53" s="16">
        <v>5.2</v>
      </c>
      <c r="J53" s="16">
        <v>51.18</v>
      </c>
      <c r="K53" s="17">
        <v>0.32123369975971822</v>
      </c>
      <c r="P53" s="18" t="s">
        <v>50</v>
      </c>
      <c r="Q53" s="18">
        <v>2.4583075393223481</v>
      </c>
      <c r="R53" s="21" t="s">
        <v>50</v>
      </c>
      <c r="S53" s="21">
        <v>18.281435173701819</v>
      </c>
      <c r="T53" s="21">
        <v>2.9597141034944801</v>
      </c>
      <c r="V53" s="21" t="s">
        <v>52</v>
      </c>
      <c r="W53" s="18">
        <v>0.96552484267265393</v>
      </c>
      <c r="Y53" s="92">
        <v>5.34241542190028</v>
      </c>
      <c r="Z53" s="20">
        <v>-7.0232449710570179</v>
      </c>
      <c r="AA53" s="10">
        <v>-36.383516709095062</v>
      </c>
      <c r="AB53" s="17">
        <v>1.6059830302213629</v>
      </c>
      <c r="AC53" s="18">
        <v>1.213548185506832</v>
      </c>
      <c r="AD53" s="21">
        <v>0.96464551936328391</v>
      </c>
      <c r="AE53" s="21">
        <v>3.2801556460863059</v>
      </c>
      <c r="AF53" s="21">
        <v>1.8271812476641999E-2</v>
      </c>
      <c r="AG53" s="21"/>
      <c r="AH53" s="21">
        <v>1.907414564591692</v>
      </c>
    </row>
    <row r="54" spans="1:34">
      <c r="A54" s="13" t="s">
        <v>75</v>
      </c>
      <c r="B54" s="13" t="s">
        <v>76</v>
      </c>
      <c r="C54" s="13">
        <v>19</v>
      </c>
      <c r="E54" s="14">
        <v>44726</v>
      </c>
      <c r="H54" s="16">
        <v>17.3</v>
      </c>
      <c r="I54" s="16">
        <v>5.9</v>
      </c>
      <c r="J54" s="16">
        <v>56.18</v>
      </c>
      <c r="P54" s="18">
        <v>5.4447134437060792E-3</v>
      </c>
      <c r="Q54" s="18">
        <v>2.2485285089472828</v>
      </c>
      <c r="R54" s="21" t="s">
        <v>50</v>
      </c>
      <c r="S54" s="21">
        <v>15.33676808164075</v>
      </c>
      <c r="T54" s="21">
        <v>5.7031145954079117</v>
      </c>
      <c r="V54" s="21">
        <v>1.5508581068223139E-2</v>
      </c>
      <c r="W54" s="18">
        <v>1.223624899817507</v>
      </c>
      <c r="Y54" s="92">
        <v>4.9055268345398009</v>
      </c>
      <c r="Z54" s="20">
        <v>-10.45759896301805</v>
      </c>
      <c r="AA54" s="10">
        <v>-70.665650762495304</v>
      </c>
      <c r="AB54" s="17">
        <v>0.66267890935462848</v>
      </c>
      <c r="AC54" s="18">
        <v>0.87873573881173983</v>
      </c>
      <c r="AD54" s="21">
        <v>6.7742967106053982</v>
      </c>
      <c r="AE54" s="21">
        <v>2.4503295380246981</v>
      </c>
      <c r="AF54" s="21">
        <v>2.3323370662234631E-2</v>
      </c>
      <c r="AG54" s="21"/>
      <c r="AH54" s="21">
        <v>1.737394487063793</v>
      </c>
    </row>
    <row r="55" spans="1:34">
      <c r="A55" s="13" t="s">
        <v>77</v>
      </c>
      <c r="B55" s="13" t="s">
        <v>76</v>
      </c>
      <c r="C55" s="13">
        <v>19</v>
      </c>
      <c r="E55" s="14">
        <v>44726</v>
      </c>
      <c r="H55" s="16">
        <v>16.3</v>
      </c>
      <c r="I55" s="16">
        <v>5.39</v>
      </c>
      <c r="J55" s="16">
        <v>61.33</v>
      </c>
      <c r="K55" s="17">
        <v>0.22568933135630731</v>
      </c>
      <c r="P55" s="18">
        <v>1.7089376668194819E-2</v>
      </c>
      <c r="Q55" s="18">
        <v>2.1001878084858259</v>
      </c>
      <c r="R55" s="21" t="s">
        <v>50</v>
      </c>
      <c r="S55" s="21">
        <v>23.71635498711937</v>
      </c>
      <c r="T55" s="21">
        <v>3.3486712938852272</v>
      </c>
      <c r="V55" s="21">
        <v>1.6285572372351731E-2</v>
      </c>
      <c r="W55" s="18">
        <v>1.001265196533397</v>
      </c>
      <c r="Y55" s="92">
        <v>5.2394859085508836</v>
      </c>
      <c r="Z55" s="20">
        <v>-11.31876832771731</v>
      </c>
      <c r="AA55" s="10">
        <v>-74.064482731290497</v>
      </c>
      <c r="AB55" s="17">
        <v>1.1787332729644651</v>
      </c>
      <c r="AC55" s="18">
        <v>1.6739994814049699</v>
      </c>
      <c r="AD55" s="21">
        <v>1.143209219263349</v>
      </c>
      <c r="AE55" s="21">
        <v>4.8081181920644491</v>
      </c>
      <c r="AF55" s="21">
        <v>3.4311250641134827E-2</v>
      </c>
      <c r="AG55" s="21"/>
      <c r="AH55" s="18">
        <v>1.548399324569051</v>
      </c>
    </row>
    <row r="56" spans="1:34">
      <c r="A56" s="13" t="s">
        <v>78</v>
      </c>
      <c r="B56" s="13" t="s">
        <v>76</v>
      </c>
      <c r="C56" s="13">
        <v>19</v>
      </c>
      <c r="E56" s="14">
        <v>44726</v>
      </c>
      <c r="H56" s="16">
        <v>15</v>
      </c>
      <c r="I56" s="16">
        <v>5.24</v>
      </c>
      <c r="J56" s="16">
        <v>50.76</v>
      </c>
      <c r="K56" s="17">
        <v>0.1481687283601506</v>
      </c>
      <c r="P56" s="18">
        <v>1.5351777637520939E-2</v>
      </c>
      <c r="Q56" s="18">
        <v>2.7074335724870608</v>
      </c>
      <c r="R56" s="21" t="s">
        <v>50</v>
      </c>
      <c r="S56" s="21">
        <v>17.874273453774421</v>
      </c>
      <c r="T56" s="21">
        <v>2.9164135591874309</v>
      </c>
      <c r="V56" s="21">
        <v>8.5031305784726598E-3</v>
      </c>
      <c r="W56" s="18">
        <v>0.94210834774880303</v>
      </c>
      <c r="Y56" s="92">
        <v>1.7761891472075011</v>
      </c>
      <c r="Z56" s="20">
        <v>-8.4705155913396002</v>
      </c>
      <c r="AA56" s="10">
        <v>-47.893476571567561</v>
      </c>
      <c r="AB56" s="17">
        <v>1.560319465842626</v>
      </c>
      <c r="AC56" s="18">
        <v>1.3216994922858989</v>
      </c>
      <c r="AD56" s="21">
        <v>0.92948664891578892</v>
      </c>
      <c r="AE56" s="21">
        <v>3.4672072619629399</v>
      </c>
      <c r="AF56" s="21">
        <v>2.9392469451545229E-2</v>
      </c>
      <c r="AG56" s="21"/>
      <c r="AH56" s="18">
        <v>2.0884954112762188</v>
      </c>
    </row>
    <row r="57" spans="1:34">
      <c r="A57" s="13" t="s">
        <v>75</v>
      </c>
      <c r="B57" s="13" t="s">
        <v>76</v>
      </c>
      <c r="C57" s="13">
        <v>20</v>
      </c>
      <c r="E57" s="14">
        <v>44733</v>
      </c>
      <c r="Y57" s="92"/>
      <c r="AC57" s="18"/>
      <c r="AD57" s="21"/>
      <c r="AE57" s="21"/>
      <c r="AF57" s="21"/>
      <c r="AG57" s="21"/>
      <c r="AH57" s="21"/>
    </row>
    <row r="58" spans="1:34">
      <c r="A58" s="13" t="s">
        <v>77</v>
      </c>
      <c r="B58" s="13" t="s">
        <v>76</v>
      </c>
      <c r="C58" s="13">
        <v>20</v>
      </c>
      <c r="E58" s="14">
        <v>44733</v>
      </c>
      <c r="H58" s="16">
        <v>20.7</v>
      </c>
      <c r="I58" s="16">
        <v>5.47</v>
      </c>
      <c r="J58" s="16">
        <v>65.45</v>
      </c>
      <c r="P58" s="18">
        <v>2.1393271191215171E-2</v>
      </c>
      <c r="Q58" s="18">
        <v>1.8468169198421891</v>
      </c>
      <c r="R58" s="21" t="s">
        <v>50</v>
      </c>
      <c r="S58" s="21">
        <v>27.499904829424921</v>
      </c>
      <c r="T58" s="21">
        <v>3.2640761304697139</v>
      </c>
      <c r="V58" s="21">
        <v>3.8697208917013413E-2</v>
      </c>
      <c r="W58" s="18">
        <v>1.1093999999999999</v>
      </c>
      <c r="Y58" s="92"/>
      <c r="Z58" s="20">
        <v>-10.495761660698051</v>
      </c>
      <c r="AA58" s="10">
        <v>-70.152368461731214</v>
      </c>
      <c r="AB58" s="17">
        <v>1.13929072046144</v>
      </c>
      <c r="AC58" s="18">
        <v>1.777070699223436</v>
      </c>
      <c r="AD58" s="21">
        <v>1.26839179923448</v>
      </c>
      <c r="AE58" s="21">
        <v>5.276183887275212</v>
      </c>
      <c r="AF58" s="21">
        <v>3.68768184714467E-2</v>
      </c>
      <c r="AG58" s="21"/>
      <c r="AH58" s="21">
        <v>1.930826875197311</v>
      </c>
    </row>
    <row r="59" spans="1:34">
      <c r="A59" s="13" t="s">
        <v>78</v>
      </c>
      <c r="B59" s="13" t="s">
        <v>76</v>
      </c>
      <c r="C59" s="13">
        <v>20</v>
      </c>
      <c r="E59" s="14">
        <v>44733</v>
      </c>
      <c r="H59" s="16">
        <v>19.2</v>
      </c>
      <c r="I59" s="16">
        <v>5.39</v>
      </c>
      <c r="J59" s="16">
        <v>48.56</v>
      </c>
      <c r="K59" s="17">
        <v>0.32873546985307822</v>
      </c>
      <c r="P59" s="18">
        <v>1.9732512220598481E-2</v>
      </c>
      <c r="Q59" s="18">
        <v>2.7454342041768318</v>
      </c>
      <c r="R59" s="21" t="s">
        <v>50</v>
      </c>
      <c r="S59" s="21">
        <v>17.51823439615076</v>
      </c>
      <c r="T59" s="21">
        <v>2.9106029101179689</v>
      </c>
      <c r="V59" s="21">
        <v>1.706228525975604E-2</v>
      </c>
      <c r="W59" s="18">
        <v>0.94630000000000003</v>
      </c>
      <c r="Y59" s="92">
        <v>4.8883975713967844</v>
      </c>
      <c r="Z59" s="20">
        <v>-9.9605886867429518</v>
      </c>
      <c r="AA59" s="10">
        <v>-62.859805673032298</v>
      </c>
      <c r="AB59" s="17">
        <v>1.5972333893191499</v>
      </c>
      <c r="AC59" s="18">
        <v>1.293649716089611</v>
      </c>
      <c r="AD59" s="21">
        <v>0.90326569229130249</v>
      </c>
      <c r="AE59" s="21">
        <v>3.3275861611308311</v>
      </c>
      <c r="AF59" s="21">
        <v>2.928662901393593E-2</v>
      </c>
      <c r="AG59" s="21"/>
      <c r="AH59" s="21">
        <v>2.1410739005721329</v>
      </c>
    </row>
    <row r="60" spans="1:34">
      <c r="A60" s="13" t="s">
        <v>75</v>
      </c>
      <c r="B60" s="13" t="s">
        <v>76</v>
      </c>
      <c r="C60" s="13">
        <v>21</v>
      </c>
      <c r="E60" s="14">
        <v>44740</v>
      </c>
      <c r="H60" s="16">
        <v>21.5</v>
      </c>
      <c r="I60" s="16">
        <v>6.41</v>
      </c>
      <c r="J60" s="16">
        <v>70.739999999999995</v>
      </c>
      <c r="P60" s="18">
        <v>6.5799988661871256E-3</v>
      </c>
      <c r="Q60" s="18">
        <v>2.8080002992689521</v>
      </c>
      <c r="R60" s="21" t="s">
        <v>50</v>
      </c>
      <c r="S60" s="21">
        <v>21.8538688618058</v>
      </c>
      <c r="T60" s="21">
        <v>5.7682608657904666</v>
      </c>
      <c r="V60" s="21">
        <v>4.4838523667931611E-2</v>
      </c>
      <c r="Y60" s="92">
        <v>6.6818352400772252</v>
      </c>
      <c r="Z60" s="20">
        <v>-9.1669389155967593</v>
      </c>
      <c r="AA60" s="10">
        <v>-61.367264236333043</v>
      </c>
      <c r="AB60" s="17">
        <v>0.9946238083500657</v>
      </c>
      <c r="AC60" s="18">
        <v>1.2131390881494979</v>
      </c>
      <c r="AD60" s="21">
        <v>8.6885887219355702</v>
      </c>
      <c r="AE60" s="21">
        <v>3.309216889793734</v>
      </c>
      <c r="AF60" s="21">
        <v>3.050184922765168E-2</v>
      </c>
      <c r="AG60" s="21"/>
      <c r="AH60" s="21">
        <v>2.592393912380841</v>
      </c>
    </row>
    <row r="61" spans="1:34">
      <c r="A61" s="13" t="s">
        <v>77</v>
      </c>
      <c r="B61" s="13" t="s">
        <v>76</v>
      </c>
      <c r="C61" s="13">
        <v>21</v>
      </c>
      <c r="E61" s="14">
        <v>44740</v>
      </c>
      <c r="H61" s="16">
        <v>16.3</v>
      </c>
      <c r="I61" s="16">
        <v>4.8899999999999997</v>
      </c>
      <c r="J61" s="16">
        <v>52.43</v>
      </c>
      <c r="K61" s="17">
        <v>0.123850655153858</v>
      </c>
      <c r="P61" s="18">
        <v>1.406711797937143E-2</v>
      </c>
      <c r="Q61" s="18">
        <v>1.3205495264223781</v>
      </c>
      <c r="R61" s="21" t="s">
        <v>50</v>
      </c>
      <c r="S61" s="21">
        <v>20.621832795840259</v>
      </c>
      <c r="T61" s="21">
        <v>3.2799164120665858</v>
      </c>
      <c r="V61" s="21">
        <v>4.0234208105088709E-2</v>
      </c>
      <c r="W61" s="18">
        <v>1.0009999999999999</v>
      </c>
      <c r="Y61" s="92">
        <v>6.0412970758958178</v>
      </c>
      <c r="Z61" s="20">
        <v>-8.9808045249459365</v>
      </c>
      <c r="AA61" s="10">
        <v>-58.371383445738687</v>
      </c>
      <c r="AB61" s="17">
        <v>0.94329617767536211</v>
      </c>
      <c r="AC61" s="18">
        <v>1.298582647274978</v>
      </c>
      <c r="AD61" s="21">
        <v>1.009900390170525</v>
      </c>
      <c r="AE61" s="21">
        <v>4.0566092025281169</v>
      </c>
      <c r="AF61" s="21">
        <v>3.1367493946393668E-2</v>
      </c>
      <c r="AG61" s="21"/>
      <c r="AH61" s="21">
        <v>1.501758845562539</v>
      </c>
    </row>
    <row r="62" spans="1:34">
      <c r="A62" s="13" t="s">
        <v>78</v>
      </c>
      <c r="B62" s="13" t="s">
        <v>76</v>
      </c>
      <c r="C62" s="13">
        <v>21</v>
      </c>
      <c r="E62" s="14">
        <v>44740</v>
      </c>
      <c r="H62" s="16">
        <v>17.600000000000001</v>
      </c>
      <c r="I62" s="16">
        <v>4.99</v>
      </c>
      <c r="J62" s="16">
        <v>45.91</v>
      </c>
      <c r="K62" s="17">
        <v>0.21524030067172351</v>
      </c>
      <c r="P62" s="18">
        <v>1.247977785718456E-2</v>
      </c>
      <c r="Q62" s="18">
        <v>2.2518203774456329</v>
      </c>
      <c r="R62" s="21" t="s">
        <v>50</v>
      </c>
      <c r="S62" s="21">
        <v>15.82221816660044</v>
      </c>
      <c r="T62" s="21">
        <v>2.9989817453334648</v>
      </c>
      <c r="V62" s="21">
        <v>7.7233551071011416E-3</v>
      </c>
      <c r="W62" s="18">
        <v>0.96360000000000001</v>
      </c>
      <c r="Y62" s="92">
        <v>4.6715864577473338</v>
      </c>
      <c r="Z62" s="20">
        <v>-9.5234733149548969</v>
      </c>
      <c r="AA62" s="10">
        <v>-61.461927136258382</v>
      </c>
      <c r="AB62" s="17">
        <v>1.2378337462718949</v>
      </c>
      <c r="AC62" s="18">
        <v>1.159199220533347</v>
      </c>
      <c r="AD62" s="21">
        <v>0.94008102538843852</v>
      </c>
      <c r="AE62" s="21">
        <v>3.041879983698204</v>
      </c>
      <c r="AF62" s="21">
        <v>2.8705970627479999E-2</v>
      </c>
      <c r="AG62" s="21"/>
      <c r="AH62" s="21">
        <v>1.978184605456095</v>
      </c>
    </row>
    <row r="63" spans="1:34">
      <c r="A63" s="13" t="s">
        <v>75</v>
      </c>
      <c r="B63" s="13" t="s">
        <v>76</v>
      </c>
      <c r="C63" s="13">
        <v>22</v>
      </c>
      <c r="E63" s="14">
        <v>44747</v>
      </c>
      <c r="W63" s="87"/>
      <c r="Y63" s="92"/>
      <c r="AC63" s="18"/>
      <c r="AD63" s="21"/>
      <c r="AE63" s="21"/>
      <c r="AF63" s="21"/>
      <c r="AG63" s="21"/>
      <c r="AH63" s="21"/>
    </row>
    <row r="64" spans="1:34">
      <c r="A64" s="13" t="s">
        <v>77</v>
      </c>
      <c r="B64" s="13" t="s">
        <v>76</v>
      </c>
      <c r="C64" s="13">
        <v>22</v>
      </c>
      <c r="E64" s="14">
        <v>44747</v>
      </c>
      <c r="Y64" s="92"/>
      <c r="AC64" s="18"/>
      <c r="AD64" s="21"/>
      <c r="AE64" s="21"/>
      <c r="AF64" s="21"/>
      <c r="AG64" s="21"/>
      <c r="AH64" s="21"/>
    </row>
    <row r="65" spans="1:35">
      <c r="A65" s="13" t="s">
        <v>78</v>
      </c>
      <c r="B65" s="13" t="s">
        <v>76</v>
      </c>
      <c r="C65" s="13">
        <v>22</v>
      </c>
      <c r="E65" s="14">
        <v>44747</v>
      </c>
      <c r="P65" s="18">
        <v>2.509045734569005E-2</v>
      </c>
      <c r="Q65" s="18">
        <v>2.1705982866810269</v>
      </c>
      <c r="R65" s="21" t="s">
        <v>50</v>
      </c>
      <c r="S65" s="21">
        <v>22.64238821830191</v>
      </c>
      <c r="T65" s="21">
        <v>2.732000567421188</v>
      </c>
      <c r="V65" s="21">
        <v>2.9451826783720939E-2</v>
      </c>
      <c r="Y65" s="92"/>
      <c r="Z65" s="20">
        <v>-9.2251896061961158</v>
      </c>
      <c r="AA65" s="10">
        <v>-60.016317991976237</v>
      </c>
      <c r="AB65" s="17">
        <v>1.406210110797854</v>
      </c>
      <c r="AC65" s="18">
        <v>1.4129864615421699</v>
      </c>
      <c r="AD65" s="21">
        <v>0.9924450064881245</v>
      </c>
      <c r="AE65" s="21">
        <v>3.864534994817904</v>
      </c>
      <c r="AF65" s="21">
        <v>3.3554598402055283E-2</v>
      </c>
      <c r="AG65" s="21"/>
      <c r="AH65" s="21">
        <v>2.7335269786160921</v>
      </c>
    </row>
    <row r="66" spans="1:35">
      <c r="A66" s="13" t="s">
        <v>75</v>
      </c>
      <c r="B66" s="13" t="s">
        <v>76</v>
      </c>
      <c r="C66" s="13">
        <v>23</v>
      </c>
      <c r="E66" s="14">
        <v>44754</v>
      </c>
      <c r="H66" s="16">
        <v>22.2</v>
      </c>
      <c r="I66" s="16">
        <v>5.81</v>
      </c>
      <c r="J66" s="16">
        <v>65.34</v>
      </c>
      <c r="P66" s="18">
        <v>2.576926572593469E-2</v>
      </c>
      <c r="Q66" s="18">
        <v>2.7760814722127751</v>
      </c>
      <c r="R66" s="21" t="s">
        <v>50</v>
      </c>
      <c r="S66" s="21">
        <v>20.738271801343679</v>
      </c>
      <c r="T66" s="21">
        <v>4.1509185075740964</v>
      </c>
      <c r="V66" s="21">
        <v>1.9390753421623171E-2</v>
      </c>
      <c r="W66" s="18">
        <v>1.244312644133621</v>
      </c>
      <c r="X66" s="19">
        <v>0.74142139047766742</v>
      </c>
      <c r="Y66" s="92">
        <v>6.0968661370456756</v>
      </c>
      <c r="Z66" s="20">
        <v>-8.340046928352999</v>
      </c>
      <c r="AA66" s="10">
        <v>-53.519909824565858</v>
      </c>
      <c r="AB66" s="17">
        <v>0.79564382439893822</v>
      </c>
      <c r="AC66" s="18">
        <v>1.091084663794083</v>
      </c>
      <c r="AD66" s="21">
        <v>6.9587354155298957</v>
      </c>
      <c r="AE66" s="21">
        <v>3.0817169703196061</v>
      </c>
      <c r="AF66" s="21">
        <v>2.9197467963259661E-2</v>
      </c>
      <c r="AG66" s="21"/>
      <c r="AH66" s="21">
        <v>1.885800999984764</v>
      </c>
    </row>
    <row r="67" spans="1:35">
      <c r="A67" s="13" t="s">
        <v>77</v>
      </c>
      <c r="B67" s="13" t="s">
        <v>76</v>
      </c>
      <c r="C67" s="13">
        <v>23</v>
      </c>
      <c r="E67" s="14">
        <v>44754</v>
      </c>
      <c r="H67" s="16">
        <v>17.899999999999999</v>
      </c>
      <c r="I67" s="16">
        <v>5.12</v>
      </c>
      <c r="J67" s="16">
        <v>48.43</v>
      </c>
      <c r="P67" s="18">
        <v>1.436941740072829E-2</v>
      </c>
      <c r="Q67" s="18">
        <v>1.264725459611022</v>
      </c>
      <c r="R67" s="21" t="s">
        <v>50</v>
      </c>
      <c r="S67" s="21">
        <v>17.034314565979361</v>
      </c>
      <c r="T67" s="21">
        <v>3.3490863374113871</v>
      </c>
      <c r="V67" s="21">
        <v>3.0223806586812261E-2</v>
      </c>
      <c r="W67" s="87">
        <v>1.0385245498376501</v>
      </c>
      <c r="X67" s="19">
        <v>0.54202553575333801</v>
      </c>
      <c r="Y67" s="92">
        <v>5.1572181644851707</v>
      </c>
      <c r="Z67" s="20">
        <v>-8.2764398524111691</v>
      </c>
      <c r="AA67" s="10">
        <v>-52.246960476626391</v>
      </c>
      <c r="AB67" s="17">
        <v>0.79937941814542901</v>
      </c>
      <c r="AC67" s="18">
        <v>1.010721678209094</v>
      </c>
      <c r="AD67" s="21">
        <v>0.81661490933281677</v>
      </c>
      <c r="AE67" s="21">
        <v>3.2595645818306642</v>
      </c>
      <c r="AF67" s="21">
        <v>2.782495799629572E-2</v>
      </c>
      <c r="AG67" s="21"/>
      <c r="AH67" s="21">
        <v>1.5972691984657159</v>
      </c>
    </row>
    <row r="68" spans="1:35">
      <c r="A68" s="13" t="s">
        <v>78</v>
      </c>
      <c r="B68" s="13" t="s">
        <v>76</v>
      </c>
      <c r="C68" s="13">
        <v>23</v>
      </c>
      <c r="E68" s="14">
        <v>44754</v>
      </c>
      <c r="H68" s="16">
        <v>19.3</v>
      </c>
      <c r="I68" s="16">
        <v>5.09</v>
      </c>
      <c r="J68" s="16">
        <v>51.8</v>
      </c>
      <c r="P68" s="18">
        <v>1.5880669332597519E-2</v>
      </c>
      <c r="Q68" s="18">
        <v>1.9105211623968319</v>
      </c>
      <c r="R68" s="21" t="s">
        <v>50</v>
      </c>
      <c r="S68" s="21">
        <v>17.79225063669362</v>
      </c>
      <c r="T68" s="21">
        <v>2.9889632612588879</v>
      </c>
      <c r="V68" s="21">
        <v>7.7233551071011416E-3</v>
      </c>
      <c r="W68" s="18">
        <v>1.04966121523248</v>
      </c>
      <c r="X68" s="19">
        <v>0.78964696017016744</v>
      </c>
      <c r="Y68" s="92">
        <v>5.3454971929597361</v>
      </c>
      <c r="Z68" s="20">
        <v>-9.022316511350077</v>
      </c>
      <c r="AA68" s="10">
        <v>-58.517377636468566</v>
      </c>
      <c r="AB68" s="17">
        <v>1.1207862178744721</v>
      </c>
      <c r="AC68" s="18">
        <v>1.167443788835876</v>
      </c>
      <c r="AD68" s="21">
        <v>0.84670393722150905</v>
      </c>
      <c r="AE68" s="21">
        <v>3.2741684409169451</v>
      </c>
      <c r="AF68" s="21">
        <v>2.9773480944299789E-2</v>
      </c>
      <c r="AG68" s="21"/>
      <c r="AH68" s="21">
        <v>2.0698957430998939</v>
      </c>
    </row>
    <row r="69" spans="1:35">
      <c r="A69" s="13" t="s">
        <v>75</v>
      </c>
      <c r="B69" s="13" t="s">
        <v>76</v>
      </c>
      <c r="C69" s="13">
        <v>24</v>
      </c>
      <c r="E69" s="14">
        <v>44761</v>
      </c>
      <c r="Y69" s="92"/>
      <c r="AC69" s="18"/>
      <c r="AD69" s="21"/>
      <c r="AE69" s="21"/>
      <c r="AF69" s="21"/>
      <c r="AG69" s="21"/>
      <c r="AH69" s="21"/>
    </row>
    <row r="70" spans="1:35">
      <c r="A70" s="13" t="s">
        <v>77</v>
      </c>
      <c r="B70" s="13" t="s">
        <v>76</v>
      </c>
      <c r="C70" s="13">
        <v>24</v>
      </c>
      <c r="E70" s="14">
        <v>44761</v>
      </c>
      <c r="Y70" s="92"/>
      <c r="AC70" s="18"/>
      <c r="AD70" s="21"/>
      <c r="AE70" s="21"/>
      <c r="AF70" s="21"/>
      <c r="AG70" s="21"/>
      <c r="AH70" s="21"/>
    </row>
    <row r="71" spans="1:35">
      <c r="A71" s="13" t="s">
        <v>78</v>
      </c>
      <c r="B71" s="13" t="s">
        <v>76</v>
      </c>
      <c r="C71" s="13">
        <v>24</v>
      </c>
      <c r="E71" s="14">
        <v>44761</v>
      </c>
      <c r="Y71" s="92"/>
      <c r="AC71" s="18"/>
      <c r="AD71" s="21"/>
      <c r="AE71" s="21"/>
      <c r="AF71" s="21"/>
      <c r="AG71" s="21"/>
      <c r="AH71" s="21"/>
    </row>
    <row r="72" spans="1:35">
      <c r="A72" s="13" t="s">
        <v>75</v>
      </c>
      <c r="B72" s="13" t="s">
        <v>76</v>
      </c>
      <c r="C72" s="13">
        <v>25</v>
      </c>
      <c r="E72" s="14">
        <v>44768</v>
      </c>
      <c r="Y72" s="92"/>
      <c r="AC72" s="18"/>
      <c r="AD72" s="21"/>
      <c r="AE72" s="21"/>
      <c r="AF72" s="21"/>
      <c r="AG72" s="21"/>
      <c r="AH72" s="21"/>
    </row>
    <row r="73" spans="1:35">
      <c r="A73" s="13" t="s">
        <v>77</v>
      </c>
      <c r="B73" s="13" t="s">
        <v>76</v>
      </c>
      <c r="C73" s="13">
        <v>25</v>
      </c>
      <c r="E73" s="14">
        <v>44768</v>
      </c>
      <c r="Y73" s="92"/>
      <c r="AC73" s="18"/>
      <c r="AD73" s="21"/>
      <c r="AE73" s="21"/>
      <c r="AF73" s="21"/>
      <c r="AG73" s="21"/>
      <c r="AH73" s="21"/>
    </row>
    <row r="74" spans="1:35">
      <c r="A74" s="13" t="s">
        <v>78</v>
      </c>
      <c r="B74" s="13" t="s">
        <v>76</v>
      </c>
      <c r="C74" s="13">
        <v>25</v>
      </c>
      <c r="E74" s="14">
        <v>44768</v>
      </c>
      <c r="Y74" s="92"/>
      <c r="AC74" s="18"/>
      <c r="AD74" s="21"/>
      <c r="AE74" s="21"/>
      <c r="AF74" s="21"/>
      <c r="AG74" s="21"/>
      <c r="AH74" s="21"/>
    </row>
    <row r="75" spans="1:35">
      <c r="A75" s="13" t="s">
        <v>75</v>
      </c>
      <c r="B75" s="13" t="s">
        <v>76</v>
      </c>
      <c r="C75" s="13">
        <v>26</v>
      </c>
      <c r="E75" s="14">
        <v>44775</v>
      </c>
      <c r="H75" s="16">
        <v>23.2</v>
      </c>
      <c r="I75" s="16">
        <v>5.99</v>
      </c>
      <c r="J75" s="16">
        <v>49.98</v>
      </c>
      <c r="P75" s="18">
        <v>1.6299999999999999E-2</v>
      </c>
      <c r="Q75" s="18">
        <v>1.637600356740349</v>
      </c>
      <c r="R75" s="21" t="s">
        <v>50</v>
      </c>
      <c r="S75" s="21">
        <v>9.9059540202825982</v>
      </c>
      <c r="T75" s="21">
        <v>3.7959501065670311</v>
      </c>
      <c r="V75" s="21">
        <v>0.1171345264167119</v>
      </c>
      <c r="Y75" s="92">
        <v>4.693090689790643</v>
      </c>
      <c r="Z75" s="20">
        <v>-6.5221461812733903</v>
      </c>
      <c r="AA75" s="10">
        <v>-39.126470093181688</v>
      </c>
      <c r="AB75" s="17">
        <v>0.85953999632519396</v>
      </c>
      <c r="AC75" s="18">
        <v>0.72279535782584003</v>
      </c>
      <c r="AD75" s="21">
        <v>4.2742715275315692</v>
      </c>
      <c r="AE75" s="21">
        <v>2.281219338489934</v>
      </c>
      <c r="AF75" s="21">
        <v>2.5006606857935761E-2</v>
      </c>
      <c r="AG75" s="21"/>
      <c r="AH75" s="21">
        <v>2.855833385539051</v>
      </c>
    </row>
    <row r="76" spans="1:35">
      <c r="A76" s="13" t="s">
        <v>77</v>
      </c>
      <c r="B76" s="13" t="s">
        <v>76</v>
      </c>
      <c r="C76" s="13">
        <v>26</v>
      </c>
      <c r="E76" s="14">
        <v>44775</v>
      </c>
      <c r="Y76" s="92"/>
      <c r="AC76" s="18"/>
      <c r="AD76" s="21"/>
      <c r="AE76" s="21"/>
      <c r="AF76" s="21"/>
      <c r="AG76" s="21"/>
      <c r="AH76" s="21"/>
    </row>
    <row r="77" spans="1:35">
      <c r="A77" s="13" t="s">
        <v>78</v>
      </c>
      <c r="B77" s="13" t="s">
        <v>76</v>
      </c>
      <c r="C77" s="13">
        <v>26</v>
      </c>
      <c r="E77" s="14">
        <v>44775</v>
      </c>
      <c r="Y77" s="92"/>
      <c r="AC77" s="18"/>
      <c r="AD77" s="21"/>
      <c r="AE77" s="21"/>
      <c r="AF77" s="21"/>
      <c r="AG77" s="21"/>
      <c r="AH77" s="21"/>
      <c r="AI77" s="35"/>
    </row>
    <row r="78" spans="1:35">
      <c r="A78" s="13" t="s">
        <v>75</v>
      </c>
      <c r="B78" s="13" t="s">
        <v>76</v>
      </c>
      <c r="C78" s="13">
        <v>27</v>
      </c>
      <c r="E78" s="14">
        <v>44782</v>
      </c>
      <c r="H78" s="16">
        <v>23</v>
      </c>
      <c r="I78" s="16">
        <v>5.93</v>
      </c>
      <c r="J78" s="16">
        <v>45.83</v>
      </c>
      <c r="P78" s="18" t="s">
        <v>50</v>
      </c>
      <c r="Q78" s="18">
        <v>1.675955995494032</v>
      </c>
      <c r="R78" s="21" t="s">
        <v>50</v>
      </c>
      <c r="S78" s="21">
        <v>10.077426138324331</v>
      </c>
      <c r="T78" s="21">
        <v>3.519965296058539</v>
      </c>
      <c r="V78" s="21">
        <v>6.5222499308714904E-2</v>
      </c>
      <c r="W78" s="18">
        <v>1.403111819379308</v>
      </c>
      <c r="X78" s="19">
        <v>0.52157408367867353</v>
      </c>
      <c r="Y78" s="92">
        <v>2.6275130761352758</v>
      </c>
      <c r="Z78" s="20">
        <v>-6.3849050036755868</v>
      </c>
      <c r="AA78" s="10">
        <v>-37.181386247841701</v>
      </c>
      <c r="AB78" s="17">
        <v>0.6229774069867976</v>
      </c>
      <c r="AC78" s="18">
        <v>0.58448052352399926</v>
      </c>
      <c r="AD78" s="21">
        <v>3.9693204164815832</v>
      </c>
      <c r="AE78" s="21">
        <v>1.972960750431918</v>
      </c>
      <c r="AF78" s="21">
        <v>2.2687816793827979E-2</v>
      </c>
      <c r="AG78" s="21"/>
      <c r="AH78" s="21">
        <v>2.2274726898113109</v>
      </c>
    </row>
    <row r="79" spans="1:35">
      <c r="A79" s="13" t="s">
        <v>77</v>
      </c>
      <c r="B79" s="13" t="s">
        <v>76</v>
      </c>
      <c r="C79" s="13">
        <v>27</v>
      </c>
      <c r="E79" s="14">
        <v>44782</v>
      </c>
      <c r="H79" s="16">
        <v>21.8</v>
      </c>
      <c r="I79" s="16">
        <v>4.96</v>
      </c>
      <c r="J79" s="16">
        <v>41.28</v>
      </c>
      <c r="K79" s="17">
        <v>-7.6506127755665898E-2</v>
      </c>
      <c r="P79" s="18">
        <v>1.175010868070582E-2</v>
      </c>
      <c r="Q79" s="18">
        <v>1.181756267727855</v>
      </c>
      <c r="R79" s="21" t="s">
        <v>50</v>
      </c>
      <c r="S79" s="21">
        <v>11.822709491156029</v>
      </c>
      <c r="T79" s="21">
        <v>2.773346591940411</v>
      </c>
      <c r="V79" s="21">
        <v>3.1417448639273537E-2</v>
      </c>
      <c r="W79" s="18">
        <v>0.99677990599743804</v>
      </c>
      <c r="X79" s="19">
        <v>0.44162837750343081</v>
      </c>
      <c r="Y79" s="92">
        <v>2.7376750635684131</v>
      </c>
      <c r="Z79" s="20">
        <v>-6.7136842325324606</v>
      </c>
      <c r="AA79" s="10">
        <v>-39.15062645941336</v>
      </c>
      <c r="AB79" s="17">
        <v>0.66022598502326235</v>
      </c>
      <c r="AC79" s="18">
        <v>0.63861033058093331</v>
      </c>
      <c r="AD79" s="21">
        <v>0.64622985692312129</v>
      </c>
      <c r="AE79" s="21">
        <v>2.4402444569043382</v>
      </c>
      <c r="AF79" s="21">
        <v>2.4044178993955539E-2</v>
      </c>
      <c r="AG79" s="21"/>
      <c r="AH79" s="21">
        <v>1.75456855608439</v>
      </c>
    </row>
    <row r="80" spans="1:35">
      <c r="A80" s="13" t="s">
        <v>78</v>
      </c>
      <c r="B80" s="13" t="s">
        <v>76</v>
      </c>
      <c r="C80" s="13">
        <v>27</v>
      </c>
      <c r="E80" s="14">
        <v>44782</v>
      </c>
      <c r="H80" s="16">
        <v>15.6</v>
      </c>
      <c r="I80" s="16">
        <v>4.93</v>
      </c>
      <c r="J80" s="16">
        <v>48.64</v>
      </c>
      <c r="K80" s="17">
        <v>3.5182491257128433E-2</v>
      </c>
      <c r="P80" s="18">
        <v>1.361612846437832E-2</v>
      </c>
      <c r="Q80" s="18">
        <v>1.2313083164527081</v>
      </c>
      <c r="R80" s="21" t="s">
        <v>50</v>
      </c>
      <c r="S80" s="21">
        <v>14.669878358933129</v>
      </c>
      <c r="T80" s="21">
        <v>2.623779838107605</v>
      </c>
      <c r="V80" s="21">
        <v>1.2494951664271021E-2</v>
      </c>
      <c r="W80" s="18">
        <v>0.92808977214772326</v>
      </c>
      <c r="X80" s="19">
        <v>0.77115085577522668</v>
      </c>
      <c r="Y80" s="92">
        <v>2.9209784622464121</v>
      </c>
      <c r="Z80" s="20">
        <v>-6.6863692408746456</v>
      </c>
      <c r="AA80" s="10">
        <v>-38.943146437122081</v>
      </c>
      <c r="AB80" s="17">
        <v>0.93975410272465632</v>
      </c>
      <c r="AC80" s="18">
        <v>0.87260731571532302</v>
      </c>
      <c r="AD80" s="21">
        <v>0.88856448189893555</v>
      </c>
      <c r="AE80" s="21">
        <v>2.728266737811508</v>
      </c>
      <c r="AF80" s="21">
        <v>2.7456715532860269E-2</v>
      </c>
      <c r="AG80" s="21"/>
      <c r="AH80" s="21">
        <v>2.1757294888947172</v>
      </c>
    </row>
    <row r="81" spans="1:36">
      <c r="A81" s="13" t="s">
        <v>75</v>
      </c>
      <c r="B81" s="13" t="s">
        <v>76</v>
      </c>
      <c r="C81" s="13">
        <v>28</v>
      </c>
      <c r="E81" s="14">
        <v>44789</v>
      </c>
      <c r="Y81" s="92"/>
      <c r="AC81" s="18"/>
      <c r="AD81" s="21"/>
      <c r="AE81" s="21"/>
      <c r="AF81" s="21"/>
      <c r="AG81" s="21"/>
      <c r="AH81" s="21"/>
    </row>
    <row r="82" spans="1:36">
      <c r="A82" s="13" t="s">
        <v>77</v>
      </c>
      <c r="B82" s="13" t="s">
        <v>76</v>
      </c>
      <c r="C82" s="13">
        <v>28</v>
      </c>
      <c r="E82" s="14">
        <v>44789</v>
      </c>
      <c r="Y82" s="92"/>
      <c r="AC82" s="18"/>
      <c r="AD82" s="21"/>
      <c r="AE82" s="21"/>
      <c r="AF82" s="21"/>
      <c r="AG82" s="21"/>
      <c r="AH82" s="21"/>
    </row>
    <row r="83" spans="1:36">
      <c r="A83" s="13" t="s">
        <v>78</v>
      </c>
      <c r="B83" s="13" t="s">
        <v>76</v>
      </c>
      <c r="C83" s="13">
        <v>28</v>
      </c>
      <c r="E83" s="14">
        <v>44789</v>
      </c>
      <c r="Y83" s="92"/>
      <c r="AC83" s="18"/>
      <c r="AD83" s="21"/>
      <c r="AE83" s="21"/>
      <c r="AF83" s="21"/>
      <c r="AG83" s="21"/>
      <c r="AH83" s="21"/>
    </row>
    <row r="84" spans="1:36">
      <c r="A84" s="13" t="s">
        <v>75</v>
      </c>
      <c r="B84" s="13" t="s">
        <v>76</v>
      </c>
      <c r="C84" s="13">
        <v>29</v>
      </c>
      <c r="E84" s="14">
        <v>44796</v>
      </c>
      <c r="Y84" s="92"/>
      <c r="AC84" s="18"/>
      <c r="AD84" s="21"/>
      <c r="AE84" s="21"/>
      <c r="AF84" s="21"/>
      <c r="AG84" s="21"/>
      <c r="AH84" s="21"/>
    </row>
    <row r="85" spans="1:36">
      <c r="A85" s="13" t="s">
        <v>77</v>
      </c>
      <c r="B85" s="13" t="s">
        <v>76</v>
      </c>
      <c r="C85" s="13">
        <v>29</v>
      </c>
      <c r="E85" s="14">
        <v>44796</v>
      </c>
      <c r="Y85" s="92"/>
      <c r="AC85" s="18"/>
      <c r="AD85" s="21"/>
      <c r="AE85" s="21"/>
      <c r="AF85" s="21"/>
      <c r="AG85" s="21"/>
      <c r="AH85" s="21"/>
    </row>
    <row r="86" spans="1:36">
      <c r="A86" s="13" t="s">
        <v>78</v>
      </c>
      <c r="B86" s="13" t="s">
        <v>76</v>
      </c>
      <c r="C86" s="13">
        <v>29</v>
      </c>
      <c r="E86" s="14">
        <v>44796</v>
      </c>
      <c r="Y86" s="92"/>
      <c r="AC86" s="18"/>
      <c r="AD86" s="21"/>
      <c r="AE86" s="21"/>
      <c r="AF86" s="21"/>
      <c r="AG86" s="21"/>
      <c r="AH86" s="21"/>
    </row>
    <row r="87" spans="1:36">
      <c r="A87" s="13" t="s">
        <v>75</v>
      </c>
      <c r="B87" s="13" t="s">
        <v>76</v>
      </c>
      <c r="C87" s="13">
        <v>30</v>
      </c>
      <c r="E87" s="14">
        <v>44803</v>
      </c>
      <c r="Y87" s="92"/>
      <c r="AC87" s="18"/>
      <c r="AD87" s="21"/>
      <c r="AE87" s="21"/>
      <c r="AF87" s="21"/>
      <c r="AG87" s="21"/>
      <c r="AH87" s="21"/>
    </row>
    <row r="88" spans="1:36" s="39" customFormat="1" ht="16.2">
      <c r="A88" s="36" t="s">
        <v>77</v>
      </c>
      <c r="B88" s="36" t="s">
        <v>76</v>
      </c>
      <c r="C88" s="36">
        <v>30</v>
      </c>
      <c r="D88" s="37"/>
      <c r="E88" s="37">
        <v>44803</v>
      </c>
      <c r="F88" s="38"/>
      <c r="K88" s="40"/>
      <c r="M88" s="36"/>
      <c r="N88" s="36"/>
      <c r="O88" s="36"/>
      <c r="P88" s="41"/>
      <c r="Q88" s="41"/>
      <c r="R88" s="42"/>
      <c r="S88" s="42"/>
      <c r="T88" s="42"/>
      <c r="U88" s="42"/>
      <c r="V88" s="42"/>
      <c r="W88" s="41"/>
      <c r="X88" s="43"/>
      <c r="Y88" s="98"/>
      <c r="Z88" s="40"/>
      <c r="AA88" s="44"/>
      <c r="AB88" s="40"/>
      <c r="AC88" s="41"/>
      <c r="AD88" s="42"/>
      <c r="AE88" s="42"/>
      <c r="AF88" s="42"/>
      <c r="AG88" s="42"/>
      <c r="AH88" s="42"/>
      <c r="AI88" s="45"/>
      <c r="AJ88" s="40"/>
    </row>
    <row r="89" spans="1:36">
      <c r="A89" s="13" t="s">
        <v>169</v>
      </c>
      <c r="B89" s="13" t="s">
        <v>76</v>
      </c>
      <c r="C89" s="13">
        <v>30</v>
      </c>
      <c r="E89" s="14">
        <v>44803</v>
      </c>
      <c r="Y89" s="92"/>
      <c r="AC89" s="18"/>
      <c r="AD89" s="21"/>
      <c r="AE89" s="21"/>
      <c r="AF89" s="21"/>
      <c r="AG89" s="21"/>
      <c r="AH89" s="21"/>
    </row>
    <row r="90" spans="1:36" ht="16.2">
      <c r="A90" s="13" t="s">
        <v>170</v>
      </c>
      <c r="B90" s="13" t="s">
        <v>76</v>
      </c>
      <c r="C90" s="13">
        <v>31</v>
      </c>
      <c r="E90" s="14">
        <v>44810</v>
      </c>
      <c r="P90" s="18">
        <v>1.52E-2</v>
      </c>
      <c r="Q90" s="18">
        <v>1.461166050047469</v>
      </c>
      <c r="R90" s="21">
        <v>1.6136043073269369E-2</v>
      </c>
      <c r="S90" s="21">
        <v>5.3520229584950982</v>
      </c>
      <c r="T90" s="21">
        <v>3.5019603921794</v>
      </c>
      <c r="U90" s="21">
        <v>3.4470113722454149E-2</v>
      </c>
      <c r="V90" s="21">
        <v>6.3881121577253522E-2</v>
      </c>
      <c r="W90" s="18">
        <v>1.418921070217029</v>
      </c>
      <c r="X90" s="19">
        <v>0.59215130869949173</v>
      </c>
      <c r="Y90" s="92">
        <v>1.6675675275835251</v>
      </c>
      <c r="Z90" s="20">
        <v>-6.8137072625306248</v>
      </c>
      <c r="AA90" s="10">
        <v>-39.489152066861017</v>
      </c>
      <c r="AB90" s="17">
        <v>0.77046599915074065</v>
      </c>
      <c r="AC90" s="18">
        <v>0.41560412297353128</v>
      </c>
      <c r="AD90" s="21">
        <v>3.195751833932543</v>
      </c>
      <c r="AE90" s="21">
        <v>1.4672811196839031</v>
      </c>
      <c r="AF90" s="21">
        <v>2.341877753371641E-2</v>
      </c>
      <c r="AG90" s="21"/>
      <c r="AH90" s="21">
        <v>1.8914079435223661</v>
      </c>
      <c r="AI90" s="46"/>
    </row>
    <row r="91" spans="1:36">
      <c r="A91" s="13" t="s">
        <v>172</v>
      </c>
      <c r="B91" s="13" t="s">
        <v>76</v>
      </c>
      <c r="C91" s="13">
        <v>31</v>
      </c>
      <c r="E91" s="14">
        <v>44810</v>
      </c>
      <c r="P91" s="18">
        <v>3.6299999999999999E-2</v>
      </c>
      <c r="Q91" s="18">
        <v>1.227038096581208</v>
      </c>
      <c r="R91" s="21" t="s">
        <v>50</v>
      </c>
      <c r="S91" s="21">
        <v>20.738263667332848</v>
      </c>
      <c r="T91" s="21">
        <v>2.7053325276177729</v>
      </c>
      <c r="U91" s="21" t="s">
        <v>50</v>
      </c>
      <c r="V91" s="21">
        <v>8.9196965946031492E-2</v>
      </c>
      <c r="Y91" s="92"/>
      <c r="Z91" s="20">
        <v>-7.7165534568998932</v>
      </c>
      <c r="AA91" s="10">
        <v>-46.734269773624398</v>
      </c>
      <c r="AB91" s="17">
        <v>1.117965784840151</v>
      </c>
      <c r="AC91" s="18">
        <v>0.9964072454892865</v>
      </c>
      <c r="AD91" s="21">
        <v>0.94702644504367173</v>
      </c>
      <c r="AE91" s="21">
        <v>4.1687883592736377</v>
      </c>
      <c r="AF91" s="21">
        <v>3.4852601171940292E-2</v>
      </c>
      <c r="AG91" s="21"/>
      <c r="AH91" s="21">
        <v>3.6537661315143479</v>
      </c>
    </row>
    <row r="92" spans="1:36">
      <c r="A92" s="13" t="s">
        <v>169</v>
      </c>
      <c r="B92" s="13" t="s">
        <v>76</v>
      </c>
      <c r="C92" s="13">
        <v>31</v>
      </c>
      <c r="E92" s="14">
        <v>44810</v>
      </c>
      <c r="Y92" s="92"/>
      <c r="Z92" s="20">
        <v>-7.707049812748636</v>
      </c>
      <c r="AA92" s="10">
        <v>-47.194953728648279</v>
      </c>
      <c r="AB92" s="17">
        <v>1.255058744837795</v>
      </c>
      <c r="AC92" s="18">
        <v>1.879998627318767</v>
      </c>
      <c r="AD92" s="21">
        <v>1.328556695392459</v>
      </c>
      <c r="AE92" s="21">
        <v>6.3630187567141663</v>
      </c>
      <c r="AF92" s="21">
        <v>4.6545994369255661E-2</v>
      </c>
      <c r="AG92" s="21"/>
      <c r="AH92" s="21">
        <v>3.9784033930097871</v>
      </c>
    </row>
    <row r="93" spans="1:36" ht="16.2">
      <c r="A93" s="13" t="s">
        <v>170</v>
      </c>
      <c r="B93" s="13" t="s">
        <v>76</v>
      </c>
      <c r="C93" s="13">
        <v>32</v>
      </c>
      <c r="E93" s="14">
        <v>44817</v>
      </c>
      <c r="H93" s="16">
        <v>20</v>
      </c>
      <c r="I93" s="16">
        <v>6.14</v>
      </c>
      <c r="J93" s="16">
        <v>18.45</v>
      </c>
      <c r="K93" s="17">
        <v>0.48433582664769093</v>
      </c>
      <c r="P93" s="18">
        <v>1.1900000000000001E-2</v>
      </c>
      <c r="Q93" s="18">
        <v>0.61438783772718952</v>
      </c>
      <c r="R93" s="21" t="s">
        <v>50</v>
      </c>
      <c r="S93" s="21">
        <v>1.6749754990521011</v>
      </c>
      <c r="T93" s="21">
        <v>2.7944136668767552</v>
      </c>
      <c r="U93" s="21" t="s">
        <v>50</v>
      </c>
      <c r="V93" s="21">
        <v>3.926849510760827E-2</v>
      </c>
      <c r="W93" s="18">
        <v>1.2865303714185461</v>
      </c>
      <c r="X93" s="19">
        <v>0.88970000000000005</v>
      </c>
      <c r="Y93" s="92">
        <v>0.35710269065587752</v>
      </c>
      <c r="Z93" s="20">
        <v>-9.3362459529638535</v>
      </c>
      <c r="AA93" s="10">
        <v>-62.00212076174725</v>
      </c>
      <c r="AB93" s="17">
        <v>0.44782667926838821</v>
      </c>
      <c r="AC93" s="18">
        <v>0.19011536071891089</v>
      </c>
      <c r="AD93" s="21">
        <v>1.4994922589372099</v>
      </c>
      <c r="AE93" s="21">
        <v>0.77752474901768553</v>
      </c>
      <c r="AF93" s="21">
        <v>2.0185582959745561E-2</v>
      </c>
      <c r="AG93" s="21"/>
      <c r="AH93" s="21">
        <v>1.256660017501712</v>
      </c>
      <c r="AI93" s="46"/>
    </row>
    <row r="94" spans="1:36" ht="16.2">
      <c r="A94" s="13" t="s">
        <v>172</v>
      </c>
      <c r="B94" s="13" t="s">
        <v>76</v>
      </c>
      <c r="C94" s="13">
        <v>32</v>
      </c>
      <c r="E94" s="14">
        <v>44817</v>
      </c>
      <c r="H94" s="16">
        <v>15.7</v>
      </c>
      <c r="I94" s="16">
        <v>5.04</v>
      </c>
      <c r="J94" s="16">
        <v>27.46</v>
      </c>
      <c r="K94" s="17">
        <v>-7.031339478298719E-2</v>
      </c>
      <c r="P94" s="18">
        <v>1.67E-2</v>
      </c>
      <c r="Q94" s="18">
        <v>0.76537640161697396</v>
      </c>
      <c r="R94" s="21" t="s">
        <v>50</v>
      </c>
      <c r="S94" s="21">
        <v>4.08779875206789</v>
      </c>
      <c r="T94" s="21">
        <v>2.9797228646448821</v>
      </c>
      <c r="U94" s="21" t="s">
        <v>50</v>
      </c>
      <c r="V94" s="21">
        <v>1.8875176032759341E-2</v>
      </c>
      <c r="W94" s="18">
        <v>0.93781596923046751</v>
      </c>
      <c r="X94" s="19">
        <v>0.69069999999999998</v>
      </c>
      <c r="Y94" s="92">
        <v>0.97411064119880642</v>
      </c>
      <c r="Z94" s="20">
        <v>-10.02288424289206</v>
      </c>
      <c r="AA94" s="10">
        <v>-67.00267259072902</v>
      </c>
      <c r="AB94" s="17">
        <v>0.67037066062774364</v>
      </c>
      <c r="AC94" s="18">
        <v>0.30091540329617589</v>
      </c>
      <c r="AD94" s="21">
        <v>0.45610415496079948</v>
      </c>
      <c r="AE94" s="21">
        <v>1.451699267387057</v>
      </c>
      <c r="AF94" s="21">
        <v>2.3168669684805739E-2</v>
      </c>
      <c r="AG94" s="21"/>
      <c r="AH94" s="21">
        <v>1.6567168101622689</v>
      </c>
      <c r="AI94" s="46"/>
    </row>
    <row r="95" spans="1:36" ht="16.2">
      <c r="A95" s="13" t="s">
        <v>169</v>
      </c>
      <c r="B95" s="13" t="s">
        <v>76</v>
      </c>
      <c r="C95" s="13">
        <v>32</v>
      </c>
      <c r="E95" s="14">
        <v>44817</v>
      </c>
      <c r="Y95" s="92"/>
      <c r="AC95" s="18"/>
      <c r="AD95" s="21"/>
      <c r="AE95" s="21"/>
      <c r="AF95" s="21"/>
      <c r="AG95" s="21"/>
      <c r="AH95" s="21"/>
      <c r="AI95" s="46"/>
    </row>
    <row r="96" spans="1:36" ht="16.2">
      <c r="A96" s="13" t="s">
        <v>170</v>
      </c>
      <c r="B96" s="13" t="s">
        <v>76</v>
      </c>
      <c r="C96" s="13">
        <v>33</v>
      </c>
      <c r="E96" s="14">
        <v>44824</v>
      </c>
      <c r="H96" s="16">
        <v>22.7</v>
      </c>
      <c r="I96" s="16">
        <v>6.76</v>
      </c>
      <c r="J96" s="16">
        <v>18.98</v>
      </c>
      <c r="K96" s="17">
        <v>9.4272155234402411E-2</v>
      </c>
      <c r="P96" s="18">
        <v>9.7999999999999997E-3</v>
      </c>
      <c r="Q96" s="18">
        <v>0.53079909571635131</v>
      </c>
      <c r="R96" s="21">
        <v>6.0495099732886057E-3</v>
      </c>
      <c r="S96" s="21">
        <v>1.086558678722479</v>
      </c>
      <c r="T96" s="21">
        <v>2.7162746266706539</v>
      </c>
      <c r="U96" s="21" t="s">
        <v>50</v>
      </c>
      <c r="V96" s="21">
        <v>0.1109967208191459</v>
      </c>
      <c r="W96" s="18">
        <v>1.6509678549925819</v>
      </c>
      <c r="X96" s="19">
        <v>0.72560000000000002</v>
      </c>
      <c r="Y96" s="92">
        <v>0.66794020339080851</v>
      </c>
      <c r="Z96" s="20">
        <v>-8.1112941050395353</v>
      </c>
      <c r="AA96" s="10">
        <v>-53.019460120360002</v>
      </c>
      <c r="AB96" s="17">
        <v>0.39568145670224192</v>
      </c>
      <c r="AC96" s="18">
        <v>0.16424206490479359</v>
      </c>
      <c r="AD96" s="21">
        <v>1.1788331676655059</v>
      </c>
      <c r="AE96" s="21">
        <v>0.80071170842440209</v>
      </c>
      <c r="AF96" s="21">
        <v>1.9890169489893781E-2</v>
      </c>
      <c r="AG96" s="21"/>
      <c r="AH96" s="21">
        <v>1.1894494741952</v>
      </c>
      <c r="AI96" s="46"/>
    </row>
    <row r="97" spans="1:36" ht="16.2">
      <c r="A97" s="13" t="s">
        <v>172</v>
      </c>
      <c r="B97" s="13" t="s">
        <v>76</v>
      </c>
      <c r="C97" s="13">
        <v>33</v>
      </c>
      <c r="E97" s="14">
        <v>44824</v>
      </c>
      <c r="H97" s="16">
        <v>18.7</v>
      </c>
      <c r="I97" s="16">
        <v>5.0999999999999996</v>
      </c>
      <c r="J97" s="16">
        <v>17.850000000000001</v>
      </c>
      <c r="P97" s="18">
        <v>2.63E-2</v>
      </c>
      <c r="Q97" s="18">
        <v>0.48616860799262412</v>
      </c>
      <c r="R97" s="21" t="s">
        <v>50</v>
      </c>
      <c r="S97" s="21">
        <v>2.5074959603088809</v>
      </c>
      <c r="T97" s="21">
        <v>3.925062884054566</v>
      </c>
      <c r="U97" s="21" t="s">
        <v>50</v>
      </c>
      <c r="V97" s="21">
        <v>3.0126662418882889E-2</v>
      </c>
      <c r="W97" s="18">
        <v>0.96678015141472029</v>
      </c>
      <c r="X97" s="19">
        <v>0.44190000000000002</v>
      </c>
      <c r="Y97" s="92">
        <v>0.8264093734807334</v>
      </c>
      <c r="Z97" s="20">
        <v>-8.0739583601596046</v>
      </c>
      <c r="AA97" s="10">
        <v>-51.862676620960819</v>
      </c>
      <c r="AB97" s="17">
        <v>0.69606092078503179</v>
      </c>
      <c r="AC97" s="18">
        <v>0.20316505820014849</v>
      </c>
      <c r="AD97" s="21">
        <v>0.38797563124480311</v>
      </c>
      <c r="AE97" s="21">
        <v>1.289371148400533</v>
      </c>
      <c r="AF97" s="21">
        <v>2.1587787423524421E-2</v>
      </c>
      <c r="AG97" s="21"/>
      <c r="AH97" s="21">
        <v>1.305058086245394</v>
      </c>
      <c r="AI97" s="46"/>
    </row>
    <row r="98" spans="1:36" ht="16.2">
      <c r="A98" s="13" t="s">
        <v>169</v>
      </c>
      <c r="B98" s="13" t="s">
        <v>76</v>
      </c>
      <c r="C98" s="13">
        <v>33</v>
      </c>
      <c r="E98" s="14">
        <v>44824</v>
      </c>
      <c r="Y98" s="92"/>
      <c r="AC98" s="18"/>
      <c r="AD98" s="21"/>
      <c r="AE98" s="18"/>
      <c r="AF98" s="18"/>
      <c r="AG98" s="21"/>
      <c r="AH98" s="21"/>
      <c r="AI98" s="46"/>
    </row>
    <row r="99" spans="1:36" ht="16.2">
      <c r="A99" s="13" t="s">
        <v>170</v>
      </c>
      <c r="B99" s="13" t="s">
        <v>76</v>
      </c>
      <c r="C99" s="13">
        <v>34</v>
      </c>
      <c r="E99" s="14">
        <v>44831</v>
      </c>
      <c r="P99" s="18">
        <v>1.3899999999999999E-2</v>
      </c>
      <c r="Q99" s="18">
        <v>0.66117190289705108</v>
      </c>
      <c r="R99" s="21" t="s">
        <v>50</v>
      </c>
      <c r="S99" s="21">
        <v>0.67133284741599775</v>
      </c>
      <c r="T99" s="21">
        <v>2.355884197653876</v>
      </c>
      <c r="U99" s="21" t="s">
        <v>50</v>
      </c>
      <c r="V99" s="21">
        <v>2.5292983975747099E-2</v>
      </c>
      <c r="W99" s="18">
        <v>1.371147331760016</v>
      </c>
      <c r="X99" s="19">
        <v>0.59770000000000001</v>
      </c>
      <c r="Y99" s="92">
        <v>0.46766945352391281</v>
      </c>
      <c r="Z99" s="20">
        <v>-7.7393241001341799</v>
      </c>
      <c r="AA99" s="10">
        <v>-47.248225143728867</v>
      </c>
      <c r="AB99" s="17">
        <v>0.44228064592077942</v>
      </c>
      <c r="AC99" s="18">
        <v>0.12464925689615169</v>
      </c>
      <c r="AD99" s="21">
        <v>0.92168746445019401</v>
      </c>
      <c r="AE99" s="21">
        <v>0.68920356399888083</v>
      </c>
      <c r="AF99" s="18">
        <v>1.979900148329905E-2</v>
      </c>
      <c r="AG99" s="21"/>
      <c r="AH99" s="21">
        <v>1.212964644013993</v>
      </c>
      <c r="AI99" s="46"/>
    </row>
    <row r="100" spans="1:36" ht="16.2">
      <c r="A100" s="13" t="s">
        <v>172</v>
      </c>
      <c r="B100" s="13" t="s">
        <v>76</v>
      </c>
      <c r="C100" s="13">
        <v>34</v>
      </c>
      <c r="E100" s="14">
        <v>44831</v>
      </c>
      <c r="Y100" s="92"/>
      <c r="Z100" s="20">
        <v>-8.0004305266136289</v>
      </c>
      <c r="AA100" s="10">
        <v>-50.359347137678881</v>
      </c>
      <c r="AB100" s="17">
        <v>0.84338471516972102</v>
      </c>
      <c r="AC100" s="18">
        <v>0.58702687267835674</v>
      </c>
      <c r="AD100" s="21">
        <v>0.6099845285687604</v>
      </c>
      <c r="AE100" s="21">
        <v>2.9011949108710078</v>
      </c>
      <c r="AF100" s="18">
        <v>2.9627441083753019E-2</v>
      </c>
      <c r="AG100" s="21"/>
      <c r="AH100" s="21">
        <v>2.605536283115327</v>
      </c>
      <c r="AI100" s="46"/>
    </row>
    <row r="101" spans="1:36" ht="16.2">
      <c r="A101" s="13" t="s">
        <v>169</v>
      </c>
      <c r="B101" s="13" t="s">
        <v>76</v>
      </c>
      <c r="C101" s="13">
        <v>34</v>
      </c>
      <c r="E101" s="14">
        <v>44831</v>
      </c>
      <c r="Y101" s="92"/>
      <c r="AC101" s="18"/>
      <c r="AD101" s="21"/>
      <c r="AE101" s="21"/>
      <c r="AF101" s="21"/>
      <c r="AG101" s="21"/>
      <c r="AH101" s="21"/>
      <c r="AI101" s="46"/>
    </row>
    <row r="102" spans="1:36" ht="16.2">
      <c r="A102" s="13" t="s">
        <v>170</v>
      </c>
      <c r="B102" s="13" t="s">
        <v>76</v>
      </c>
      <c r="C102" s="13">
        <v>35</v>
      </c>
      <c r="E102" s="14">
        <v>44838</v>
      </c>
      <c r="Y102" s="92"/>
      <c r="AC102" s="18"/>
      <c r="AD102" s="21"/>
      <c r="AE102" s="21"/>
      <c r="AF102" s="21"/>
      <c r="AG102" s="21"/>
      <c r="AH102" s="21"/>
      <c r="AI102" s="46"/>
    </row>
    <row r="103" spans="1:36">
      <c r="A103" s="13" t="s">
        <v>172</v>
      </c>
      <c r="B103" s="13" t="s">
        <v>76</v>
      </c>
      <c r="C103" s="13">
        <v>35</v>
      </c>
      <c r="E103" s="14">
        <v>44838</v>
      </c>
      <c r="Y103" s="92"/>
      <c r="AC103" s="18"/>
      <c r="AD103" s="21"/>
      <c r="AE103" s="21"/>
      <c r="AF103" s="21"/>
      <c r="AG103" s="21"/>
      <c r="AH103" s="21"/>
    </row>
    <row r="104" spans="1:36" s="48" customFormat="1">
      <c r="A104" s="12" t="s">
        <v>169</v>
      </c>
      <c r="B104" s="12" t="s">
        <v>76</v>
      </c>
      <c r="C104" s="12">
        <v>35</v>
      </c>
      <c r="D104" s="47"/>
      <c r="E104" s="47">
        <v>44838</v>
      </c>
      <c r="F104" s="3"/>
      <c r="K104" s="20"/>
      <c r="M104" s="12"/>
      <c r="N104" s="12"/>
      <c r="O104" s="12"/>
      <c r="P104" s="11"/>
      <c r="Q104" s="11"/>
      <c r="R104" s="49"/>
      <c r="S104" s="49"/>
      <c r="T104" s="49"/>
      <c r="U104" s="49"/>
      <c r="V104" s="49"/>
      <c r="W104" s="11"/>
      <c r="X104" s="50"/>
      <c r="Y104" s="91"/>
      <c r="Z104" s="20">
        <v>-7.7547122977506966</v>
      </c>
      <c r="AA104" s="10">
        <v>-49.436753124508073</v>
      </c>
      <c r="AB104" s="20">
        <v>0.79904749032112021</v>
      </c>
      <c r="AC104" s="49">
        <v>0.71408700444167539</v>
      </c>
      <c r="AD104" s="50">
        <v>0.7602732962783858</v>
      </c>
      <c r="AE104" s="50">
        <v>3.8658866180938061</v>
      </c>
      <c r="AF104" s="50">
        <v>2.9108589192396051E-2</v>
      </c>
      <c r="AG104" s="50"/>
      <c r="AH104" s="50">
        <v>2.943934173554049</v>
      </c>
      <c r="AI104" s="51"/>
      <c r="AJ104" s="20"/>
    </row>
    <row r="105" spans="1:36">
      <c r="A105" s="13" t="s">
        <v>170</v>
      </c>
      <c r="B105" s="13" t="s">
        <v>76</v>
      </c>
      <c r="C105" s="13">
        <v>36</v>
      </c>
      <c r="E105" s="14">
        <v>44845</v>
      </c>
      <c r="P105" s="18">
        <v>2.87E-2</v>
      </c>
      <c r="Q105" s="18">
        <v>1.0220801675889</v>
      </c>
      <c r="R105" s="21" t="s">
        <v>50</v>
      </c>
      <c r="S105" s="21">
        <v>16.91620897432038</v>
      </c>
      <c r="T105" s="21">
        <v>2.8442079048538358</v>
      </c>
      <c r="U105" s="21" t="s">
        <v>50</v>
      </c>
      <c r="V105" s="21">
        <v>1.9484408834993531E-2</v>
      </c>
      <c r="W105" s="18">
        <v>1.106864376570631</v>
      </c>
      <c r="X105" s="19">
        <v>0.32640000000000002</v>
      </c>
      <c r="Y105" s="92">
        <v>4.4474106978075429</v>
      </c>
      <c r="Z105" s="20">
        <v>-5.1721727782980293</v>
      </c>
      <c r="AA105" s="10">
        <v>-22.64824838558744</v>
      </c>
      <c r="AB105" s="17">
        <v>0.54183317212692805</v>
      </c>
      <c r="AC105" s="18">
        <v>3.4808680551153333E-2</v>
      </c>
      <c r="AD105" s="21">
        <v>0.86664718138627317</v>
      </c>
      <c r="AE105" s="21">
        <v>0.9651634961695299</v>
      </c>
      <c r="AF105" s="21">
        <v>1.3438143425466519E-2</v>
      </c>
      <c r="AG105" s="21"/>
      <c r="AH105" s="21">
        <v>2.4369262089189871</v>
      </c>
    </row>
    <row r="106" spans="1:36">
      <c r="A106" s="13" t="s">
        <v>172</v>
      </c>
      <c r="B106" s="13" t="s">
        <v>76</v>
      </c>
      <c r="C106" s="13">
        <v>36</v>
      </c>
      <c r="E106" s="14">
        <v>44845</v>
      </c>
      <c r="Y106" s="92"/>
      <c r="Z106" s="20">
        <v>-6.7606898556739834</v>
      </c>
      <c r="AA106" s="10">
        <v>-39.359135420030292</v>
      </c>
      <c r="AB106" s="17">
        <v>0.79138413277832331</v>
      </c>
      <c r="AC106" s="18">
        <v>0.30444029179699172</v>
      </c>
      <c r="AD106" s="21">
        <v>0.47615156395938413</v>
      </c>
      <c r="AE106" s="21">
        <v>2.5556747867634622</v>
      </c>
      <c r="AF106" s="21">
        <v>2.1108352815323271E-2</v>
      </c>
      <c r="AG106" s="21"/>
      <c r="AH106" s="21">
        <v>3.2393555042891449</v>
      </c>
    </row>
    <row r="107" spans="1:36" ht="16.2">
      <c r="A107" s="13" t="s">
        <v>169</v>
      </c>
      <c r="B107" s="13" t="s">
        <v>76</v>
      </c>
      <c r="C107" s="13">
        <v>36</v>
      </c>
      <c r="E107" s="14">
        <v>44845</v>
      </c>
      <c r="Y107" s="92"/>
      <c r="AC107" s="18"/>
      <c r="AD107" s="21"/>
      <c r="AE107" s="21"/>
      <c r="AF107" s="21"/>
      <c r="AG107" s="21"/>
      <c r="AH107" s="21"/>
      <c r="AI107" s="46"/>
    </row>
    <row r="108" spans="1:36" s="56" customFormat="1" ht="16.2">
      <c r="A108" s="52" t="s">
        <v>170</v>
      </c>
      <c r="B108" s="52" t="s">
        <v>76</v>
      </c>
      <c r="C108" s="52">
        <v>37</v>
      </c>
      <c r="D108" s="53"/>
      <c r="E108" s="53">
        <v>44853</v>
      </c>
      <c r="F108" s="54"/>
      <c r="G108" s="55"/>
      <c r="K108" s="57"/>
      <c r="M108" s="52"/>
      <c r="N108" s="52"/>
      <c r="O108" s="52"/>
      <c r="P108" s="58" t="s">
        <v>50</v>
      </c>
      <c r="Q108" s="58">
        <v>0.83969503924843814</v>
      </c>
      <c r="R108" s="59" t="s">
        <v>50</v>
      </c>
      <c r="S108" s="59">
        <v>0.27482498771481378</v>
      </c>
      <c r="T108" s="59">
        <v>2.8695869504258442</v>
      </c>
      <c r="U108" s="59" t="s">
        <v>50</v>
      </c>
      <c r="V108" s="59">
        <v>9.3059706043788493E-2</v>
      </c>
      <c r="W108" s="58"/>
      <c r="X108" s="60"/>
      <c r="Y108" s="96"/>
      <c r="Z108" s="57">
        <v>-5.7642688761637872</v>
      </c>
      <c r="AA108" s="61">
        <v>-27.739063488035558</v>
      </c>
      <c r="AB108" s="57">
        <v>0.52619111512487737</v>
      </c>
      <c r="AC108" s="59" t="s">
        <v>51</v>
      </c>
      <c r="AD108" s="57">
        <v>0.70305444301060904</v>
      </c>
      <c r="AE108" s="60">
        <v>0.81533357611996971</v>
      </c>
      <c r="AF108" s="57">
        <v>1.231542359664024E-2</v>
      </c>
      <c r="AG108" s="57"/>
      <c r="AH108" s="57">
        <v>2.1999103873399659</v>
      </c>
      <c r="AI108" s="62"/>
      <c r="AJ108" s="57"/>
    </row>
    <row r="109" spans="1:36">
      <c r="A109" s="13" t="s">
        <v>172</v>
      </c>
      <c r="B109" s="13" t="s">
        <v>76</v>
      </c>
      <c r="C109" s="13">
        <v>37</v>
      </c>
      <c r="E109" s="14">
        <v>44853</v>
      </c>
      <c r="H109" s="16">
        <v>19.3</v>
      </c>
      <c r="I109" s="16">
        <v>5.01</v>
      </c>
      <c r="J109" s="16">
        <v>23.12</v>
      </c>
      <c r="K109" s="17">
        <v>1.456409668062386E-2</v>
      </c>
      <c r="P109" s="18">
        <v>1.2999999999999999E-2</v>
      </c>
      <c r="Q109" s="18">
        <v>0.80097626359934992</v>
      </c>
      <c r="R109" s="21" t="s">
        <v>50</v>
      </c>
      <c r="S109" s="21">
        <v>3.0288996874120362</v>
      </c>
      <c r="T109" s="21">
        <v>2.0919980927107371</v>
      </c>
      <c r="U109" s="21" t="s">
        <v>50</v>
      </c>
      <c r="V109" s="21">
        <v>1.497316582301639E-2</v>
      </c>
      <c r="W109" s="18">
        <v>0.89612147510683549</v>
      </c>
      <c r="Y109" s="92">
        <v>1.222924757950459</v>
      </c>
      <c r="Z109" s="20">
        <v>-5.0529312030333982</v>
      </c>
      <c r="AA109" s="10">
        <v>-21.563449159911698</v>
      </c>
      <c r="AB109" s="17">
        <v>0.66723509890769905</v>
      </c>
      <c r="AC109" s="18">
        <v>9.5769347359513451E-2</v>
      </c>
      <c r="AD109" s="21">
        <v>0.35075787187901181</v>
      </c>
      <c r="AE109" s="21">
        <v>1.544961019851874</v>
      </c>
      <c r="AF109" s="21">
        <v>1.592708166535008E-2</v>
      </c>
      <c r="AG109" s="21"/>
      <c r="AH109" s="21">
        <v>1.5519202334033451</v>
      </c>
    </row>
    <row r="110" spans="1:36" ht="16.2">
      <c r="A110" s="13" t="s">
        <v>169</v>
      </c>
      <c r="B110" s="13" t="s">
        <v>76</v>
      </c>
      <c r="C110" s="13">
        <v>37</v>
      </c>
      <c r="E110" s="14">
        <v>44853</v>
      </c>
      <c r="Y110" s="92"/>
      <c r="AC110" s="18"/>
      <c r="AD110" s="21"/>
      <c r="AE110" s="21"/>
      <c r="AF110" s="21"/>
      <c r="AG110" s="21"/>
      <c r="AH110" s="21"/>
      <c r="AI110" s="46"/>
    </row>
    <row r="111" spans="1:36" ht="16.2">
      <c r="A111" s="13" t="s">
        <v>170</v>
      </c>
      <c r="B111" s="13" t="s">
        <v>76</v>
      </c>
      <c r="C111" s="13">
        <v>38</v>
      </c>
      <c r="E111" s="14">
        <v>44859</v>
      </c>
      <c r="K111" s="17">
        <v>0.73236049032696726</v>
      </c>
      <c r="P111" s="18">
        <v>3.15E-2</v>
      </c>
      <c r="Q111" s="18">
        <v>1.437738447322124</v>
      </c>
      <c r="R111" s="21" t="s">
        <v>50</v>
      </c>
      <c r="S111" s="21">
        <v>0.64614557679945339</v>
      </c>
      <c r="T111" s="21">
        <v>1.62959376737031</v>
      </c>
      <c r="U111" s="21" t="s">
        <v>50</v>
      </c>
      <c r="V111" s="21">
        <v>1.9194059889004071E-2</v>
      </c>
      <c r="W111" s="18">
        <v>0.91086026296629619</v>
      </c>
      <c r="Y111" s="92">
        <v>0.18028141237319381</v>
      </c>
      <c r="Z111" s="20">
        <v>-5.6159022034925634</v>
      </c>
      <c r="AA111" s="10">
        <v>-28.071562464783081</v>
      </c>
      <c r="AB111" s="17">
        <v>0.94608212506832723</v>
      </c>
      <c r="AC111" s="18" t="s">
        <v>154</v>
      </c>
      <c r="AD111" s="21">
        <v>0.45566874145292507</v>
      </c>
      <c r="AE111" s="21">
        <v>0.84777719084426595</v>
      </c>
      <c r="AF111" s="21">
        <v>1.278677046109249E-2</v>
      </c>
      <c r="AG111" s="21"/>
      <c r="AH111" s="21">
        <v>1.002892005580079</v>
      </c>
      <c r="AI111" s="46"/>
    </row>
    <row r="112" spans="1:36" ht="16.2">
      <c r="A112" s="13" t="s">
        <v>172</v>
      </c>
      <c r="B112" s="13" t="s">
        <v>76</v>
      </c>
      <c r="C112" s="13">
        <v>38</v>
      </c>
      <c r="E112" s="14">
        <v>44859</v>
      </c>
      <c r="H112" s="16">
        <v>17.899999999999999</v>
      </c>
      <c r="I112" s="16">
        <v>5.1100000000000003</v>
      </c>
      <c r="J112" s="16">
        <v>18.11</v>
      </c>
      <c r="K112" s="17">
        <v>0.1797708522317929</v>
      </c>
      <c r="P112" s="18">
        <v>2.0799999999999999E-2</v>
      </c>
      <c r="Q112" s="18">
        <v>0.91110060390481307</v>
      </c>
      <c r="R112" s="21" t="s">
        <v>50</v>
      </c>
      <c r="S112" s="21">
        <v>0.97938335851340563</v>
      </c>
      <c r="T112" s="21">
        <v>3.4456184420345952</v>
      </c>
      <c r="U112" s="21" t="s">
        <v>50</v>
      </c>
      <c r="V112" s="21">
        <v>2.200798926632919E-2</v>
      </c>
      <c r="W112" s="18">
        <v>0.90630035665467323</v>
      </c>
      <c r="Y112" s="92">
        <v>0.27209000061862582</v>
      </c>
      <c r="Z112" s="20">
        <v>-6.5198081677112363</v>
      </c>
      <c r="AA112" s="10">
        <v>-36.821912459003087</v>
      </c>
      <c r="AB112" s="17">
        <v>0.6844678792104727</v>
      </c>
      <c r="AC112" s="18" t="s">
        <v>154</v>
      </c>
      <c r="AD112" s="21">
        <v>0.36060222165643829</v>
      </c>
      <c r="AE112" s="21">
        <v>0.99649271610156498</v>
      </c>
      <c r="AF112" s="21">
        <v>1.3140441136500879E-2</v>
      </c>
      <c r="AG112" s="21"/>
      <c r="AH112" s="21">
        <v>1.2799513419449751</v>
      </c>
      <c r="AI112" s="46"/>
    </row>
    <row r="113" spans="1:36" ht="16.2">
      <c r="A113" s="13" t="s">
        <v>169</v>
      </c>
      <c r="B113" s="13" t="s">
        <v>76</v>
      </c>
      <c r="C113" s="13">
        <v>38</v>
      </c>
      <c r="E113" s="14">
        <v>44859</v>
      </c>
      <c r="Y113" s="92"/>
      <c r="AC113" s="18"/>
      <c r="AD113" s="21"/>
      <c r="AE113" s="21"/>
      <c r="AF113" s="21"/>
      <c r="AG113" s="21"/>
      <c r="AH113" s="21"/>
      <c r="AI113" s="46"/>
    </row>
    <row r="114" spans="1:36" ht="16.2">
      <c r="A114" s="13" t="s">
        <v>170</v>
      </c>
      <c r="B114" s="13" t="s">
        <v>76</v>
      </c>
      <c r="C114" s="13">
        <v>39</v>
      </c>
      <c r="E114" s="14">
        <v>44867</v>
      </c>
      <c r="I114" s="16">
        <v>6.03</v>
      </c>
      <c r="P114" s="18">
        <v>1.6E-2</v>
      </c>
      <c r="Q114" s="18">
        <v>1.6991961948737599</v>
      </c>
      <c r="R114" s="21" t="s">
        <v>50</v>
      </c>
      <c r="S114" s="21">
        <v>0.56266332184380696</v>
      </c>
      <c r="T114" s="21">
        <v>1.543763046660378</v>
      </c>
      <c r="U114" s="21" t="s">
        <v>50</v>
      </c>
      <c r="V114" s="21">
        <v>4.2999999999999997E-2</v>
      </c>
      <c r="W114" s="18">
        <v>1.3494010067305411</v>
      </c>
      <c r="Y114" s="92">
        <v>0.2457345767218424</v>
      </c>
      <c r="Z114" s="20">
        <v>-5.2185265113526116</v>
      </c>
      <c r="AA114" s="10">
        <v>-23.378035129450399</v>
      </c>
      <c r="AB114" s="17">
        <v>0.71268765475181794</v>
      </c>
      <c r="AC114" s="18">
        <v>0.20264825833457681</v>
      </c>
      <c r="AD114" s="21">
        <v>0.5374134181164506</v>
      </c>
      <c r="AE114" s="21">
        <v>0.74593967200350686</v>
      </c>
      <c r="AF114" s="21">
        <v>2.024498927216373E-2</v>
      </c>
      <c r="AG114" s="21"/>
      <c r="AH114" s="21">
        <v>1.095290866643913</v>
      </c>
      <c r="AI114" s="46"/>
    </row>
    <row r="115" spans="1:36" s="66" customFormat="1" ht="16.2">
      <c r="A115" s="63" t="s">
        <v>172</v>
      </c>
      <c r="B115" s="63" t="s">
        <v>76</v>
      </c>
      <c r="C115" s="63">
        <v>39</v>
      </c>
      <c r="D115" s="64"/>
      <c r="E115" s="64">
        <v>44867</v>
      </c>
      <c r="F115" s="65"/>
      <c r="I115" s="66">
        <v>6.05</v>
      </c>
      <c r="K115" s="67"/>
      <c r="M115" s="63"/>
      <c r="N115" s="63"/>
      <c r="O115" s="63"/>
      <c r="P115" s="68">
        <v>2.4199999999999999E-2</v>
      </c>
      <c r="Q115" s="68">
        <v>0.93216266266701253</v>
      </c>
      <c r="R115" s="69" t="s">
        <v>50</v>
      </c>
      <c r="S115" s="69">
        <v>0.8362750714308036</v>
      </c>
      <c r="T115" s="69">
        <v>3.579884352966483</v>
      </c>
      <c r="U115" s="69" t="s">
        <v>50</v>
      </c>
      <c r="V115" s="69">
        <v>1.4999999999999999E-2</v>
      </c>
      <c r="W115" s="68">
        <v>1.0864675597999811</v>
      </c>
      <c r="X115" s="70"/>
      <c r="Y115" s="97">
        <v>0.30433545836403869</v>
      </c>
      <c r="Z115" s="67">
        <v>-5.3720068534170808</v>
      </c>
      <c r="AA115" s="71">
        <v>-25.133487351512841</v>
      </c>
      <c r="AB115" s="67">
        <v>0.62634681100173517</v>
      </c>
      <c r="AC115" s="68">
        <v>0.16488435280169109</v>
      </c>
      <c r="AD115" s="69">
        <v>0.25740208714361201</v>
      </c>
      <c r="AE115" s="69">
        <v>0.79956422132954497</v>
      </c>
      <c r="AF115" s="69">
        <v>2.0456776811631459E-2</v>
      </c>
      <c r="AG115" s="69"/>
      <c r="AH115" s="69">
        <v>1.4809124469589749</v>
      </c>
      <c r="AI115" s="72"/>
      <c r="AJ115" s="67"/>
    </row>
    <row r="116" spans="1:36" s="66" customFormat="1" ht="16.2">
      <c r="A116" s="63" t="s">
        <v>169</v>
      </c>
      <c r="B116" s="63" t="s">
        <v>76</v>
      </c>
      <c r="C116" s="63">
        <v>39</v>
      </c>
      <c r="D116" s="64"/>
      <c r="E116" s="64">
        <v>44867</v>
      </c>
      <c r="F116" s="65"/>
      <c r="K116" s="67"/>
      <c r="M116" s="63"/>
      <c r="N116" s="63"/>
      <c r="O116" s="63"/>
      <c r="P116" s="68"/>
      <c r="Q116" s="68"/>
      <c r="R116" s="69"/>
      <c r="S116" s="69"/>
      <c r="T116" s="69"/>
      <c r="U116" s="69"/>
      <c r="V116" s="69"/>
      <c r="W116" s="68"/>
      <c r="X116" s="70"/>
      <c r="Y116" s="97"/>
      <c r="Z116" s="67"/>
      <c r="AA116" s="71"/>
      <c r="AB116" s="67"/>
      <c r="AC116" s="68"/>
      <c r="AD116" s="69"/>
      <c r="AE116" s="69"/>
      <c r="AF116" s="69"/>
      <c r="AG116" s="69"/>
      <c r="AH116" s="69"/>
      <c r="AI116" s="72"/>
      <c r="AJ116" s="67"/>
    </row>
    <row r="117" spans="1:36" ht="16.2">
      <c r="A117" s="13" t="s">
        <v>170</v>
      </c>
      <c r="B117" s="13" t="s">
        <v>76</v>
      </c>
      <c r="C117" s="13">
        <v>40</v>
      </c>
      <c r="E117" s="14">
        <v>44873</v>
      </c>
      <c r="K117" s="17">
        <v>0.83322141437014319</v>
      </c>
      <c r="P117" s="18">
        <v>0.02</v>
      </c>
      <c r="Q117" s="18">
        <v>0.69412909041000825</v>
      </c>
      <c r="R117" s="21" t="s">
        <v>50</v>
      </c>
      <c r="S117" s="21">
        <v>0.51639513261414816</v>
      </c>
      <c r="T117" s="21">
        <v>2.2031623558021658</v>
      </c>
      <c r="U117" s="21" t="s">
        <v>50</v>
      </c>
      <c r="V117" s="21">
        <v>2.9000000000000001E-2</v>
      </c>
      <c r="W117" s="18">
        <v>1.1310424969724751</v>
      </c>
      <c r="Y117" s="92">
        <v>0.21797369894162599</v>
      </c>
      <c r="Z117" s="20">
        <v>-8.6845130186693495</v>
      </c>
      <c r="AA117" s="10">
        <v>-50.494127313267853</v>
      </c>
      <c r="AB117" s="17">
        <v>0.90890909831062616</v>
      </c>
      <c r="AC117" s="18">
        <v>0.16079460516266189</v>
      </c>
      <c r="AD117" s="21">
        <v>0.4010900832905836</v>
      </c>
      <c r="AE117" s="21">
        <v>0.65312528105912127</v>
      </c>
      <c r="AF117" s="21">
        <v>1.9887265476636759E-2</v>
      </c>
      <c r="AG117" s="21"/>
      <c r="AH117" s="21">
        <v>0.7745143241388831</v>
      </c>
      <c r="AI117" s="46"/>
    </row>
    <row r="118" spans="1:36" ht="16.2">
      <c r="A118" s="13" t="s">
        <v>172</v>
      </c>
      <c r="B118" s="13" t="s">
        <v>76</v>
      </c>
      <c r="C118" s="13">
        <v>40</v>
      </c>
      <c r="E118" s="14">
        <v>44873</v>
      </c>
      <c r="G118" s="73"/>
      <c r="Y118" s="92"/>
      <c r="AC118" s="18"/>
      <c r="AD118" s="21"/>
      <c r="AE118" s="21"/>
      <c r="AF118" s="21"/>
      <c r="AG118" s="21"/>
      <c r="AH118" s="21"/>
      <c r="AI118" s="46"/>
    </row>
    <row r="119" spans="1:36" ht="16.2">
      <c r="A119" s="13" t="s">
        <v>169</v>
      </c>
      <c r="B119" s="13" t="s">
        <v>76</v>
      </c>
      <c r="C119" s="13">
        <v>40</v>
      </c>
      <c r="E119" s="14">
        <v>44873</v>
      </c>
      <c r="G119" s="73"/>
      <c r="Y119" s="92"/>
      <c r="AC119" s="18"/>
      <c r="AD119" s="21"/>
      <c r="AE119" s="21"/>
      <c r="AF119" s="21"/>
      <c r="AG119" s="21"/>
      <c r="AH119" s="21"/>
      <c r="AI119" s="46"/>
    </row>
    <row r="120" spans="1:36" ht="16.2">
      <c r="A120" s="13" t="s">
        <v>170</v>
      </c>
      <c r="B120" s="13" t="s">
        <v>76</v>
      </c>
      <c r="C120" s="13">
        <v>41</v>
      </c>
      <c r="E120" s="14">
        <v>44880</v>
      </c>
      <c r="K120" s="17">
        <v>0.95856729148401942</v>
      </c>
      <c r="P120" s="18">
        <v>4.8300000000000003E-2</v>
      </c>
      <c r="Q120" s="18">
        <v>1.047656829452676</v>
      </c>
      <c r="R120" s="21" t="s">
        <v>50</v>
      </c>
      <c r="S120" s="21">
        <v>0.48079712829395049</v>
      </c>
      <c r="T120" s="21">
        <v>1.831301732076656</v>
      </c>
      <c r="U120" s="21" t="s">
        <v>50</v>
      </c>
      <c r="V120" s="21">
        <v>1.9793305578684441E-2</v>
      </c>
      <c r="W120" s="18">
        <v>1.068011088987906</v>
      </c>
      <c r="Y120" s="92">
        <v>0.2117304946889097</v>
      </c>
      <c r="Z120" s="20">
        <v>-5.8831631230752661</v>
      </c>
      <c r="AA120" s="10">
        <v>-23.550015311416271</v>
      </c>
      <c r="AB120" s="17">
        <v>1.3690907400390491</v>
      </c>
      <c r="AC120" s="18">
        <v>0.13440621447876641</v>
      </c>
      <c r="AD120" s="21">
        <v>0.28565882879956711</v>
      </c>
      <c r="AE120" s="21">
        <v>0.61570530570495197</v>
      </c>
      <c r="AF120" s="21">
        <v>2.038641677266264E-2</v>
      </c>
      <c r="AG120" s="21"/>
      <c r="AH120" s="21">
        <v>0.69119344552040241</v>
      </c>
      <c r="AI120" s="46"/>
    </row>
    <row r="121" spans="1:36" ht="16.2">
      <c r="A121" s="13" t="s">
        <v>172</v>
      </c>
      <c r="B121" s="13" t="s">
        <v>76</v>
      </c>
      <c r="C121" s="13">
        <v>41</v>
      </c>
      <c r="E121" s="14">
        <v>44880</v>
      </c>
      <c r="Y121" s="92"/>
      <c r="AC121" s="18"/>
      <c r="AD121" s="21"/>
      <c r="AE121" s="21"/>
      <c r="AF121" s="21"/>
      <c r="AG121" s="21"/>
      <c r="AH121" s="21"/>
      <c r="AI121" s="46"/>
    </row>
    <row r="122" spans="1:36" ht="16.2">
      <c r="A122" s="13" t="s">
        <v>169</v>
      </c>
      <c r="B122" s="13" t="s">
        <v>76</v>
      </c>
      <c r="C122" s="13">
        <v>41</v>
      </c>
      <c r="E122" s="14">
        <v>44880</v>
      </c>
      <c r="G122" s="74"/>
      <c r="Y122" s="92"/>
      <c r="AC122" s="18"/>
      <c r="AD122" s="21"/>
      <c r="AE122" s="21"/>
      <c r="AF122" s="21"/>
      <c r="AG122" s="21"/>
      <c r="AH122" s="21"/>
      <c r="AI122" s="46"/>
    </row>
    <row r="123" spans="1:36" ht="16.2">
      <c r="A123" s="13" t="s">
        <v>170</v>
      </c>
      <c r="B123" s="32" t="s">
        <v>171</v>
      </c>
      <c r="C123" s="13">
        <v>42</v>
      </c>
      <c r="E123" s="14">
        <v>44887</v>
      </c>
      <c r="K123" s="17">
        <v>0.44556607672078102</v>
      </c>
      <c r="P123" s="18">
        <v>1.5100000000000001E-2</v>
      </c>
      <c r="Q123" s="18">
        <v>1.2586724684165</v>
      </c>
      <c r="R123" s="21" t="s">
        <v>50</v>
      </c>
      <c r="S123" s="21">
        <v>1.3176417320771669</v>
      </c>
      <c r="T123" s="21">
        <v>1.7629246187609211</v>
      </c>
      <c r="U123" s="21" t="s">
        <v>50</v>
      </c>
      <c r="V123" s="21">
        <v>4.4113638634471278E-2</v>
      </c>
      <c r="W123" s="18">
        <v>0.95399999999999996</v>
      </c>
      <c r="Y123" s="92">
        <v>0.43221377183649301</v>
      </c>
      <c r="Z123" s="20">
        <v>-5.771723048619763</v>
      </c>
      <c r="AA123" s="10">
        <v>-23.59985985551771</v>
      </c>
      <c r="AB123" s="17">
        <v>0.80342396793421333</v>
      </c>
      <c r="AC123" s="18">
        <v>0.17734086994194889</v>
      </c>
      <c r="AD123" s="21">
        <v>0.5542408228856277</v>
      </c>
      <c r="AE123" s="21">
        <v>0.74978667645558517</v>
      </c>
      <c r="AF123" s="21">
        <v>2.0483309828698618E-2</v>
      </c>
      <c r="AG123" s="21"/>
      <c r="AH123" s="21">
        <v>0.94245709953437329</v>
      </c>
      <c r="AI123" s="46"/>
    </row>
    <row r="124" spans="1:36" ht="16.2">
      <c r="A124" s="13" t="s">
        <v>172</v>
      </c>
      <c r="B124" s="32" t="s">
        <v>171</v>
      </c>
      <c r="C124" s="13">
        <v>42</v>
      </c>
      <c r="E124" s="14">
        <v>44887</v>
      </c>
      <c r="Y124" s="92"/>
      <c r="AC124" s="18"/>
      <c r="AD124" s="21"/>
      <c r="AE124" s="21"/>
      <c r="AF124" s="21"/>
      <c r="AG124" s="21"/>
      <c r="AH124" s="21"/>
      <c r="AI124" s="46"/>
    </row>
    <row r="125" spans="1:36" ht="16.2">
      <c r="A125" s="13" t="s">
        <v>169</v>
      </c>
      <c r="B125" s="32" t="s">
        <v>171</v>
      </c>
      <c r="C125" s="13">
        <v>42</v>
      </c>
      <c r="E125" s="14">
        <v>44887</v>
      </c>
      <c r="K125" s="17">
        <v>0.93509964924332245</v>
      </c>
      <c r="P125" s="18">
        <v>2.6599999999999999E-2</v>
      </c>
      <c r="Q125" s="18">
        <v>1.0916288470921089</v>
      </c>
      <c r="R125" s="21">
        <v>2.3800000000000002E-2</v>
      </c>
      <c r="S125" s="21">
        <v>9.7531801346802229</v>
      </c>
      <c r="T125" s="21">
        <v>3.3295080454416128</v>
      </c>
      <c r="U125" s="21" t="s">
        <v>50</v>
      </c>
      <c r="V125" s="21">
        <v>1.3198075544596379</v>
      </c>
      <c r="W125" s="18">
        <v>1.4643999999999999</v>
      </c>
      <c r="Y125" s="92">
        <v>3.9614243139048968</v>
      </c>
      <c r="Z125" s="20">
        <v>-6.739316509460977</v>
      </c>
      <c r="AA125" s="10">
        <v>-33.756593481061003</v>
      </c>
      <c r="AB125" s="17">
        <v>0.75497480203232936</v>
      </c>
      <c r="AC125" s="18">
        <v>0.47079801959347251</v>
      </c>
      <c r="AD125" s="21">
        <v>0.94758422095460593</v>
      </c>
      <c r="AE125" s="21">
        <v>2.2727341998746922</v>
      </c>
      <c r="AF125" s="21">
        <v>2.7980280850613149E-2</v>
      </c>
      <c r="AG125" s="21"/>
      <c r="AH125" s="21">
        <v>2.2210331489415061</v>
      </c>
      <c r="AI125" s="46"/>
    </row>
    <row r="126" spans="1:36" ht="16.2">
      <c r="A126" s="13" t="s">
        <v>75</v>
      </c>
      <c r="B126" s="13" t="s">
        <v>76</v>
      </c>
      <c r="C126" s="13">
        <v>43</v>
      </c>
      <c r="E126" s="14">
        <v>44894</v>
      </c>
      <c r="H126" s="16">
        <v>17.2</v>
      </c>
      <c r="I126" s="16">
        <v>5.69</v>
      </c>
      <c r="J126" s="16">
        <v>16.88</v>
      </c>
      <c r="K126" s="17">
        <v>0.35434533872447721</v>
      </c>
      <c r="P126" s="18">
        <v>1.66E-2</v>
      </c>
      <c r="Q126" s="18">
        <v>1.2441831827299039</v>
      </c>
      <c r="R126" s="21" t="s">
        <v>50</v>
      </c>
      <c r="S126" s="21">
        <v>2.3914166434259139</v>
      </c>
      <c r="T126" s="21">
        <v>1.812018970505048</v>
      </c>
      <c r="U126" s="21" t="s">
        <v>50</v>
      </c>
      <c r="V126" s="21">
        <v>4.572523676447756E-2</v>
      </c>
      <c r="W126" s="18">
        <v>1.2013</v>
      </c>
      <c r="Y126" s="92">
        <v>0.67886931914004423</v>
      </c>
      <c r="Z126" s="20">
        <v>-4.6043238110140736</v>
      </c>
      <c r="AA126" s="10">
        <v>-17.39988162306221</v>
      </c>
      <c r="AB126" s="17">
        <v>0.74967744252113033</v>
      </c>
      <c r="AC126" s="18">
        <v>0.2204298662050122</v>
      </c>
      <c r="AD126" s="21">
        <v>0.79390144923064998</v>
      </c>
      <c r="AE126" s="21">
        <v>0.81294019501681547</v>
      </c>
      <c r="AF126" s="21">
        <v>8.4447427535204889E-3</v>
      </c>
      <c r="AG126" s="21"/>
      <c r="AH126" s="21">
        <v>0.94211072054022005</v>
      </c>
      <c r="AI126" s="46"/>
    </row>
    <row r="127" spans="1:36" ht="16.2">
      <c r="A127" s="13" t="s">
        <v>77</v>
      </c>
      <c r="B127" s="13" t="s">
        <v>76</v>
      </c>
      <c r="C127" s="13">
        <v>43</v>
      </c>
      <c r="E127" s="14">
        <v>44894</v>
      </c>
      <c r="H127" s="16">
        <v>15.4</v>
      </c>
      <c r="I127" s="16">
        <v>6.93</v>
      </c>
      <c r="J127" s="16">
        <v>42.65</v>
      </c>
      <c r="K127" s="17">
        <v>-8.3690052712066931E-3</v>
      </c>
      <c r="P127" s="18">
        <v>2.3599999999999999E-2</v>
      </c>
      <c r="Q127" s="18">
        <v>1.2251085591333231</v>
      </c>
      <c r="R127" s="21" t="s">
        <v>50</v>
      </c>
      <c r="S127" s="21">
        <v>4.2674885683920234</v>
      </c>
      <c r="T127" s="21">
        <v>2.941088560367958</v>
      </c>
      <c r="U127" s="21" t="s">
        <v>50</v>
      </c>
      <c r="V127" s="21">
        <v>2.027732494954199E-2</v>
      </c>
      <c r="W127" s="18">
        <v>0.84589999999999999</v>
      </c>
      <c r="Y127" s="92">
        <v>1.13663810439834</v>
      </c>
      <c r="Z127" s="20">
        <v>-5.7791141934207202</v>
      </c>
      <c r="AA127" s="10">
        <v>-24.997042225867361</v>
      </c>
      <c r="AB127" s="17">
        <v>1.224389581628728</v>
      </c>
      <c r="AC127" s="18">
        <v>0.26629297171545813</v>
      </c>
      <c r="AD127" s="21">
        <v>0.21436774785786919</v>
      </c>
      <c r="AE127" s="21">
        <v>0.78271863889961568</v>
      </c>
      <c r="AF127" s="21">
        <v>8.3465160312974403E-3</v>
      </c>
      <c r="AG127" s="21"/>
      <c r="AH127" s="21">
        <v>1.2834845371908521</v>
      </c>
      <c r="AI127" s="46"/>
    </row>
    <row r="128" spans="1:36" ht="16.2">
      <c r="A128" s="13" t="s">
        <v>78</v>
      </c>
      <c r="B128" s="13" t="s">
        <v>76</v>
      </c>
      <c r="C128" s="13">
        <v>43</v>
      </c>
      <c r="E128" s="14">
        <v>44894</v>
      </c>
      <c r="Y128" s="92"/>
      <c r="AC128" s="18"/>
      <c r="AD128" s="21"/>
      <c r="AE128" s="21"/>
      <c r="AF128" s="21"/>
      <c r="AG128" s="21"/>
      <c r="AH128" s="21"/>
      <c r="AI128" s="46"/>
    </row>
    <row r="129" spans="1:35" ht="16.2">
      <c r="A129" s="13" t="s">
        <v>75</v>
      </c>
      <c r="B129" s="13" t="s">
        <v>76</v>
      </c>
      <c r="C129" s="13">
        <v>44</v>
      </c>
      <c r="E129" s="14">
        <v>44901</v>
      </c>
      <c r="P129" s="18">
        <v>1.9E-2</v>
      </c>
      <c r="Q129" s="18">
        <v>1.2905251278832279</v>
      </c>
      <c r="R129" s="21" t="s">
        <v>50</v>
      </c>
      <c r="S129" s="21">
        <v>3.898106819539088</v>
      </c>
      <c r="T129" s="21">
        <v>2.0044911509019681</v>
      </c>
      <c r="U129" s="21" t="s">
        <v>50</v>
      </c>
      <c r="V129" s="21">
        <v>9.9372185995963369E-2</v>
      </c>
      <c r="W129" s="18">
        <v>1.2361</v>
      </c>
      <c r="Y129" s="92">
        <v>1.107348057346728</v>
      </c>
      <c r="Z129" s="20">
        <v>-5.1362198086823412</v>
      </c>
      <c r="AA129" s="10">
        <v>-20.786315116506639</v>
      </c>
      <c r="AB129" s="17">
        <v>0.89601656048424527</v>
      </c>
      <c r="AC129" s="18">
        <v>0.33052047770786708</v>
      </c>
      <c r="AD129" s="21">
        <v>0.8020160893470123</v>
      </c>
      <c r="AE129" s="21">
        <v>0.96534261730005222</v>
      </c>
      <c r="AF129" s="21">
        <v>9.5690014450468628E-3</v>
      </c>
      <c r="AG129" s="21"/>
      <c r="AH129" s="21">
        <v>1.1416987806180749</v>
      </c>
      <c r="AI129" s="46"/>
    </row>
    <row r="130" spans="1:35" ht="16.2">
      <c r="A130" s="13" t="s">
        <v>77</v>
      </c>
      <c r="B130" s="13" t="s">
        <v>76</v>
      </c>
      <c r="C130" s="13">
        <v>44</v>
      </c>
      <c r="E130" s="14">
        <v>44901</v>
      </c>
      <c r="P130" s="18">
        <v>2.8299999999999999E-2</v>
      </c>
      <c r="Q130" s="18">
        <v>1.43941524038563</v>
      </c>
      <c r="R130" s="21" t="s">
        <v>50</v>
      </c>
      <c r="S130" s="21">
        <v>9.1849225368042937</v>
      </c>
      <c r="T130" s="21">
        <v>2.7192589015496038</v>
      </c>
      <c r="U130" s="21" t="s">
        <v>50</v>
      </c>
      <c r="V130" s="21">
        <v>3.334517155721161E-2</v>
      </c>
      <c r="W130" s="18">
        <v>0.86509999999999998</v>
      </c>
      <c r="Y130" s="92">
        <v>2.6033193420297689</v>
      </c>
      <c r="Z130" s="20">
        <v>-4.8938848207621906</v>
      </c>
      <c r="AA130" s="10">
        <v>-19.175257249467631</v>
      </c>
      <c r="AB130" s="17">
        <v>1.3942064223349651</v>
      </c>
      <c r="AC130" s="18">
        <v>0.59536191198831412</v>
      </c>
      <c r="AD130" s="21">
        <v>0.27267054132811591</v>
      </c>
      <c r="AE130" s="21">
        <v>0.98786006160012441</v>
      </c>
      <c r="AF130" s="21">
        <v>1.0274607468617801E-2</v>
      </c>
      <c r="AG130" s="21"/>
      <c r="AH130" s="21">
        <v>1.3176320143652791</v>
      </c>
      <c r="AI130" s="46"/>
    </row>
    <row r="131" spans="1:35" ht="16.2">
      <c r="A131" s="13" t="s">
        <v>78</v>
      </c>
      <c r="B131" s="13" t="s">
        <v>76</v>
      </c>
      <c r="C131" s="13">
        <v>44</v>
      </c>
      <c r="E131" s="14">
        <v>44901</v>
      </c>
      <c r="Y131" s="92"/>
      <c r="AC131" s="18"/>
      <c r="AD131" s="21"/>
      <c r="AE131" s="21"/>
      <c r="AF131" s="21"/>
      <c r="AG131" s="21"/>
      <c r="AH131" s="21"/>
      <c r="AI131" s="46"/>
    </row>
    <row r="132" spans="1:35" ht="16.2">
      <c r="A132" s="13" t="s">
        <v>75</v>
      </c>
      <c r="B132" s="13" t="s">
        <v>76</v>
      </c>
      <c r="C132" s="13">
        <v>45</v>
      </c>
      <c r="E132" s="14">
        <v>44908</v>
      </c>
      <c r="H132" s="16">
        <v>15.1</v>
      </c>
      <c r="I132" s="16">
        <v>5.6</v>
      </c>
      <c r="J132" s="16">
        <v>17.600000000000001</v>
      </c>
      <c r="K132" s="17">
        <v>0.68886623219814946</v>
      </c>
      <c r="P132" s="18">
        <v>1.6400000000000001E-2</v>
      </c>
      <c r="Q132" s="18">
        <v>0.70228479161221169</v>
      </c>
      <c r="R132" s="21" t="s">
        <v>50</v>
      </c>
      <c r="S132" s="21">
        <v>3.573007792062421</v>
      </c>
      <c r="T132" s="21">
        <v>1.9258463467449429</v>
      </c>
      <c r="U132" s="21" t="s">
        <v>50</v>
      </c>
      <c r="V132" s="21">
        <v>0.1390589060631153</v>
      </c>
      <c r="W132" s="18">
        <v>1.3244</v>
      </c>
      <c r="Y132" s="92">
        <v>1.070295062130312</v>
      </c>
      <c r="Z132" s="20">
        <v>-5.4792117190387426</v>
      </c>
      <c r="AA132" s="10">
        <v>-19.435596086323891</v>
      </c>
      <c r="AB132" s="17">
        <v>0.79995451182622912</v>
      </c>
      <c r="AC132" s="18">
        <v>0.29748123053101089</v>
      </c>
      <c r="AD132" s="21">
        <v>0.55312733300202466</v>
      </c>
      <c r="AE132" s="21">
        <v>0.88208528327647895</v>
      </c>
      <c r="AF132" s="21">
        <v>8.694190389683774E-3</v>
      </c>
      <c r="AG132" s="21"/>
      <c r="AH132" s="21">
        <v>0.88845607724869446</v>
      </c>
      <c r="AI132" s="46"/>
    </row>
    <row r="133" spans="1:35" ht="16.2">
      <c r="A133" s="13" t="s">
        <v>77</v>
      </c>
      <c r="B133" s="13" t="s">
        <v>76</v>
      </c>
      <c r="C133" s="13">
        <v>45</v>
      </c>
      <c r="E133" s="14">
        <v>44908</v>
      </c>
      <c r="H133" s="16">
        <v>14.9</v>
      </c>
      <c r="I133" s="16">
        <v>4.79</v>
      </c>
      <c r="J133" s="16">
        <v>32.79</v>
      </c>
      <c r="K133" s="17">
        <v>9.7181636841971092E-2</v>
      </c>
      <c r="P133" s="18">
        <v>2.9499999999999998E-2</v>
      </c>
      <c r="Q133" s="18">
        <v>1.4244474717561331</v>
      </c>
      <c r="R133" s="21" t="s">
        <v>50</v>
      </c>
      <c r="S133" s="21">
        <v>9.0808513205486463</v>
      </c>
      <c r="T133" s="21">
        <v>2.153535781784266</v>
      </c>
      <c r="U133" s="21" t="s">
        <v>50</v>
      </c>
      <c r="V133" s="21">
        <v>3.5164036863250238E-2</v>
      </c>
      <c r="W133" s="18">
        <v>0.70099999999999996</v>
      </c>
      <c r="Y133" s="92">
        <v>2.7050600416303152</v>
      </c>
      <c r="Z133" s="20">
        <v>-5.509891397452531</v>
      </c>
      <c r="AA133" s="10">
        <v>-23.937091247238339</v>
      </c>
      <c r="AB133" s="17">
        <v>1.1120961212264771</v>
      </c>
      <c r="AC133" s="18">
        <v>0.46483534002790883</v>
      </c>
      <c r="AD133" s="21">
        <v>0.23254329141929869</v>
      </c>
      <c r="AE133" s="21">
        <v>0.91565250761305028</v>
      </c>
      <c r="AF133" s="21">
        <v>9.5078093025392635E-3</v>
      </c>
      <c r="AG133" s="21"/>
      <c r="AH133" s="21">
        <v>0.9646196540476264</v>
      </c>
      <c r="AI133" s="46"/>
    </row>
    <row r="134" spans="1:35" ht="16.2">
      <c r="A134" s="13" t="s">
        <v>78</v>
      </c>
      <c r="B134" s="13" t="s">
        <v>76</v>
      </c>
      <c r="C134" s="13">
        <v>45</v>
      </c>
      <c r="E134" s="14">
        <v>44908</v>
      </c>
      <c r="Y134" s="92"/>
      <c r="AC134" s="18"/>
      <c r="AD134" s="21"/>
      <c r="AE134" s="21"/>
      <c r="AF134" s="21"/>
      <c r="AG134" s="21"/>
      <c r="AH134" s="21"/>
      <c r="AI134" s="46"/>
    </row>
    <row r="135" spans="1:35" ht="16.2">
      <c r="A135" s="13" t="s">
        <v>75</v>
      </c>
      <c r="B135" s="13" t="s">
        <v>76</v>
      </c>
      <c r="C135" s="13">
        <v>46</v>
      </c>
      <c r="E135" s="14">
        <v>44915</v>
      </c>
      <c r="H135" s="16">
        <v>16.2</v>
      </c>
      <c r="I135" s="16">
        <v>5.78</v>
      </c>
      <c r="J135" s="16">
        <v>15.33</v>
      </c>
      <c r="K135" s="17">
        <v>0.62620930477868231</v>
      </c>
      <c r="P135" s="18">
        <v>1.6899999999999998E-2</v>
      </c>
      <c r="Q135" s="18">
        <v>0.46873513904794828</v>
      </c>
      <c r="R135" s="21" t="s">
        <v>50</v>
      </c>
      <c r="S135" s="21">
        <v>3.223985556450224</v>
      </c>
      <c r="T135" s="21">
        <v>1.923659444877738</v>
      </c>
      <c r="U135" s="21" t="s">
        <v>50</v>
      </c>
      <c r="V135" s="21">
        <v>3.9948668997454549E-2</v>
      </c>
      <c r="W135" s="18">
        <v>1.0680000000000001</v>
      </c>
      <c r="Y135" s="92">
        <v>0.89579923996479427</v>
      </c>
      <c r="Z135" s="20">
        <v>-4.6615465819881061</v>
      </c>
      <c r="AA135" s="10">
        <v>-8.8053189829506415</v>
      </c>
      <c r="AB135" s="17">
        <v>0.62101773554951045</v>
      </c>
      <c r="AC135" s="18">
        <v>0.27027033969233222</v>
      </c>
      <c r="AD135" s="21">
        <v>0.42453193565408298</v>
      </c>
      <c r="AE135" s="21">
        <v>0.80368721781647501</v>
      </c>
      <c r="AF135" s="21">
        <v>7.8713787032496877E-3</v>
      </c>
      <c r="AG135" s="21"/>
      <c r="AH135" s="21">
        <v>0.75390194258448628</v>
      </c>
      <c r="AI135" s="46"/>
    </row>
    <row r="136" spans="1:35" ht="16.2">
      <c r="A136" s="13" t="s">
        <v>77</v>
      </c>
      <c r="B136" s="13" t="s">
        <v>76</v>
      </c>
      <c r="C136" s="13">
        <v>46</v>
      </c>
      <c r="E136" s="14">
        <v>44915</v>
      </c>
      <c r="H136" s="16">
        <v>13.8</v>
      </c>
      <c r="I136" s="16">
        <v>4.9000000000000004</v>
      </c>
      <c r="J136" s="16">
        <v>27.11</v>
      </c>
      <c r="K136" s="17">
        <v>-3.4258724363973987E-2</v>
      </c>
      <c r="P136" s="18">
        <v>2.7199999999999998E-2</v>
      </c>
      <c r="Q136" s="18">
        <v>1.1973166247986311</v>
      </c>
      <c r="R136" s="21" t="s">
        <v>50</v>
      </c>
      <c r="S136" s="21">
        <v>7.121007035723367</v>
      </c>
      <c r="T136" s="21">
        <v>2.0639639849540541</v>
      </c>
      <c r="U136" s="21" t="s">
        <v>50</v>
      </c>
      <c r="V136" s="21">
        <v>1.875958383169259E-2</v>
      </c>
      <c r="W136" s="18">
        <v>0.78779999999999994</v>
      </c>
      <c r="Y136" s="92">
        <v>2.0883025939094702</v>
      </c>
      <c r="Z136" s="20">
        <v>-5.3337417831890921</v>
      </c>
      <c r="AA136" s="10">
        <v>-18.4239937488253</v>
      </c>
      <c r="AB136" s="17">
        <v>1.006222122487374</v>
      </c>
      <c r="AC136" s="18">
        <v>0.3868415712545108</v>
      </c>
      <c r="AD136" s="21">
        <v>0.14608690377457581</v>
      </c>
      <c r="AE136" s="21">
        <v>0.72012394097885335</v>
      </c>
      <c r="AF136" s="21">
        <v>7.671285061202425E-3</v>
      </c>
      <c r="AG136" s="21"/>
      <c r="AH136" s="21">
        <v>0.87228143187517215</v>
      </c>
      <c r="AI136" s="46"/>
    </row>
    <row r="137" spans="1:35">
      <c r="A137" s="13" t="s">
        <v>78</v>
      </c>
      <c r="B137" s="13" t="s">
        <v>76</v>
      </c>
      <c r="C137" s="13">
        <v>46</v>
      </c>
      <c r="E137" s="14">
        <v>44915</v>
      </c>
      <c r="Y137" s="92"/>
      <c r="AC137" s="18"/>
      <c r="AD137" s="21"/>
      <c r="AE137" s="21"/>
      <c r="AF137" s="21"/>
      <c r="AG137" s="21"/>
      <c r="AH137" s="21"/>
    </row>
    <row r="138" spans="1:35">
      <c r="A138" s="13" t="s">
        <v>75</v>
      </c>
      <c r="B138" s="13" t="s">
        <v>76</v>
      </c>
      <c r="C138" s="13">
        <v>47</v>
      </c>
      <c r="E138" s="14">
        <v>44922</v>
      </c>
      <c r="P138" s="18">
        <v>2.23E-2</v>
      </c>
      <c r="Q138" s="18">
        <v>0.42701052879764778</v>
      </c>
      <c r="R138" s="21" t="s">
        <v>50</v>
      </c>
      <c r="S138" s="21">
        <v>3.5073385222354578</v>
      </c>
      <c r="T138" s="21">
        <v>2.1253411442910402</v>
      </c>
      <c r="U138" s="21" t="s">
        <v>50</v>
      </c>
      <c r="V138" s="21">
        <v>2.654422762121229E-2</v>
      </c>
      <c r="W138" s="18">
        <v>1.1623000000000001</v>
      </c>
      <c r="Y138" s="92">
        <v>1.0173295830415521</v>
      </c>
      <c r="Z138" s="20">
        <v>-4.3388928854116324</v>
      </c>
      <c r="AA138" s="10">
        <v>-3.4913637896133629</v>
      </c>
      <c r="AB138" s="17">
        <v>0.61772396437895971</v>
      </c>
      <c r="AC138" s="18">
        <v>0.29038401582299711</v>
      </c>
      <c r="AD138" s="21">
        <v>0.39278877788325289</v>
      </c>
      <c r="AE138" s="21">
        <v>0.85772968338821787</v>
      </c>
      <c r="AF138" s="21">
        <v>7.9476105349904087E-3</v>
      </c>
      <c r="AG138" s="21"/>
      <c r="AH138" s="21">
        <v>0.7856401406318001</v>
      </c>
    </row>
    <row r="139" spans="1:35">
      <c r="A139" s="13" t="s">
        <v>77</v>
      </c>
      <c r="B139" s="13" t="s">
        <v>76</v>
      </c>
      <c r="C139" s="13">
        <v>47</v>
      </c>
      <c r="E139" s="14">
        <v>44922</v>
      </c>
      <c r="P139" s="18">
        <v>2.75E-2</v>
      </c>
      <c r="Q139" s="18">
        <v>0.9860834761024635</v>
      </c>
      <c r="R139" s="21" t="s">
        <v>50</v>
      </c>
      <c r="S139" s="21">
        <v>6.1556023887691422</v>
      </c>
      <c r="T139" s="21">
        <v>2.0927943359117029</v>
      </c>
      <c r="U139" s="21" t="s">
        <v>50</v>
      </c>
      <c r="V139" s="21">
        <v>8.740416661759684E-2</v>
      </c>
      <c r="Y139" s="92"/>
      <c r="Z139" s="20">
        <v>-4.9848897095401696</v>
      </c>
      <c r="AA139" s="10">
        <v>-12.57752729828206</v>
      </c>
      <c r="AB139" s="17">
        <v>0.89220128906636531</v>
      </c>
      <c r="AC139" s="18">
        <v>0.34891401354037849</v>
      </c>
      <c r="AD139" s="21">
        <v>0.14839440905353241</v>
      </c>
      <c r="AE139" s="21">
        <v>0.75248066761491617</v>
      </c>
      <c r="AF139" s="21">
        <v>7.7376920113523592E-3</v>
      </c>
      <c r="AG139" s="21"/>
      <c r="AH139" s="21">
        <v>1.069372156355366</v>
      </c>
    </row>
    <row r="140" spans="1:35">
      <c r="A140" s="13" t="s">
        <v>78</v>
      </c>
      <c r="B140" s="13" t="s">
        <v>76</v>
      </c>
      <c r="C140" s="13">
        <v>47</v>
      </c>
      <c r="E140" s="14">
        <v>44922</v>
      </c>
      <c r="Y140" s="92"/>
      <c r="AC140" s="18"/>
      <c r="AD140" s="21"/>
      <c r="AE140" s="21"/>
      <c r="AF140" s="21"/>
      <c r="AG140" s="21"/>
      <c r="AH140" s="21"/>
    </row>
    <row r="141" spans="1:35">
      <c r="A141" s="13" t="s">
        <v>75</v>
      </c>
      <c r="B141" s="13" t="s">
        <v>76</v>
      </c>
      <c r="C141" s="13">
        <v>48</v>
      </c>
      <c r="E141" s="14">
        <v>44929</v>
      </c>
      <c r="W141" s="18">
        <v>0.67642131760850066</v>
      </c>
      <c r="Y141" s="92"/>
      <c r="Z141" s="20">
        <v>-4.6143205601601398</v>
      </c>
      <c r="AA141" s="10">
        <v>-6.0369366502506576</v>
      </c>
      <c r="AB141" s="17">
        <v>0.58565591522467886</v>
      </c>
      <c r="AC141" s="18">
        <v>0.1975345381029949</v>
      </c>
      <c r="AD141" s="21">
        <v>0.366677381912341</v>
      </c>
      <c r="AE141" s="21">
        <v>0.70387914879159941</v>
      </c>
      <c r="AF141" s="21">
        <v>7.1424887683573376E-3</v>
      </c>
      <c r="AG141" s="21"/>
      <c r="AH141" s="21">
        <v>0.97904034713465538</v>
      </c>
    </row>
    <row r="142" spans="1:35">
      <c r="A142" s="13" t="s">
        <v>77</v>
      </c>
      <c r="B142" s="13" t="s">
        <v>76</v>
      </c>
      <c r="C142" s="13">
        <v>48</v>
      </c>
      <c r="E142" s="14">
        <v>44929</v>
      </c>
      <c r="H142" s="16">
        <v>19.600000000000001</v>
      </c>
      <c r="I142" s="16">
        <v>4.87</v>
      </c>
      <c r="J142" s="16">
        <v>21.06</v>
      </c>
      <c r="K142" s="17">
        <v>2.099242081994283E-2</v>
      </c>
      <c r="P142" s="18">
        <v>2.1600000000000001E-2</v>
      </c>
      <c r="Q142" s="18">
        <v>0.90273084829921324</v>
      </c>
      <c r="R142" s="21" t="s">
        <v>50</v>
      </c>
      <c r="S142" s="21">
        <v>5.270320814620681</v>
      </c>
      <c r="T142" s="21">
        <v>2.0473462550724331</v>
      </c>
      <c r="U142" s="21" t="s">
        <v>50</v>
      </c>
      <c r="V142" s="21">
        <v>1.132924287211615E-2</v>
      </c>
      <c r="Y142" s="92">
        <v>1.3763994694253641</v>
      </c>
      <c r="Z142" s="20">
        <v>-4.6987758546700071</v>
      </c>
      <c r="AA142" s="10">
        <v>-10.442072631289751</v>
      </c>
      <c r="AB142" s="17">
        <v>0.80980402748676727</v>
      </c>
      <c r="AC142" s="18">
        <v>0.28044121842158759</v>
      </c>
      <c r="AD142" s="21">
        <v>9.1206407995722688E-2</v>
      </c>
      <c r="AE142" s="21">
        <v>0.53879062284092316</v>
      </c>
      <c r="AF142" s="21">
        <v>6.20364962752557E-3</v>
      </c>
      <c r="AG142" s="21"/>
      <c r="AH142" s="21">
        <v>0.923426147956112</v>
      </c>
    </row>
    <row r="143" spans="1:35">
      <c r="A143" s="13" t="s">
        <v>78</v>
      </c>
      <c r="B143" s="13" t="s">
        <v>76</v>
      </c>
      <c r="C143" s="13">
        <v>48</v>
      </c>
      <c r="E143" s="14">
        <v>44929</v>
      </c>
      <c r="Y143" s="92"/>
      <c r="AC143" s="18"/>
      <c r="AD143" s="21"/>
      <c r="AE143" s="21"/>
      <c r="AF143" s="21"/>
      <c r="AG143" s="21"/>
      <c r="AH143" s="21"/>
    </row>
    <row r="144" spans="1:35">
      <c r="A144" s="13" t="s">
        <v>75</v>
      </c>
      <c r="B144" s="13" t="s">
        <v>76</v>
      </c>
      <c r="C144" s="13">
        <v>49</v>
      </c>
      <c r="E144" s="14">
        <v>44936</v>
      </c>
      <c r="H144" s="16">
        <v>21</v>
      </c>
      <c r="I144" s="16">
        <v>5.39</v>
      </c>
      <c r="J144" s="16">
        <v>13.08</v>
      </c>
      <c r="K144" s="17">
        <v>0.31385691790289111</v>
      </c>
      <c r="P144" s="18">
        <v>1.43E-2</v>
      </c>
      <c r="Q144" s="18">
        <v>0.44008825132947049</v>
      </c>
      <c r="R144" s="21" t="s">
        <v>50</v>
      </c>
      <c r="S144" s="21">
        <v>2.4046515712314291</v>
      </c>
      <c r="T144" s="21">
        <v>1.7136878243559319</v>
      </c>
      <c r="U144" s="21" t="s">
        <v>50</v>
      </c>
      <c r="V144" s="21">
        <v>2.1703096110136239E-2</v>
      </c>
      <c r="W144" s="18">
        <v>1.0481424692933521</v>
      </c>
      <c r="Y144" s="92">
        <v>0.5722166383301075</v>
      </c>
      <c r="Z144" s="20">
        <v>-4.5261642581988877</v>
      </c>
      <c r="AA144" s="10">
        <v>-5.6885370727034417</v>
      </c>
      <c r="AB144" s="17">
        <v>0.47909993811548163</v>
      </c>
      <c r="AC144" s="18">
        <v>0.25346130502000969</v>
      </c>
      <c r="AD144" s="21">
        <v>0.26842570784854253</v>
      </c>
      <c r="AE144" s="21">
        <v>0.71830457711456086</v>
      </c>
      <c r="AF144" s="21">
        <v>1.160439188587635E-2</v>
      </c>
      <c r="AG144" s="21"/>
      <c r="AH144" s="21">
        <v>0.79947316951259662</v>
      </c>
    </row>
    <row r="145" spans="1:34">
      <c r="A145" s="13" t="s">
        <v>77</v>
      </c>
      <c r="B145" s="13" t="s">
        <v>76</v>
      </c>
      <c r="C145" s="13">
        <v>49</v>
      </c>
      <c r="E145" s="14">
        <v>44936</v>
      </c>
      <c r="H145" s="16">
        <v>17.3</v>
      </c>
      <c r="I145" s="16">
        <v>4.9000000000000004</v>
      </c>
      <c r="J145" s="16">
        <v>25.26</v>
      </c>
      <c r="K145" s="17">
        <v>-3.4216597238285983E-2</v>
      </c>
      <c r="P145" s="18">
        <v>2.6599999999999999E-2</v>
      </c>
      <c r="Q145" s="18">
        <v>0.71081820420219055</v>
      </c>
      <c r="R145" s="21" t="s">
        <v>50</v>
      </c>
      <c r="S145" s="21">
        <v>7.0794285407313078</v>
      </c>
      <c r="T145" s="21">
        <v>1.931082586274115</v>
      </c>
      <c r="U145" s="21" t="s">
        <v>50</v>
      </c>
      <c r="V145" s="21">
        <v>1.75535548149282E-2</v>
      </c>
      <c r="W145" s="18">
        <v>0.606962019248934</v>
      </c>
      <c r="Y145" s="92">
        <v>1.9399307791949829</v>
      </c>
      <c r="Z145" s="20">
        <v>-4.4616896876562802</v>
      </c>
      <c r="AA145" s="10">
        <v>-5.2294984519300147</v>
      </c>
      <c r="AB145" s="17">
        <v>0.79207253762134966</v>
      </c>
      <c r="AC145" s="18">
        <v>0.47686691832440592</v>
      </c>
      <c r="AD145" s="21">
        <v>0.12446421839944639</v>
      </c>
      <c r="AE145" s="21">
        <v>0.63286923407058437</v>
      </c>
      <c r="AF145" s="21">
        <v>1.164257753542801E-2</v>
      </c>
      <c r="AG145" s="21"/>
      <c r="AH145" s="21">
        <v>0.77654912549789989</v>
      </c>
    </row>
    <row r="146" spans="1:34">
      <c r="A146" s="13" t="s">
        <v>78</v>
      </c>
      <c r="B146" s="13" t="s">
        <v>76</v>
      </c>
      <c r="C146" s="13">
        <v>49</v>
      </c>
      <c r="E146" s="14">
        <v>44936</v>
      </c>
      <c r="Y146" s="92"/>
      <c r="AC146" s="18"/>
      <c r="AD146" s="21"/>
      <c r="AE146" s="21"/>
      <c r="AF146" s="21"/>
      <c r="AG146" s="21"/>
      <c r="AH146" s="21"/>
    </row>
    <row r="147" spans="1:34">
      <c r="A147" s="13" t="s">
        <v>75</v>
      </c>
      <c r="B147" s="13" t="s">
        <v>76</v>
      </c>
      <c r="C147" s="13">
        <v>50</v>
      </c>
      <c r="E147" s="14">
        <v>44943</v>
      </c>
      <c r="H147" s="16">
        <v>18.8</v>
      </c>
      <c r="I147" s="16">
        <v>5.58</v>
      </c>
      <c r="J147" s="16">
        <v>12.99</v>
      </c>
      <c r="K147" s="17">
        <v>0.29481635367564168</v>
      </c>
      <c r="P147" s="18" t="s">
        <v>50</v>
      </c>
      <c r="Q147" s="18">
        <v>0.38547759165459539</v>
      </c>
      <c r="R147" s="21" t="s">
        <v>50</v>
      </c>
      <c r="S147" s="21">
        <v>2.7388125468012889</v>
      </c>
      <c r="T147" s="21">
        <v>1.837122668648038</v>
      </c>
      <c r="U147" s="21" t="s">
        <v>50</v>
      </c>
      <c r="V147" s="21">
        <v>2.0096895856155931E-2</v>
      </c>
      <c r="W147" s="18">
        <v>1.122968703721922</v>
      </c>
      <c r="Y147" s="92">
        <v>0.75936861049015414</v>
      </c>
      <c r="Z147" s="20">
        <v>-4.3687908440787604</v>
      </c>
      <c r="AA147" s="10">
        <v>-4.7115038687261492</v>
      </c>
      <c r="AB147" s="17">
        <v>0.47814047708363011</v>
      </c>
      <c r="AC147" s="18">
        <v>0.28442682871889641</v>
      </c>
      <c r="AD147" s="21">
        <v>0.29432917397689579</v>
      </c>
      <c r="AE147" s="21">
        <v>0.77230773892276083</v>
      </c>
      <c r="AF147" s="21">
        <v>1.205209274641538E-2</v>
      </c>
      <c r="AG147" s="21"/>
      <c r="AH147" s="21">
        <v>0.84285461700944775</v>
      </c>
    </row>
    <row r="148" spans="1:34">
      <c r="A148" s="13" t="s">
        <v>77</v>
      </c>
      <c r="B148" s="13" t="s">
        <v>76</v>
      </c>
      <c r="C148" s="13">
        <v>50</v>
      </c>
      <c r="E148" s="14">
        <v>44943</v>
      </c>
      <c r="H148" s="16">
        <v>17.5</v>
      </c>
      <c r="I148" s="16">
        <v>4.91</v>
      </c>
      <c r="J148" s="16">
        <v>20.27</v>
      </c>
      <c r="K148" s="17">
        <v>-7.2965147226862606E-2</v>
      </c>
      <c r="P148" s="18">
        <v>2.24E-2</v>
      </c>
      <c r="Q148" s="18">
        <v>0.66109070004543014</v>
      </c>
      <c r="R148" s="21" t="s">
        <v>50</v>
      </c>
      <c r="S148" s="21">
        <v>5.2939431290298318</v>
      </c>
      <c r="T148" s="21">
        <v>1.885719259053912</v>
      </c>
      <c r="U148" s="21" t="s">
        <v>50</v>
      </c>
      <c r="V148" s="21">
        <v>1.167459646938503E-2</v>
      </c>
      <c r="W148" s="18">
        <v>0.56431265622608018</v>
      </c>
      <c r="Y148" s="92">
        <v>1.4036768967133739</v>
      </c>
      <c r="Z148" s="20">
        <v>-4.5757334172719686</v>
      </c>
      <c r="AA148" s="10">
        <v>-6.1029327392665369</v>
      </c>
      <c r="AB148" s="17">
        <v>0.67950831894232677</v>
      </c>
      <c r="AC148" s="18">
        <v>0.37580413824545722</v>
      </c>
      <c r="AD148" s="21">
        <v>9.8662850445575684E-2</v>
      </c>
      <c r="AE148" s="21">
        <v>0.53735730212001909</v>
      </c>
      <c r="AF148" s="21">
        <v>1.091773602238379E-2</v>
      </c>
      <c r="AG148" s="21"/>
      <c r="AH148" s="21">
        <v>0.78435565323957102</v>
      </c>
    </row>
    <row r="149" spans="1:34">
      <c r="A149" s="13" t="s">
        <v>78</v>
      </c>
      <c r="B149" s="13" t="s">
        <v>76</v>
      </c>
      <c r="C149" s="13">
        <v>50</v>
      </c>
      <c r="E149" s="14">
        <v>44943</v>
      </c>
      <c r="Y149" s="92"/>
      <c r="AC149" s="18"/>
      <c r="AD149" s="21"/>
      <c r="AE149" s="21"/>
      <c r="AF149" s="21"/>
      <c r="AG149" s="21"/>
      <c r="AH149" s="21"/>
    </row>
    <row r="150" spans="1:34">
      <c r="A150" s="13" t="s">
        <v>75</v>
      </c>
      <c r="B150" s="13" t="s">
        <v>76</v>
      </c>
      <c r="C150" s="13">
        <v>51</v>
      </c>
      <c r="E150" s="14">
        <v>44957</v>
      </c>
      <c r="H150" s="16">
        <v>16.8</v>
      </c>
      <c r="I150" s="16">
        <v>5.58</v>
      </c>
      <c r="J150" s="16">
        <v>13.77</v>
      </c>
      <c r="K150" s="17">
        <v>0.40691020620468049</v>
      </c>
      <c r="P150" s="18" t="s">
        <v>50</v>
      </c>
      <c r="Q150" s="18">
        <v>0.53006104834587531</v>
      </c>
      <c r="R150" s="21" t="s">
        <v>50</v>
      </c>
      <c r="S150" s="21">
        <v>2.7824617798926661</v>
      </c>
      <c r="T150" s="21">
        <v>1.6780137172333569</v>
      </c>
      <c r="U150" s="21" t="s">
        <v>50</v>
      </c>
      <c r="V150" s="21">
        <v>2.7817336960695941E-2</v>
      </c>
      <c r="W150" s="18">
        <v>1.0346500034777319</v>
      </c>
      <c r="Y150" s="92">
        <v>0.74439979027657133</v>
      </c>
      <c r="Z150" s="20">
        <v>-4.311249023056865</v>
      </c>
      <c r="AA150" s="10">
        <v>-4.3420919422833908</v>
      </c>
      <c r="AB150" s="17">
        <v>0.46070012141145478</v>
      </c>
      <c r="AC150" s="18">
        <v>0.31795498045997372</v>
      </c>
      <c r="AD150" s="21">
        <v>0.26643303779657818</v>
      </c>
      <c r="AE150" s="21">
        <v>0.8331446660753099</v>
      </c>
      <c r="AF150" s="21">
        <v>1.2221688132270019E-2</v>
      </c>
      <c r="AG150" s="21"/>
      <c r="AH150" s="21">
        <v>0.79714124431848177</v>
      </c>
    </row>
    <row r="151" spans="1:34">
      <c r="A151" s="13" t="s">
        <v>77</v>
      </c>
      <c r="B151" s="13" t="s">
        <v>76</v>
      </c>
      <c r="C151" s="13">
        <v>51</v>
      </c>
      <c r="E151" s="14">
        <v>44957</v>
      </c>
      <c r="Y151" s="92"/>
      <c r="AC151" s="18"/>
      <c r="AD151" s="21"/>
      <c r="AE151" s="21"/>
      <c r="AF151" s="21"/>
      <c r="AG151" s="21"/>
      <c r="AH151" s="21"/>
    </row>
    <row r="152" spans="1:34">
      <c r="A152" s="13" t="s">
        <v>78</v>
      </c>
      <c r="B152" s="13" t="s">
        <v>76</v>
      </c>
      <c r="C152" s="13">
        <v>51</v>
      </c>
      <c r="E152" s="14">
        <v>44957</v>
      </c>
      <c r="Y152" s="92"/>
      <c r="AC152" s="18"/>
      <c r="AD152" s="21"/>
      <c r="AE152" s="21"/>
      <c r="AF152" s="21"/>
      <c r="AG152" s="21"/>
      <c r="AH152" s="21"/>
    </row>
    <row r="153" spans="1:34">
      <c r="A153" s="13" t="s">
        <v>75</v>
      </c>
      <c r="B153" s="13" t="s">
        <v>76</v>
      </c>
      <c r="C153" s="13">
        <v>52</v>
      </c>
      <c r="E153" s="14">
        <v>44964</v>
      </c>
      <c r="P153" s="18">
        <v>1.67E-2</v>
      </c>
      <c r="Q153" s="18">
        <v>0.59643459243803287</v>
      </c>
      <c r="R153" s="21" t="s">
        <v>50</v>
      </c>
      <c r="S153" s="21">
        <v>4.9104902356915368</v>
      </c>
      <c r="T153" s="21">
        <v>1.632447011091603</v>
      </c>
      <c r="U153" s="21" t="s">
        <v>50</v>
      </c>
      <c r="V153" s="21">
        <v>0.1183570553684832</v>
      </c>
      <c r="Y153" s="92">
        <v>2.460055844777278</v>
      </c>
      <c r="Z153" s="20">
        <v>-4.1790326061040739</v>
      </c>
      <c r="AA153" s="10">
        <v>-2.8382841408884438</v>
      </c>
      <c r="AB153" s="17">
        <v>0.52101808908600067</v>
      </c>
      <c r="AC153" s="18">
        <v>0.24494192148518909</v>
      </c>
      <c r="AD153" s="21">
        <v>0.32573884521934487</v>
      </c>
      <c r="AE153" s="21">
        <v>0.87386642222457489</v>
      </c>
      <c r="AF153" s="21">
        <v>1.9069730314295361E-2</v>
      </c>
      <c r="AG153" s="21"/>
      <c r="AH153" s="21">
        <v>1.0572094373796459</v>
      </c>
    </row>
    <row r="154" spans="1:34">
      <c r="A154" s="13" t="s">
        <v>77</v>
      </c>
      <c r="B154" s="13" t="s">
        <v>76</v>
      </c>
      <c r="C154" s="13">
        <v>52</v>
      </c>
      <c r="E154" s="14">
        <v>44964</v>
      </c>
      <c r="Y154" s="92"/>
      <c r="AC154" s="18"/>
      <c r="AD154" s="21"/>
      <c r="AE154" s="21"/>
      <c r="AF154" s="21"/>
      <c r="AG154" s="21"/>
      <c r="AH154" s="21"/>
    </row>
    <row r="155" spans="1:34">
      <c r="A155" s="13" t="s">
        <v>78</v>
      </c>
      <c r="B155" s="13" t="s">
        <v>76</v>
      </c>
      <c r="C155" s="13">
        <v>52</v>
      </c>
      <c r="E155" s="14">
        <v>44964</v>
      </c>
      <c r="Y155" s="92"/>
      <c r="AC155" s="18"/>
      <c r="AD155" s="21"/>
      <c r="AE155" s="21"/>
      <c r="AF155" s="21"/>
      <c r="AG155" s="21"/>
      <c r="AH155" s="21"/>
    </row>
    <row r="156" spans="1:34">
      <c r="A156" s="13" t="s">
        <v>75</v>
      </c>
      <c r="B156" s="13" t="s">
        <v>76</v>
      </c>
      <c r="C156" s="13">
        <v>53</v>
      </c>
      <c r="E156" s="14">
        <v>44971</v>
      </c>
      <c r="H156" s="16">
        <v>16.3</v>
      </c>
      <c r="I156" s="16">
        <v>5.25</v>
      </c>
      <c r="J156" s="16">
        <v>16.12</v>
      </c>
      <c r="P156" s="18">
        <v>0.41358439018305632</v>
      </c>
      <c r="Q156" s="18">
        <v>0.80389864882417239</v>
      </c>
      <c r="R156" s="21">
        <v>1.10116416727262E-3</v>
      </c>
      <c r="S156" s="21">
        <v>3.650698353292491</v>
      </c>
      <c r="T156" s="21">
        <v>1.589920891522963</v>
      </c>
      <c r="U156" s="21" t="s">
        <v>50</v>
      </c>
      <c r="V156" s="21">
        <v>1.4776124074682701E-2</v>
      </c>
      <c r="W156" s="18">
        <v>1.0941469296953641</v>
      </c>
      <c r="Y156" s="92">
        <v>1.6508550521355849</v>
      </c>
      <c r="Z156" s="20">
        <v>-3.8752807181015569</v>
      </c>
      <c r="AA156" s="10">
        <v>-0.36862662184027339</v>
      </c>
      <c r="AB156" s="17">
        <v>0.50780325426100437</v>
      </c>
      <c r="AC156" s="18">
        <v>0.22258850525637999</v>
      </c>
      <c r="AD156" s="21">
        <v>0.35429862474501772</v>
      </c>
      <c r="AE156" s="21">
        <v>1.0232106256905791</v>
      </c>
      <c r="AF156" s="21">
        <v>1.9153285569449129E-2</v>
      </c>
      <c r="AG156" s="21"/>
      <c r="AH156" s="21">
        <v>0.90275338811841943</v>
      </c>
    </row>
    <row r="157" spans="1:34">
      <c r="A157" s="13" t="s">
        <v>77</v>
      </c>
      <c r="B157" s="13" t="s">
        <v>76</v>
      </c>
      <c r="C157" s="13">
        <v>53</v>
      </c>
      <c r="E157" s="14">
        <v>44971</v>
      </c>
      <c r="H157" s="16">
        <v>13.1</v>
      </c>
      <c r="I157" s="16">
        <v>5.01</v>
      </c>
      <c r="J157" s="16">
        <v>13.5</v>
      </c>
      <c r="K157" s="17">
        <v>-0.13203022451719071</v>
      </c>
      <c r="P157" s="18">
        <v>0.40999006314485359</v>
      </c>
      <c r="Q157" s="18">
        <v>0.56206726696185172</v>
      </c>
      <c r="R157" s="21" t="s">
        <v>50</v>
      </c>
      <c r="S157" s="21">
        <v>1.4989738026399</v>
      </c>
      <c r="T157" s="21">
        <v>2.1683860299028179</v>
      </c>
      <c r="U157" s="21" t="s">
        <v>50</v>
      </c>
      <c r="V157" s="21">
        <v>9.2531730754182653E-3</v>
      </c>
      <c r="W157" s="18">
        <v>0.62008728294236104</v>
      </c>
      <c r="Y157" s="92">
        <v>0.67078973278665432</v>
      </c>
      <c r="Z157" s="20">
        <v>-4.2187888807680087</v>
      </c>
      <c r="AA157" s="10">
        <v>-4.3880817254314506</v>
      </c>
      <c r="AB157" s="17">
        <v>0.58808170362653522</v>
      </c>
      <c r="AC157" s="18">
        <v>5.8986915207580003E-2</v>
      </c>
      <c r="AD157" s="21">
        <v>0.10532010786853251</v>
      </c>
      <c r="AE157" s="21">
        <v>0.31149239611767449</v>
      </c>
      <c r="AF157" s="21">
        <v>1.6706948293342339E-2</v>
      </c>
      <c r="AG157" s="21"/>
      <c r="AH157" s="21">
        <v>0.87004973905197658</v>
      </c>
    </row>
    <row r="158" spans="1:34">
      <c r="A158" s="13" t="s">
        <v>78</v>
      </c>
      <c r="B158" s="13" t="s">
        <v>76</v>
      </c>
      <c r="C158" s="13">
        <v>53</v>
      </c>
      <c r="E158" s="14">
        <v>44971</v>
      </c>
      <c r="Y158" s="92"/>
      <c r="AC158" s="18"/>
      <c r="AD158" s="21"/>
      <c r="AE158" s="21"/>
      <c r="AF158" s="21"/>
      <c r="AG158" s="21"/>
      <c r="AH158" s="21"/>
    </row>
    <row r="159" spans="1:34">
      <c r="A159" s="13" t="s">
        <v>75</v>
      </c>
      <c r="B159" s="13" t="s">
        <v>76</v>
      </c>
      <c r="C159" s="13">
        <v>54</v>
      </c>
      <c r="E159" s="14">
        <v>44978</v>
      </c>
      <c r="H159" s="16">
        <v>19.399999999999999</v>
      </c>
      <c r="I159" s="16">
        <v>5.34</v>
      </c>
      <c r="J159" s="16">
        <v>19.09</v>
      </c>
      <c r="P159" s="18">
        <v>0.40983777452521608</v>
      </c>
      <c r="Q159" s="18">
        <v>1.5492901455197821</v>
      </c>
      <c r="R159" s="21" t="s">
        <v>50</v>
      </c>
      <c r="S159" s="21">
        <v>4.0722059068115932</v>
      </c>
      <c r="T159" s="21">
        <v>1.50214582913197</v>
      </c>
      <c r="U159" s="21" t="s">
        <v>50</v>
      </c>
      <c r="V159" s="21">
        <v>2.311419317269231E-2</v>
      </c>
      <c r="W159" s="18">
        <v>0.92829384043693663</v>
      </c>
      <c r="Y159" s="92">
        <v>1.65949108396294</v>
      </c>
      <c r="Z159" s="20">
        <v>-3.9024823797137218</v>
      </c>
      <c r="AA159" s="10">
        <v>-1.347157219829352</v>
      </c>
      <c r="AB159" s="17">
        <v>0.58214978577453003</v>
      </c>
      <c r="AC159" s="18">
        <v>0.30191868655743259</v>
      </c>
      <c r="AD159" s="21">
        <v>0.27616481257049902</v>
      </c>
      <c r="AE159" s="21">
        <v>1.048473529773988</v>
      </c>
      <c r="AF159" s="21">
        <v>1.99945846569787E-2</v>
      </c>
      <c r="AG159" s="21"/>
      <c r="AH159" s="21">
        <v>0.8928260698797239</v>
      </c>
    </row>
    <row r="160" spans="1:34">
      <c r="A160" s="13" t="s">
        <v>77</v>
      </c>
      <c r="B160" s="13" t="s">
        <v>76</v>
      </c>
      <c r="C160" s="13">
        <v>54</v>
      </c>
      <c r="E160" s="14">
        <v>44978</v>
      </c>
      <c r="P160" s="18">
        <v>0.26447952887227338</v>
      </c>
      <c r="Q160" s="18">
        <v>0.74884413936047323</v>
      </c>
      <c r="R160" s="21">
        <v>1.10116416727262E-3</v>
      </c>
      <c r="S160" s="21">
        <v>1.3743992656036881</v>
      </c>
      <c r="T160" s="21">
        <v>2.184814096522004</v>
      </c>
      <c r="U160" s="21" t="s">
        <v>50</v>
      </c>
      <c r="V160" s="21">
        <v>2.7874525669961459E-2</v>
      </c>
      <c r="W160" s="18">
        <v>0.7511083922503673</v>
      </c>
      <c r="Y160" s="92">
        <v>0.62234944090591093</v>
      </c>
      <c r="Z160" s="20">
        <v>-4.2574989376776289</v>
      </c>
      <c r="AA160" s="10">
        <v>-3.891954360532361</v>
      </c>
      <c r="AB160" s="17">
        <v>0.51709978119449262</v>
      </c>
      <c r="AC160" s="18">
        <v>4.9312889976434363E-2</v>
      </c>
      <c r="AD160" s="21">
        <v>6.3419077479972441E-2</v>
      </c>
      <c r="AE160" s="21">
        <v>0.29027803665086338</v>
      </c>
      <c r="AF160" s="21">
        <v>1.6430143291652578E-2</v>
      </c>
      <c r="AG160" s="21"/>
      <c r="AH160" s="21">
        <v>1.093478298493757</v>
      </c>
    </row>
    <row r="161" spans="1:34">
      <c r="A161" s="13" t="s">
        <v>78</v>
      </c>
      <c r="B161" s="13" t="s">
        <v>76</v>
      </c>
      <c r="C161" s="13">
        <v>54</v>
      </c>
      <c r="E161" s="14">
        <v>44978</v>
      </c>
      <c r="Y161" s="92"/>
      <c r="AC161" s="18"/>
      <c r="AD161" s="21"/>
      <c r="AE161" s="21"/>
      <c r="AF161" s="21"/>
      <c r="AG161" s="21"/>
      <c r="AH161" s="21"/>
    </row>
    <row r="162" spans="1:34">
      <c r="A162" s="13" t="s">
        <v>75</v>
      </c>
      <c r="B162" s="13" t="s">
        <v>76</v>
      </c>
      <c r="C162" s="13">
        <v>55</v>
      </c>
      <c r="E162" s="14">
        <v>44986</v>
      </c>
      <c r="H162" s="16">
        <v>16.399999999999999</v>
      </c>
      <c r="I162" s="16">
        <v>5.19</v>
      </c>
      <c r="J162" s="16">
        <v>18.57</v>
      </c>
      <c r="K162" s="17">
        <v>-9.3189633025553095E-2</v>
      </c>
      <c r="P162" s="18">
        <v>4.3142260492071829E-2</v>
      </c>
      <c r="Q162" s="18">
        <v>1.8288495968790499</v>
      </c>
      <c r="R162" s="21" t="s">
        <v>50</v>
      </c>
      <c r="S162" s="21">
        <v>3.9387836988245222</v>
      </c>
      <c r="T162" s="21">
        <v>1.37543870123279</v>
      </c>
      <c r="U162" s="21">
        <v>6.4078977198562814E-2</v>
      </c>
      <c r="V162" s="21">
        <v>1.1639425883322471E-2</v>
      </c>
      <c r="W162" s="18">
        <v>0.97268796456280238</v>
      </c>
      <c r="Y162" s="92">
        <v>1.7258486373628481</v>
      </c>
      <c r="Z162" s="20">
        <v>-3.6831253905592058</v>
      </c>
      <c r="AA162" s="10">
        <v>-0.94229533146079802</v>
      </c>
      <c r="AB162" s="17">
        <v>0.67957337844550425</v>
      </c>
      <c r="AC162" s="18">
        <v>0.25396934587716752</v>
      </c>
      <c r="AD162" s="21">
        <v>0.25194205825944321</v>
      </c>
      <c r="AE162" s="21">
        <v>0.94943909168692375</v>
      </c>
      <c r="AF162" s="21">
        <v>1.9596816492058119E-2</v>
      </c>
      <c r="AG162" s="21"/>
      <c r="AH162" s="21">
        <v>0.80409972542376695</v>
      </c>
    </row>
    <row r="163" spans="1:34">
      <c r="A163" s="13" t="s">
        <v>77</v>
      </c>
      <c r="B163" s="13" t="s">
        <v>76</v>
      </c>
      <c r="C163" s="13">
        <v>55</v>
      </c>
      <c r="E163" s="14">
        <v>44986</v>
      </c>
      <c r="H163" s="16">
        <v>20.3</v>
      </c>
      <c r="I163" s="16">
        <v>4.88</v>
      </c>
      <c r="J163" s="16">
        <v>15.55</v>
      </c>
      <c r="P163" s="18">
        <v>4.4311152015111738E-2</v>
      </c>
      <c r="Q163" s="18">
        <v>0.96400034320917305</v>
      </c>
      <c r="R163" s="21" t="s">
        <v>50</v>
      </c>
      <c r="S163" s="21">
        <v>1.7422108162000609</v>
      </c>
      <c r="T163" s="21">
        <v>2.3243298956296621</v>
      </c>
      <c r="U163" s="21">
        <v>9.9812678762397439E-2</v>
      </c>
      <c r="V163" s="21">
        <v>2.254947406975014E-2</v>
      </c>
      <c r="Y163" s="92">
        <v>0.70719887610841847</v>
      </c>
      <c r="Z163" s="20">
        <v>-4.1009150137819574</v>
      </c>
      <c r="AA163" s="10">
        <v>-2.8036307080704561</v>
      </c>
      <c r="AB163" s="17">
        <v>0.57929004281673591</v>
      </c>
      <c r="AC163" s="18">
        <v>7.6315663001041076E-2</v>
      </c>
      <c r="AD163" s="21">
        <v>8.1607783275982115E-2</v>
      </c>
      <c r="AE163" s="21">
        <v>0.36542465829218868</v>
      </c>
      <c r="AF163" s="21">
        <v>1.6739834403514699E-2</v>
      </c>
      <c r="AG163" s="21"/>
      <c r="AH163" s="21">
        <v>1.1429673103589439</v>
      </c>
    </row>
    <row r="164" spans="1:34">
      <c r="A164" s="13" t="s">
        <v>78</v>
      </c>
      <c r="B164" s="13" t="s">
        <v>76</v>
      </c>
      <c r="C164" s="13">
        <v>55</v>
      </c>
      <c r="E164" s="14">
        <v>44986</v>
      </c>
      <c r="Y164" s="92"/>
      <c r="AC164" s="18"/>
      <c r="AD164" s="21"/>
      <c r="AE164" s="21"/>
      <c r="AF164" s="21"/>
      <c r="AG164" s="21"/>
      <c r="AH164" s="21"/>
    </row>
    <row r="165" spans="1:34">
      <c r="A165" s="13" t="s">
        <v>75</v>
      </c>
      <c r="B165" s="13" t="s">
        <v>76</v>
      </c>
      <c r="C165" s="13">
        <v>56</v>
      </c>
      <c r="E165" s="14">
        <v>44991</v>
      </c>
      <c r="H165" s="16">
        <v>19.600000000000001</v>
      </c>
      <c r="I165" s="16">
        <v>5.46</v>
      </c>
      <c r="J165" s="16">
        <v>16.97</v>
      </c>
      <c r="P165" s="18">
        <v>4.4441026965450811E-2</v>
      </c>
      <c r="Q165" s="18">
        <v>1.600535271023624</v>
      </c>
      <c r="R165" s="21" t="s">
        <v>50</v>
      </c>
      <c r="S165" s="21">
        <v>3.2335643449768541</v>
      </c>
      <c r="T165" s="21">
        <v>1.42955104703241</v>
      </c>
      <c r="U165" s="21" t="s">
        <v>50</v>
      </c>
      <c r="V165" s="21">
        <v>4.027830237269512E-2</v>
      </c>
      <c r="Y165" s="92">
        <v>1.254341261415902</v>
      </c>
      <c r="Z165" s="20">
        <v>-3.5338649909437319</v>
      </c>
      <c r="AA165" s="10">
        <v>-2.6209533203141792E-2</v>
      </c>
      <c r="AB165" s="17">
        <v>0.67603939800959389</v>
      </c>
      <c r="AC165" s="18">
        <v>0.1811213857194057</v>
      </c>
      <c r="AD165" s="21">
        <v>0.23755018684068541</v>
      </c>
      <c r="AE165" s="21">
        <v>0.74779725311325562</v>
      </c>
      <c r="AF165" s="21">
        <v>1.869071510645488E-2</v>
      </c>
      <c r="AG165" s="21"/>
      <c r="AH165" s="21">
        <v>0.91479470300433074</v>
      </c>
    </row>
    <row r="166" spans="1:34">
      <c r="A166" s="13" t="s">
        <v>77</v>
      </c>
      <c r="B166" s="13" t="s">
        <v>76</v>
      </c>
      <c r="C166" s="13">
        <v>56</v>
      </c>
      <c r="E166" s="14">
        <v>44991</v>
      </c>
      <c r="Y166" s="92"/>
      <c r="AC166" s="18"/>
      <c r="AD166" s="21"/>
      <c r="AE166" s="21"/>
      <c r="AF166" s="21"/>
      <c r="AG166" s="21"/>
      <c r="AH166" s="21"/>
    </row>
    <row r="167" spans="1:34">
      <c r="A167" s="13" t="s">
        <v>78</v>
      </c>
      <c r="B167" s="13" t="s">
        <v>76</v>
      </c>
      <c r="C167" s="13">
        <v>56</v>
      </c>
      <c r="E167" s="14">
        <v>44991</v>
      </c>
      <c r="Y167" s="92"/>
      <c r="AC167" s="18"/>
      <c r="AD167" s="21"/>
      <c r="AE167" s="21"/>
      <c r="AF167" s="21"/>
      <c r="AG167" s="21"/>
      <c r="AH167" s="21"/>
    </row>
    <row r="168" spans="1:34">
      <c r="A168" s="13" t="s">
        <v>75</v>
      </c>
      <c r="B168" s="13" t="s">
        <v>76</v>
      </c>
      <c r="C168" s="13">
        <v>57</v>
      </c>
      <c r="E168" s="14">
        <v>44999</v>
      </c>
      <c r="P168" s="18">
        <v>6.6709002772030929E-2</v>
      </c>
      <c r="Q168" s="18">
        <v>1.938240631367957</v>
      </c>
      <c r="R168" s="21" t="s">
        <v>50</v>
      </c>
      <c r="S168" s="21">
        <v>4.2638719971108836</v>
      </c>
      <c r="T168" s="21">
        <v>1.538063687901569</v>
      </c>
      <c r="U168" s="21">
        <v>0.17338206433499809</v>
      </c>
      <c r="V168" s="21">
        <v>7.573595897858508E-2</v>
      </c>
      <c r="Y168" s="92"/>
      <c r="Z168" s="20">
        <v>-3.587289621110608</v>
      </c>
      <c r="AA168" s="10">
        <v>-1.054243237025662</v>
      </c>
      <c r="AB168" s="17">
        <v>1.078903270891121</v>
      </c>
      <c r="AC168" s="18">
        <v>0.3507135239783043</v>
      </c>
      <c r="AD168" s="21">
        <v>0.38397462265947008</v>
      </c>
      <c r="AE168" s="21">
        <v>1.0817944226902489</v>
      </c>
      <c r="AF168" s="21">
        <v>1.750494433245085E-2</v>
      </c>
      <c r="AG168" s="21"/>
      <c r="AH168" s="21">
        <v>1.3517161283949839</v>
      </c>
    </row>
    <row r="169" spans="1:34">
      <c r="A169" s="13" t="s">
        <v>77</v>
      </c>
      <c r="B169" s="13" t="s">
        <v>76</v>
      </c>
      <c r="C169" s="13">
        <v>57</v>
      </c>
      <c r="E169" s="14">
        <v>44999</v>
      </c>
      <c r="Y169" s="92"/>
      <c r="AC169" s="18"/>
      <c r="AD169" s="21"/>
      <c r="AE169" s="21"/>
      <c r="AF169" s="21"/>
      <c r="AG169" s="21"/>
      <c r="AH169" s="21"/>
    </row>
    <row r="170" spans="1:34">
      <c r="A170" s="13" t="s">
        <v>78</v>
      </c>
      <c r="B170" s="13" t="s">
        <v>76</v>
      </c>
      <c r="C170" s="13">
        <v>57</v>
      </c>
      <c r="E170" s="14">
        <v>44999</v>
      </c>
      <c r="Y170" s="92"/>
      <c r="AC170" s="18"/>
      <c r="AD170" s="21"/>
      <c r="AE170" s="21"/>
      <c r="AF170" s="21"/>
      <c r="AG170" s="21"/>
      <c r="AH170" s="21"/>
    </row>
    <row r="171" spans="1:34">
      <c r="A171" s="13" t="s">
        <v>75</v>
      </c>
      <c r="B171" s="13" t="s">
        <v>76</v>
      </c>
      <c r="C171" s="13">
        <v>58</v>
      </c>
      <c r="E171" s="14">
        <v>45007</v>
      </c>
      <c r="H171" s="16">
        <v>22.3</v>
      </c>
      <c r="I171" s="16">
        <v>4.74</v>
      </c>
      <c r="J171" s="16">
        <v>42.36</v>
      </c>
      <c r="P171" s="18">
        <v>4.6675854708309393E-2</v>
      </c>
      <c r="Q171" s="18">
        <v>2.5951868465283878</v>
      </c>
      <c r="R171" s="21" t="s">
        <v>50</v>
      </c>
      <c r="S171" s="21">
        <v>14.85387488096182</v>
      </c>
      <c r="T171" s="21">
        <v>0.91608533177257434</v>
      </c>
      <c r="U171" s="21">
        <v>8.0817211870143693E-2</v>
      </c>
      <c r="V171" s="21">
        <v>2.380640104609762E-2</v>
      </c>
      <c r="Y171" s="92"/>
      <c r="Z171" s="20">
        <v>-3.5127518100521988</v>
      </c>
      <c r="AA171" s="10">
        <v>0.45114766614716828</v>
      </c>
      <c r="AB171" s="17">
        <v>1.3681320745073899</v>
      </c>
      <c r="AC171" s="18">
        <v>0.8050477740431311</v>
      </c>
      <c r="AD171" s="21">
        <v>0.51383588103658706</v>
      </c>
      <c r="AE171" s="21">
        <v>2.250101067435903</v>
      </c>
      <c r="AF171" s="21">
        <v>2.461733554240161E-2</v>
      </c>
      <c r="AG171" s="21"/>
      <c r="AH171" s="21">
        <v>1.5069380621546939</v>
      </c>
    </row>
    <row r="172" spans="1:34">
      <c r="A172" s="13" t="s">
        <v>77</v>
      </c>
      <c r="B172" s="13" t="s">
        <v>76</v>
      </c>
      <c r="C172" s="13">
        <v>58</v>
      </c>
      <c r="E172" s="14">
        <v>45007</v>
      </c>
      <c r="Y172" s="92"/>
      <c r="AC172" s="18"/>
      <c r="AD172" s="21"/>
      <c r="AE172" s="21"/>
      <c r="AF172" s="21"/>
      <c r="AG172" s="21"/>
      <c r="AH172" s="21"/>
    </row>
    <row r="173" spans="1:34">
      <c r="A173" s="13" t="s">
        <v>78</v>
      </c>
      <c r="B173" s="13" t="s">
        <v>76</v>
      </c>
      <c r="C173" s="13">
        <v>58</v>
      </c>
      <c r="E173" s="14">
        <v>45007</v>
      </c>
      <c r="Y173" s="92"/>
      <c r="AC173" s="18"/>
      <c r="AD173" s="21"/>
      <c r="AE173" s="21"/>
      <c r="AF173" s="21"/>
      <c r="AG173" s="21"/>
      <c r="AH173" s="21"/>
    </row>
    <row r="174" spans="1:34">
      <c r="A174" s="13" t="s">
        <v>75</v>
      </c>
      <c r="B174" s="13" t="s">
        <v>76</v>
      </c>
      <c r="C174" s="13">
        <v>59</v>
      </c>
      <c r="E174" s="14">
        <v>45014</v>
      </c>
      <c r="P174" s="18">
        <v>4.2395262501334442E-2</v>
      </c>
      <c r="Q174" s="18">
        <v>2.59829515322473</v>
      </c>
      <c r="R174" s="21" t="s">
        <v>50</v>
      </c>
      <c r="S174" s="21">
        <v>7.8656799450473427</v>
      </c>
      <c r="T174" s="21">
        <v>1.169517113152406</v>
      </c>
      <c r="U174" s="21">
        <v>5.3537349742029637E-2</v>
      </c>
      <c r="V174" s="21" t="s">
        <v>50</v>
      </c>
      <c r="Y174" s="92">
        <v>1.960120155720068</v>
      </c>
      <c r="Z174" s="20">
        <v>-3.4267198505595511</v>
      </c>
      <c r="AA174" s="10">
        <v>-0.35934221129935739</v>
      </c>
      <c r="AB174" s="17">
        <v>1.2562115427376139</v>
      </c>
      <c r="AC174" s="18">
        <v>0.48217124688767882</v>
      </c>
      <c r="AD174" s="21">
        <v>0.40514129027018758</v>
      </c>
      <c r="AE174" s="21">
        <v>1.4634395630499091</v>
      </c>
      <c r="AF174" s="21">
        <v>2.0180578930878441E-2</v>
      </c>
      <c r="AG174" s="21"/>
      <c r="AH174" s="21">
        <v>1.4259687640613601</v>
      </c>
    </row>
    <row r="175" spans="1:34">
      <c r="A175" s="13" t="s">
        <v>77</v>
      </c>
      <c r="B175" s="13" t="s">
        <v>76</v>
      </c>
      <c r="C175" s="13">
        <v>59</v>
      </c>
      <c r="E175" s="14">
        <v>45014</v>
      </c>
      <c r="Y175" s="92"/>
      <c r="Z175" s="20">
        <v>-3.8704636416268992</v>
      </c>
      <c r="AA175" s="10">
        <v>-2.2703200320466941</v>
      </c>
      <c r="AB175" s="17">
        <v>0.94475519850474687</v>
      </c>
      <c r="AC175" s="18">
        <v>0.18314544522191589</v>
      </c>
      <c r="AD175" s="21">
        <v>0.13112217209446739</v>
      </c>
      <c r="AE175" s="21">
        <v>0.60859434373272325</v>
      </c>
      <c r="AF175" s="21">
        <v>1.4897810235431189E-2</v>
      </c>
      <c r="AG175" s="21"/>
      <c r="AH175" s="21">
        <v>2.2220012207317361</v>
      </c>
    </row>
    <row r="176" spans="1:34">
      <c r="A176" s="13" t="s">
        <v>78</v>
      </c>
      <c r="B176" s="13" t="s">
        <v>76</v>
      </c>
      <c r="C176" s="13">
        <v>59</v>
      </c>
      <c r="E176" s="14">
        <v>45014</v>
      </c>
      <c r="Y176" s="92"/>
      <c r="AC176" s="18"/>
      <c r="AD176" s="21"/>
      <c r="AE176" s="21"/>
      <c r="AF176" s="21"/>
      <c r="AG176" s="21"/>
      <c r="AH176" s="21"/>
    </row>
    <row r="177" spans="1:34">
      <c r="A177" s="13" t="s">
        <v>75</v>
      </c>
      <c r="B177" s="13" t="s">
        <v>76</v>
      </c>
      <c r="C177" s="13">
        <v>60</v>
      </c>
      <c r="E177" s="14">
        <v>45022</v>
      </c>
      <c r="H177" s="16">
        <v>20</v>
      </c>
      <c r="I177" s="16">
        <v>5.07</v>
      </c>
      <c r="J177" s="16">
        <v>21.54</v>
      </c>
      <c r="P177" s="18">
        <v>3.9765490583237688E-2</v>
      </c>
      <c r="Q177" s="18">
        <v>2.5172115714407801</v>
      </c>
      <c r="R177" s="21" t="s">
        <v>50</v>
      </c>
      <c r="S177" s="21">
        <v>4.5102398642271142</v>
      </c>
      <c r="T177" s="21">
        <v>0.9958833879756076</v>
      </c>
      <c r="U177" s="21">
        <v>5.0127366976015393E-2</v>
      </c>
      <c r="V177" s="21">
        <v>3.6969664744619858E-2</v>
      </c>
      <c r="W177" s="18">
        <v>0.95233244802037642</v>
      </c>
      <c r="Y177" s="92">
        <v>1.0601031647043619</v>
      </c>
      <c r="Z177" s="20">
        <v>-3.2442067057249431</v>
      </c>
      <c r="AA177" s="10">
        <v>0.61940126095885262</v>
      </c>
      <c r="AB177" s="17">
        <v>1.2614986025686421</v>
      </c>
      <c r="AC177" s="18">
        <v>0.26638072472539681</v>
      </c>
      <c r="AD177" s="21">
        <v>0.2972920744430263</v>
      </c>
      <c r="AE177" s="21">
        <v>0.85466785615103169</v>
      </c>
      <c r="AF177" s="21">
        <v>1.700106052953379E-2</v>
      </c>
      <c r="AG177" s="21"/>
      <c r="AH177" s="21">
        <v>1.1772848937517719</v>
      </c>
    </row>
    <row r="178" spans="1:34">
      <c r="A178" s="13" t="s">
        <v>77</v>
      </c>
      <c r="B178" s="13" t="s">
        <v>76</v>
      </c>
      <c r="C178" s="13">
        <v>60</v>
      </c>
      <c r="E178" s="14">
        <v>45022</v>
      </c>
      <c r="Y178" s="92"/>
      <c r="AC178" s="18"/>
      <c r="AD178" s="21"/>
      <c r="AE178" s="21"/>
      <c r="AF178" s="21"/>
      <c r="AG178" s="21"/>
      <c r="AH178" s="21"/>
    </row>
    <row r="179" spans="1:34">
      <c r="A179" s="13" t="s">
        <v>78</v>
      </c>
      <c r="B179" s="13" t="s">
        <v>76</v>
      </c>
      <c r="C179" s="13">
        <v>60</v>
      </c>
      <c r="E179" s="14">
        <v>45022</v>
      </c>
      <c r="Y179" s="92"/>
      <c r="AC179" s="18"/>
      <c r="AD179" s="21"/>
      <c r="AE179" s="21"/>
      <c r="AF179" s="21"/>
      <c r="AG179" s="21"/>
      <c r="AH179" s="21"/>
    </row>
    <row r="180" spans="1:34">
      <c r="A180" s="13" t="s">
        <v>75</v>
      </c>
      <c r="B180" s="13" t="s">
        <v>76</v>
      </c>
      <c r="C180" s="13">
        <v>61</v>
      </c>
      <c r="E180" s="14">
        <v>45027</v>
      </c>
      <c r="P180" s="18">
        <v>5.0835125666302161E-2</v>
      </c>
      <c r="Q180" s="18">
        <v>3.930313793316043</v>
      </c>
      <c r="R180" s="21" t="s">
        <v>50</v>
      </c>
      <c r="S180" s="21">
        <v>7.7350278366805982</v>
      </c>
      <c r="T180" s="21">
        <v>1.398340975580435</v>
      </c>
      <c r="U180" s="21">
        <v>3.7978336274893457E-2</v>
      </c>
      <c r="V180" s="21">
        <v>1.8675089892129439E-2</v>
      </c>
      <c r="W180" s="18">
        <v>1.0312095415314391</v>
      </c>
      <c r="Y180" s="92"/>
      <c r="Z180" s="20">
        <v>-3.2954079123865601</v>
      </c>
      <c r="AA180" s="10">
        <v>-0.59120387244228656</v>
      </c>
      <c r="AB180" s="17">
        <v>1.5392029882456399</v>
      </c>
      <c r="AC180" s="18">
        <v>0.50123608579922407</v>
      </c>
      <c r="AD180" s="21">
        <v>0.32881607667376989</v>
      </c>
      <c r="AE180" s="21">
        <v>1.546159437034186</v>
      </c>
      <c r="AF180" s="21">
        <v>2.0766180512055241E-2</v>
      </c>
      <c r="AG180" s="21"/>
      <c r="AH180" s="21">
        <v>1.222145641766174</v>
      </c>
    </row>
    <row r="181" spans="1:34">
      <c r="A181" s="13" t="s">
        <v>77</v>
      </c>
      <c r="B181" s="13" t="s">
        <v>76</v>
      </c>
      <c r="C181" s="13">
        <v>61</v>
      </c>
      <c r="E181" s="14">
        <v>45027</v>
      </c>
      <c r="P181" s="18">
        <v>4.6396613569264777E-2</v>
      </c>
      <c r="Q181" s="18">
        <v>1.613605402292519</v>
      </c>
      <c r="R181" s="21" t="s">
        <v>50</v>
      </c>
      <c r="S181" s="21">
        <v>3.302607626134801</v>
      </c>
      <c r="T181" s="21">
        <v>2.004772624031224</v>
      </c>
      <c r="U181" s="21">
        <v>3.400410221189349E-2</v>
      </c>
      <c r="V181" s="21">
        <v>2.2095984818218131E-2</v>
      </c>
      <c r="W181" s="18">
        <v>0.81535416184467291</v>
      </c>
      <c r="Y181" s="92">
        <v>0.69498166310957499</v>
      </c>
      <c r="Z181" s="20">
        <v>-3.5730090124498859</v>
      </c>
      <c r="AA181" s="10">
        <v>-0.1127754595529664</v>
      </c>
      <c r="AB181" s="17">
        <v>0.8642017713877449</v>
      </c>
      <c r="AC181" s="18">
        <v>0.1893512880720164</v>
      </c>
      <c r="AD181" s="21">
        <v>0.1076713920691256</v>
      </c>
      <c r="AE181" s="21">
        <v>0.49618631797150109</v>
      </c>
      <c r="AF181" s="21">
        <v>1.455160926861726E-2</v>
      </c>
      <c r="AG181" s="21"/>
      <c r="AH181" s="21">
        <v>1.387568094728961</v>
      </c>
    </row>
    <row r="182" spans="1:34">
      <c r="A182" s="13" t="s">
        <v>78</v>
      </c>
      <c r="B182" s="13" t="s">
        <v>76</v>
      </c>
      <c r="C182" s="13">
        <v>61</v>
      </c>
      <c r="E182" s="14">
        <v>45027</v>
      </c>
      <c r="Y182" s="92"/>
      <c r="AC182" s="18"/>
      <c r="AD182" s="21"/>
      <c r="AE182" s="21"/>
      <c r="AF182" s="21"/>
      <c r="AG182" s="21"/>
      <c r="AH182" s="21"/>
    </row>
    <row r="183" spans="1:34">
      <c r="A183" s="13" t="s">
        <v>75</v>
      </c>
      <c r="B183" s="13" t="s">
        <v>76</v>
      </c>
      <c r="C183" s="13">
        <v>62</v>
      </c>
      <c r="E183" s="14">
        <v>45034</v>
      </c>
      <c r="P183" s="18">
        <v>4.729815481098229E-2</v>
      </c>
      <c r="Q183" s="18">
        <v>4.6785236943448636</v>
      </c>
      <c r="R183" s="21" t="s">
        <v>50</v>
      </c>
      <c r="S183" s="21">
        <v>8.0545893840064302</v>
      </c>
      <c r="T183" s="21">
        <v>1.220490745562868</v>
      </c>
      <c r="U183" s="21">
        <v>5.0468786187179059E-2</v>
      </c>
      <c r="V183" s="21" t="s">
        <v>50</v>
      </c>
      <c r="Y183" s="92">
        <v>1.9362749354089439</v>
      </c>
      <c r="Z183" s="20">
        <v>-3.402517085623681</v>
      </c>
      <c r="AA183" s="10">
        <v>-1.4532236560842029</v>
      </c>
      <c r="AB183" s="17">
        <v>1.8091737311755129</v>
      </c>
      <c r="AC183" s="18">
        <v>0.49677091590435718</v>
      </c>
      <c r="AD183" s="21">
        <v>0.41285518758220219</v>
      </c>
      <c r="AE183" s="21">
        <v>1.548362763620208</v>
      </c>
      <c r="AF183" s="21">
        <v>2.0497105693566189E-2</v>
      </c>
      <c r="AG183" s="21"/>
      <c r="AH183" s="21">
        <v>1.4926382563871781</v>
      </c>
    </row>
    <row r="184" spans="1:34">
      <c r="A184" s="13" t="s">
        <v>77</v>
      </c>
      <c r="B184" s="13" t="s">
        <v>76</v>
      </c>
      <c r="C184" s="13">
        <v>62</v>
      </c>
      <c r="E184" s="14">
        <v>45034</v>
      </c>
      <c r="Y184" s="92"/>
      <c r="AC184" s="18"/>
      <c r="AD184" s="21"/>
      <c r="AE184" s="21"/>
      <c r="AF184" s="21"/>
      <c r="AG184" s="21"/>
      <c r="AH184" s="21"/>
    </row>
    <row r="185" spans="1:34">
      <c r="A185" s="13" t="s">
        <v>78</v>
      </c>
      <c r="B185" s="13" t="s">
        <v>76</v>
      </c>
      <c r="C185" s="13">
        <v>62</v>
      </c>
      <c r="E185" s="14">
        <v>45034</v>
      </c>
      <c r="Y185" s="92"/>
      <c r="AC185" s="18"/>
      <c r="AD185" s="21"/>
      <c r="AE185" s="21"/>
      <c r="AF185" s="21"/>
      <c r="AG185" s="21"/>
      <c r="AH185" s="21"/>
    </row>
    <row r="186" spans="1:34">
      <c r="A186" s="13" t="s">
        <v>75</v>
      </c>
      <c r="B186" s="13" t="s">
        <v>76</v>
      </c>
      <c r="C186" s="13">
        <v>63</v>
      </c>
      <c r="E186" s="14">
        <v>45041</v>
      </c>
      <c r="H186" s="16">
        <v>21.5</v>
      </c>
      <c r="I186" s="16">
        <v>5.05</v>
      </c>
      <c r="J186" s="16">
        <v>31.23</v>
      </c>
      <c r="P186" s="18">
        <v>4.1950506484602058E-2</v>
      </c>
      <c r="Q186" s="18">
        <v>3.9169441101460789</v>
      </c>
      <c r="R186" s="21" t="s">
        <v>50</v>
      </c>
      <c r="S186" s="21">
        <v>7.0690315078073649</v>
      </c>
      <c r="T186" s="21">
        <v>1.2228867441338329</v>
      </c>
      <c r="U186" s="21">
        <v>3.0511485887862299E-2</v>
      </c>
      <c r="V186" s="21">
        <v>1.3505643288791849E-2</v>
      </c>
      <c r="W186" s="18">
        <v>1.0532848907996151</v>
      </c>
      <c r="Y186" s="92">
        <v>0.99637999620460849</v>
      </c>
      <c r="Z186" s="20">
        <v>-3.243762641032145</v>
      </c>
      <c r="AA186" s="10">
        <v>-2.0080706450633752</v>
      </c>
      <c r="AB186" s="17">
        <v>1.8146014827205159</v>
      </c>
      <c r="AC186" s="18">
        <v>0.43013034711341142</v>
      </c>
      <c r="AD186" s="21">
        <v>0.39287687052514692</v>
      </c>
      <c r="AE186" s="21">
        <v>1.3494636711477901</v>
      </c>
      <c r="AF186" s="21">
        <v>1.9447838069538259E-2</v>
      </c>
      <c r="AG186" s="21"/>
      <c r="AH186" s="21">
        <v>1.438027705176637</v>
      </c>
    </row>
    <row r="187" spans="1:34">
      <c r="A187" s="13" t="s">
        <v>77</v>
      </c>
      <c r="B187" s="13" t="s">
        <v>76</v>
      </c>
      <c r="C187" s="13">
        <v>63</v>
      </c>
      <c r="E187" s="14">
        <v>45041</v>
      </c>
      <c r="Y187" s="92"/>
      <c r="AC187" s="18"/>
      <c r="AD187" s="21"/>
      <c r="AE187" s="21"/>
      <c r="AF187" s="21"/>
      <c r="AG187" s="21"/>
      <c r="AH187" s="21"/>
    </row>
    <row r="188" spans="1:34">
      <c r="A188" s="13" t="s">
        <v>78</v>
      </c>
      <c r="B188" s="13" t="s">
        <v>76</v>
      </c>
      <c r="C188" s="13">
        <v>63</v>
      </c>
      <c r="E188" s="14">
        <v>45041</v>
      </c>
      <c r="Y188" s="92"/>
      <c r="AC188" s="18"/>
      <c r="AD188" s="21"/>
      <c r="AE188" s="21"/>
      <c r="AF188" s="21"/>
      <c r="AG188" s="21"/>
      <c r="AH188" s="21"/>
    </row>
    <row r="189" spans="1:34">
      <c r="A189" s="13" t="s">
        <v>75</v>
      </c>
      <c r="B189" s="13" t="s">
        <v>76</v>
      </c>
      <c r="C189" s="13">
        <v>64</v>
      </c>
      <c r="E189" s="14">
        <v>45048</v>
      </c>
      <c r="H189" s="16">
        <v>19.600000000000001</v>
      </c>
      <c r="I189" s="16">
        <v>5.17</v>
      </c>
      <c r="J189" s="16">
        <v>31.66</v>
      </c>
      <c r="P189" s="18">
        <v>4.9309343193479918E-2</v>
      </c>
      <c r="Q189" s="18">
        <v>4.0167474779570123</v>
      </c>
      <c r="R189" s="21" t="s">
        <v>50</v>
      </c>
      <c r="S189" s="21">
        <v>7.2343928282212184</v>
      </c>
      <c r="T189" s="21">
        <v>1.077413647935757</v>
      </c>
      <c r="U189" s="21">
        <v>5.3307524803607613E-2</v>
      </c>
      <c r="V189" s="21">
        <v>1.935926887734718E-2</v>
      </c>
      <c r="W189" s="18">
        <v>1.109083472590876</v>
      </c>
      <c r="Y189" s="92">
        <v>0.98223777420036518</v>
      </c>
      <c r="Z189" s="20">
        <v>-3.1087863951900032</v>
      </c>
      <c r="AA189" s="10">
        <v>-2.9265092443035372</v>
      </c>
      <c r="AB189" s="17">
        <v>1.9758643395997091</v>
      </c>
      <c r="AC189" s="18">
        <v>0.41683716279931188</v>
      </c>
      <c r="AD189" s="21">
        <v>0.33958795569952782</v>
      </c>
      <c r="AE189" s="21">
        <v>1.2685675301202011</v>
      </c>
      <c r="AF189" s="21">
        <v>1.8750129751328091E-2</v>
      </c>
      <c r="AG189" s="21"/>
      <c r="AH189" s="21">
        <v>1.23705911926784</v>
      </c>
    </row>
    <row r="190" spans="1:34">
      <c r="A190" s="13" t="s">
        <v>77</v>
      </c>
      <c r="B190" s="13" t="s">
        <v>76</v>
      </c>
      <c r="C190" s="13">
        <v>64</v>
      </c>
      <c r="E190" s="14">
        <v>45048</v>
      </c>
      <c r="H190" s="16">
        <v>14</v>
      </c>
      <c r="I190" s="16">
        <v>4.8600000000000003</v>
      </c>
      <c r="J190" s="16">
        <v>21.05</v>
      </c>
      <c r="P190" s="18">
        <v>6.6719867463000959E-2</v>
      </c>
      <c r="Q190" s="18">
        <v>2.201195212083928</v>
      </c>
      <c r="R190" s="21" t="s">
        <v>50</v>
      </c>
      <c r="S190" s="21">
        <v>2.8288503090180068</v>
      </c>
      <c r="T190" s="21">
        <v>1.7669416607279329</v>
      </c>
      <c r="U190" s="21" t="s">
        <v>50</v>
      </c>
      <c r="V190" s="21">
        <v>2.0727626847782659E-2</v>
      </c>
      <c r="W190" s="18">
        <v>1.4769384386157669</v>
      </c>
      <c r="Y190" s="92">
        <v>0.26854615003532167</v>
      </c>
      <c r="Z190" s="20">
        <v>-3.5325978199585961</v>
      </c>
      <c r="AA190" s="10">
        <v>-0.54992037458432641</v>
      </c>
      <c r="AB190" s="17">
        <v>0.96150576251468489</v>
      </c>
      <c r="AC190" s="18">
        <v>0.17755437678051539</v>
      </c>
      <c r="AD190" s="21">
        <v>0.13958862549314999</v>
      </c>
      <c r="AE190" s="21">
        <v>0.61533637065954061</v>
      </c>
      <c r="AF190" s="21">
        <v>1.340779120137759E-2</v>
      </c>
      <c r="AG190" s="21"/>
      <c r="AH190" s="21">
        <v>1.1484852601667359</v>
      </c>
    </row>
    <row r="191" spans="1:34">
      <c r="A191" s="13" t="s">
        <v>78</v>
      </c>
      <c r="B191" s="13" t="s">
        <v>76</v>
      </c>
      <c r="C191" s="13">
        <v>64</v>
      </c>
      <c r="E191" s="14">
        <v>45048</v>
      </c>
      <c r="Y191" s="92"/>
      <c r="AC191" s="18"/>
      <c r="AD191" s="21"/>
      <c r="AE191" s="21"/>
      <c r="AF191" s="21"/>
      <c r="AG191" s="21"/>
      <c r="AH191" s="21"/>
    </row>
    <row r="192" spans="1:34">
      <c r="A192" s="13" t="s">
        <v>75</v>
      </c>
      <c r="B192" s="13" t="s">
        <v>76</v>
      </c>
      <c r="C192" s="13">
        <v>65</v>
      </c>
      <c r="E192" s="14">
        <v>45055</v>
      </c>
      <c r="H192" s="16">
        <v>22.5</v>
      </c>
      <c r="I192" s="16">
        <v>7.38</v>
      </c>
      <c r="J192" s="16">
        <v>35.99</v>
      </c>
      <c r="P192" s="18">
        <v>4.1874012630509043E-2</v>
      </c>
      <c r="Q192" s="18">
        <v>4.8239813889704326</v>
      </c>
      <c r="R192" s="21" t="s">
        <v>50</v>
      </c>
      <c r="S192" s="21">
        <v>7.260870377893478</v>
      </c>
      <c r="T192" s="21">
        <v>1.2311150786460361</v>
      </c>
      <c r="U192" s="21" t="s">
        <v>50</v>
      </c>
      <c r="V192" s="21">
        <v>9.3988821060077207E-3</v>
      </c>
      <c r="W192" s="18">
        <v>1.2199328684061721</v>
      </c>
      <c r="Y192" s="92">
        <v>1.683538086524913</v>
      </c>
      <c r="Z192" s="20">
        <v>-3.1315155557592749</v>
      </c>
      <c r="AA192" s="10">
        <v>-3.5625365738897021</v>
      </c>
      <c r="AB192" s="17">
        <v>2.402739713640889</v>
      </c>
      <c r="AC192" s="18">
        <v>0.41757065202838439</v>
      </c>
      <c r="AD192" s="21">
        <v>0.46090319865010471</v>
      </c>
      <c r="AE192" s="21">
        <v>1.2618828444485941</v>
      </c>
      <c r="AF192" s="21">
        <v>1.8790078912245791E-2</v>
      </c>
      <c r="AG192" s="21"/>
      <c r="AH192" s="21">
        <v>1.30564920827745</v>
      </c>
    </row>
    <row r="193" spans="1:34">
      <c r="A193" s="13" t="s">
        <v>77</v>
      </c>
      <c r="B193" s="13" t="s">
        <v>76</v>
      </c>
      <c r="C193" s="13">
        <v>65</v>
      </c>
      <c r="E193" s="14">
        <v>45055</v>
      </c>
      <c r="H193" s="16">
        <v>22.4</v>
      </c>
      <c r="I193" s="16">
        <v>7.05</v>
      </c>
      <c r="J193" s="16">
        <v>24.6</v>
      </c>
      <c r="P193" s="18">
        <v>4.1338563491665557E-2</v>
      </c>
      <c r="Q193" s="18">
        <v>2.5646132275982572</v>
      </c>
      <c r="R193" s="21" t="s">
        <v>50</v>
      </c>
      <c r="S193" s="21">
        <v>2.937987626843007</v>
      </c>
      <c r="T193" s="21">
        <v>1.727266336596631</v>
      </c>
      <c r="U193" s="21" t="s">
        <v>50</v>
      </c>
      <c r="V193" s="21">
        <v>3.1301608414189719E-2</v>
      </c>
      <c r="W193" s="18">
        <v>0.71890619442983716</v>
      </c>
      <c r="Y193" s="92">
        <v>0.50718427973844782</v>
      </c>
      <c r="Z193" s="20">
        <v>-3.544836598726667</v>
      </c>
      <c r="AA193" s="10">
        <v>-1.0232430384624041</v>
      </c>
      <c r="AB193" s="17">
        <v>0.9953534577126153</v>
      </c>
      <c r="AC193" s="18">
        <v>0.17718870707118831</v>
      </c>
      <c r="AD193" s="21">
        <v>0.1341742193131841</v>
      </c>
      <c r="AE193" s="21">
        <v>0.36491334785679141</v>
      </c>
      <c r="AF193" s="21">
        <v>1.302279111008788E-2</v>
      </c>
      <c r="AG193" s="21"/>
      <c r="AH193" s="21">
        <v>1.3241432793738701</v>
      </c>
    </row>
    <row r="194" spans="1:34">
      <c r="A194" s="13" t="s">
        <v>78</v>
      </c>
      <c r="B194" s="13" t="s">
        <v>76</v>
      </c>
      <c r="C194" s="13">
        <v>65</v>
      </c>
      <c r="E194" s="14">
        <v>45055</v>
      </c>
      <c r="Y194" s="92"/>
      <c r="AC194" s="18"/>
      <c r="AD194" s="21"/>
      <c r="AE194" s="21"/>
      <c r="AF194" s="21"/>
      <c r="AG194" s="21"/>
      <c r="AH194" s="21"/>
    </row>
    <row r="195" spans="1:34">
      <c r="A195" s="13" t="s">
        <v>75</v>
      </c>
      <c r="B195" s="13" t="s">
        <v>76</v>
      </c>
      <c r="C195" s="13">
        <v>66</v>
      </c>
      <c r="E195" s="14">
        <v>45062</v>
      </c>
      <c r="H195" s="16">
        <v>24.1</v>
      </c>
      <c r="I195" s="16">
        <v>4.96</v>
      </c>
      <c r="J195" s="16">
        <v>31.49</v>
      </c>
      <c r="P195" s="18">
        <v>4.0573659949876641E-2</v>
      </c>
      <c r="Q195" s="18">
        <v>4.8576677265653636</v>
      </c>
      <c r="R195" s="21" t="s">
        <v>50</v>
      </c>
      <c r="S195" s="21">
        <v>5.6982934431524592</v>
      </c>
      <c r="T195" s="21">
        <v>1.175923259982032</v>
      </c>
      <c r="U195" s="21">
        <v>3.1132293380584739E-2</v>
      </c>
      <c r="V195" s="21">
        <v>1.6243484077314591E-2</v>
      </c>
      <c r="W195" s="18">
        <v>1.1461383930989719</v>
      </c>
      <c r="Y195" s="92">
        <v>0.84153651436168486</v>
      </c>
      <c r="Z195" s="20">
        <v>-3.277681542189367</v>
      </c>
      <c r="AA195" s="10">
        <v>-6.3188843250924851</v>
      </c>
      <c r="AB195" s="17">
        <v>2.3537290726161229</v>
      </c>
      <c r="AC195" s="18">
        <v>0.34574865005500588</v>
      </c>
      <c r="AD195" s="21">
        <v>0.30548192411879532</v>
      </c>
      <c r="AE195" s="21">
        <v>1.001050372154922</v>
      </c>
      <c r="AF195" s="21">
        <v>1.71816722853592E-2</v>
      </c>
      <c r="AG195" s="21"/>
      <c r="AH195" s="21">
        <v>1.156690095318198</v>
      </c>
    </row>
    <row r="196" spans="1:34">
      <c r="A196" s="13" t="s">
        <v>77</v>
      </c>
      <c r="B196" s="13" t="s">
        <v>76</v>
      </c>
      <c r="C196" s="13">
        <v>66</v>
      </c>
      <c r="E196" s="14">
        <v>45062</v>
      </c>
      <c r="H196" s="16">
        <v>21.8</v>
      </c>
      <c r="I196" s="16">
        <v>4.82</v>
      </c>
      <c r="J196" s="16">
        <v>20.34</v>
      </c>
      <c r="P196" s="18">
        <v>3.6673087416067361E-2</v>
      </c>
      <c r="Q196" s="18">
        <v>2.7753413495386829</v>
      </c>
      <c r="R196" s="21" t="s">
        <v>50</v>
      </c>
      <c r="S196" s="21">
        <v>1.812044180971816</v>
      </c>
      <c r="T196" s="21">
        <v>1.6998995989320751</v>
      </c>
      <c r="U196" s="21" t="s">
        <v>50</v>
      </c>
      <c r="V196" s="21">
        <v>1.8296864668706659E-2</v>
      </c>
      <c r="W196" s="18">
        <v>0.59841137578796544</v>
      </c>
      <c r="Y196" s="92">
        <v>0.27085957213073991</v>
      </c>
      <c r="Z196" s="20">
        <v>-3.392376383215852</v>
      </c>
      <c r="AA196" s="10">
        <v>-1.2588724169191501</v>
      </c>
      <c r="AB196" s="17">
        <v>0.98379248347596338</v>
      </c>
      <c r="AC196" s="18">
        <v>0.16423076655129251</v>
      </c>
      <c r="AD196" s="21">
        <v>8.455868734822633E-2</v>
      </c>
      <c r="AE196" s="21">
        <v>0.26175168269692262</v>
      </c>
      <c r="AF196" s="21">
        <v>1.236953301828538E-2</v>
      </c>
      <c r="AG196" s="21"/>
      <c r="AH196" s="21">
        <v>0.980507959129022</v>
      </c>
    </row>
    <row r="197" spans="1:34">
      <c r="A197" s="13" t="s">
        <v>78</v>
      </c>
      <c r="B197" s="13" t="s">
        <v>76</v>
      </c>
      <c r="C197" s="13">
        <v>66</v>
      </c>
      <c r="E197" s="14">
        <v>45062</v>
      </c>
      <c r="H197" s="16">
        <v>22.4</v>
      </c>
      <c r="I197" s="16">
        <v>5.34</v>
      </c>
      <c r="J197" s="16">
        <v>57.63</v>
      </c>
      <c r="P197" s="18">
        <v>3.4149575611728128E-2</v>
      </c>
      <c r="Q197" s="18">
        <v>2.666965944424839</v>
      </c>
      <c r="R197" s="21" t="s">
        <v>50</v>
      </c>
      <c r="S197" s="21">
        <v>20.12519535336645</v>
      </c>
      <c r="T197" s="21">
        <v>4.7873465742927683</v>
      </c>
      <c r="U197" s="21">
        <v>4.1065213264143779E-2</v>
      </c>
      <c r="V197" s="21">
        <v>2.2403625851490781E-2</v>
      </c>
      <c r="W197" s="18">
        <v>0.98988388254363047</v>
      </c>
      <c r="Y197" s="92">
        <v>2.987423917087682</v>
      </c>
      <c r="Z197" s="20">
        <v>-3.6731689360947142</v>
      </c>
      <c r="AA197" s="10">
        <v>-1.620400120215558</v>
      </c>
      <c r="AB197" s="17">
        <v>1.564358857831579</v>
      </c>
      <c r="AC197" s="18">
        <v>1.4543050908858099</v>
      </c>
      <c r="AD197" s="21">
        <v>1.0088876275873959</v>
      </c>
      <c r="AE197" s="21">
        <v>4.3052305633391246</v>
      </c>
      <c r="AF197" s="21">
        <v>3.0500093432017029E-2</v>
      </c>
      <c r="AG197" s="21"/>
      <c r="AH197" s="21">
        <v>1.9713445575789921</v>
      </c>
    </row>
    <row r="198" spans="1:34">
      <c r="A198" s="13" t="s">
        <v>75</v>
      </c>
      <c r="B198" s="13" t="s">
        <v>76</v>
      </c>
      <c r="C198" s="13">
        <v>67</v>
      </c>
      <c r="E198" s="14">
        <v>45069</v>
      </c>
      <c r="H198" s="16">
        <v>19.8</v>
      </c>
      <c r="I198" s="16">
        <v>5.12</v>
      </c>
      <c r="J198" s="16">
        <v>29.03</v>
      </c>
      <c r="P198" s="18">
        <v>5.6072625555550759E-2</v>
      </c>
      <c r="Q198" s="18">
        <v>5.2687110639129431</v>
      </c>
      <c r="R198" s="21" t="s">
        <v>50</v>
      </c>
      <c r="S198" s="21">
        <v>3.991774030506074</v>
      </c>
      <c r="T198" s="21">
        <v>1.272355323067395</v>
      </c>
      <c r="U198" s="21">
        <v>3.8951953537486803E-2</v>
      </c>
      <c r="V198" s="21">
        <v>3.7904458103838273E-2</v>
      </c>
      <c r="W198" s="18">
        <v>1.3902828985851881</v>
      </c>
      <c r="Y198" s="92">
        <v>0.57837072050358196</v>
      </c>
      <c r="Z198" s="20">
        <v>-3.151653024629395</v>
      </c>
      <c r="AA198" s="10">
        <v>-8.7555893243907068</v>
      </c>
      <c r="AB198" s="17">
        <v>2.4148766885554132</v>
      </c>
      <c r="AC198" s="18">
        <v>0.36291873042380468</v>
      </c>
      <c r="AD198" s="21">
        <v>0.42971776806819229</v>
      </c>
      <c r="AE198" s="21">
        <v>1.1131915441045279</v>
      </c>
      <c r="AF198" s="21">
        <v>1.9566826356879511E-2</v>
      </c>
      <c r="AG198" s="21"/>
      <c r="AH198" s="21">
        <v>1.3634776563337361</v>
      </c>
    </row>
    <row r="199" spans="1:34">
      <c r="A199" s="13" t="s">
        <v>77</v>
      </c>
      <c r="B199" s="13" t="s">
        <v>76</v>
      </c>
      <c r="C199" s="13">
        <v>67</v>
      </c>
      <c r="E199" s="14">
        <v>45069</v>
      </c>
      <c r="P199" s="18">
        <v>5.9649741094398891E-2</v>
      </c>
      <c r="Q199" s="18">
        <v>3.0666765492760768</v>
      </c>
      <c r="R199" s="21" t="s">
        <v>50</v>
      </c>
      <c r="S199" s="21">
        <v>2.73879922298417</v>
      </c>
      <c r="T199" s="21">
        <v>1.7524260353855681</v>
      </c>
      <c r="U199" s="21">
        <v>4.5361291295821393E-2</v>
      </c>
      <c r="V199" s="21">
        <v>3.645799160868142E-2</v>
      </c>
      <c r="Y199" s="92"/>
      <c r="AC199" s="18"/>
      <c r="AD199" s="21"/>
      <c r="AE199" s="21"/>
      <c r="AF199" s="21"/>
      <c r="AG199" s="21"/>
      <c r="AH199" s="21"/>
    </row>
    <row r="200" spans="1:34">
      <c r="A200" s="13" t="s">
        <v>78</v>
      </c>
      <c r="B200" s="13" t="s">
        <v>76</v>
      </c>
      <c r="C200" s="13">
        <v>67</v>
      </c>
      <c r="E200" s="14">
        <v>45069</v>
      </c>
      <c r="P200" s="18">
        <v>5.6291587247993498E-2</v>
      </c>
      <c r="Q200" s="18">
        <v>2.5886880379955541</v>
      </c>
      <c r="R200" s="21" t="s">
        <v>50</v>
      </c>
      <c r="S200" s="21">
        <v>30.613720455528689</v>
      </c>
      <c r="T200" s="21">
        <v>3.905800629244164</v>
      </c>
      <c r="U200" s="21" t="s">
        <v>50</v>
      </c>
      <c r="V200" s="21">
        <v>4.947619006509317E-2</v>
      </c>
      <c r="Y200" s="92"/>
      <c r="Z200" s="20">
        <v>-3.0628414192609492</v>
      </c>
      <c r="AA200" s="10">
        <v>5.0826682104360373E-2</v>
      </c>
      <c r="AB200" s="17">
        <v>1.6242848169763471</v>
      </c>
      <c r="AC200" s="18">
        <v>1.9767549008163541</v>
      </c>
      <c r="AD200" s="21">
        <v>1.2169895878332611</v>
      </c>
      <c r="AE200" s="21">
        <v>6.0135915867167098</v>
      </c>
      <c r="AF200" s="21">
        <v>3.8113596429288632E-2</v>
      </c>
      <c r="AG200" s="21"/>
      <c r="AH200" s="21">
        <v>2.5429340166256562</v>
      </c>
    </row>
    <row r="201" spans="1:34">
      <c r="A201" s="13" t="s">
        <v>75</v>
      </c>
      <c r="B201" s="13" t="s">
        <v>76</v>
      </c>
      <c r="C201" s="13">
        <v>68</v>
      </c>
      <c r="E201" s="14">
        <v>45076</v>
      </c>
      <c r="H201" s="16">
        <v>20.6</v>
      </c>
      <c r="I201" s="16">
        <v>5.04</v>
      </c>
      <c r="J201" s="16">
        <v>27.53</v>
      </c>
      <c r="P201" s="18">
        <v>5.5707702555498152E-2</v>
      </c>
      <c r="Q201" s="18">
        <v>4.0298883388223059</v>
      </c>
      <c r="R201" s="21" t="s">
        <v>50</v>
      </c>
      <c r="S201" s="21">
        <v>3.8088290927269051</v>
      </c>
      <c r="T201" s="21">
        <v>1.512375816254127</v>
      </c>
      <c r="U201" s="21">
        <v>3.1830467139337272E-2</v>
      </c>
      <c r="V201" s="21">
        <v>8.2518949531225974E-3</v>
      </c>
      <c r="W201" s="18">
        <v>1.336154758940258</v>
      </c>
      <c r="Y201" s="92">
        <v>0.48623188052420901</v>
      </c>
      <c r="Z201" s="20">
        <v>-3.2150387268480038</v>
      </c>
      <c r="AA201" s="10">
        <v>-11.651292510032199</v>
      </c>
      <c r="AB201" s="17">
        <v>2.0767480335149529</v>
      </c>
      <c r="AC201" s="18">
        <v>0.29918240653998918</v>
      </c>
      <c r="AD201" s="21">
        <v>0.42115302908095709</v>
      </c>
      <c r="AE201" s="21">
        <v>0.76980208291834662</v>
      </c>
      <c r="AF201" s="21">
        <v>1.7742829390753761E-2</v>
      </c>
      <c r="AG201" s="21"/>
      <c r="AH201" s="21">
        <v>1.1757379071633509</v>
      </c>
    </row>
    <row r="202" spans="1:34">
      <c r="A202" s="13" t="s">
        <v>77</v>
      </c>
      <c r="B202" s="13" t="s">
        <v>76</v>
      </c>
      <c r="C202" s="13">
        <v>68</v>
      </c>
      <c r="E202" s="14">
        <v>45076</v>
      </c>
      <c r="H202" s="16">
        <v>18.2</v>
      </c>
      <c r="I202" s="16">
        <v>4.7699999999999996</v>
      </c>
      <c r="J202" s="16">
        <v>23.55</v>
      </c>
      <c r="P202" s="18">
        <v>5.5123859955862393E-2</v>
      </c>
      <c r="Q202" s="18">
        <v>3.4693064775384181</v>
      </c>
      <c r="R202" s="21" t="s">
        <v>50</v>
      </c>
      <c r="S202" s="21">
        <v>1.4847295775082761</v>
      </c>
      <c r="T202" s="21">
        <v>1.6533288422629739</v>
      </c>
      <c r="U202" s="21">
        <v>3.8239804897671863E-2</v>
      </c>
      <c r="V202" s="21" t="s">
        <v>50</v>
      </c>
      <c r="W202" s="18">
        <v>0.61513569564993686</v>
      </c>
      <c r="Y202" s="92">
        <v>0.24534837705503831</v>
      </c>
      <c r="Z202" s="20">
        <v>-2.9518269125503909</v>
      </c>
      <c r="AA202" s="10">
        <v>-1.822249792932213</v>
      </c>
      <c r="AB202" s="17">
        <v>1.084436763074041</v>
      </c>
      <c r="AC202" s="18">
        <v>0.21611114456255431</v>
      </c>
      <c r="AD202" s="21">
        <v>7.0753869359682683E-2</v>
      </c>
      <c r="AE202" s="21">
        <v>0.34468117679283339</v>
      </c>
      <c r="AF202" s="21">
        <v>1.515675037797984E-2</v>
      </c>
      <c r="AG202" s="21"/>
      <c r="AH202" s="21">
        <v>1.127176178232917</v>
      </c>
    </row>
    <row r="203" spans="1:34">
      <c r="A203" s="13" t="s">
        <v>78</v>
      </c>
      <c r="B203" s="13" t="s">
        <v>76</v>
      </c>
      <c r="C203" s="13">
        <v>68</v>
      </c>
      <c r="E203" s="14">
        <v>45076</v>
      </c>
      <c r="P203" s="18">
        <v>5.5269816659565728E-2</v>
      </c>
      <c r="Q203" s="18">
        <v>2.873605235732005</v>
      </c>
      <c r="R203" s="21" t="s">
        <v>50</v>
      </c>
      <c r="S203" s="21">
        <v>33.470659776666693</v>
      </c>
      <c r="T203" s="21">
        <v>3.8026726969645499</v>
      </c>
      <c r="U203" s="21">
        <v>7.0286493689344809E-2</v>
      </c>
      <c r="V203" s="21">
        <v>3.3565058618367692E-2</v>
      </c>
      <c r="Y203" s="92"/>
      <c r="Z203" s="20">
        <v>-3.1076053332571418</v>
      </c>
      <c r="AA203" s="10">
        <v>-0.8608415520777859</v>
      </c>
      <c r="AB203" s="17">
        <v>1.640279634996201</v>
      </c>
      <c r="AC203" s="18">
        <v>2.0515198602423328</v>
      </c>
      <c r="AD203" s="21">
        <v>1.27404557397338</v>
      </c>
      <c r="AE203" s="21">
        <v>6.3227598571594328</v>
      </c>
      <c r="AF203" s="21">
        <v>3.9425380704686451E-2</v>
      </c>
      <c r="AG203" s="21"/>
      <c r="AH203" s="21">
        <v>2.482919494131441</v>
      </c>
    </row>
    <row r="204" spans="1:34">
      <c r="A204" s="13" t="s">
        <v>75</v>
      </c>
      <c r="B204" s="13" t="s">
        <v>76</v>
      </c>
      <c r="C204" s="13">
        <v>69</v>
      </c>
      <c r="E204" s="14">
        <v>45083</v>
      </c>
      <c r="H204" s="16">
        <v>21.8</v>
      </c>
      <c r="I204" s="16">
        <v>5.12</v>
      </c>
      <c r="J204" s="16">
        <v>25.14</v>
      </c>
      <c r="P204" s="18">
        <v>3.1688377943730493E-2</v>
      </c>
      <c r="Q204" s="18">
        <v>2.8188220387058811</v>
      </c>
      <c r="R204" s="21" t="s">
        <v>50</v>
      </c>
      <c r="S204" s="21">
        <v>3.245982944532265</v>
      </c>
      <c r="T204" s="21">
        <v>1.281790819298412</v>
      </c>
      <c r="U204" s="21">
        <v>3.0370509093287219E-2</v>
      </c>
      <c r="V204" s="21">
        <v>1.5187623497257691E-2</v>
      </c>
      <c r="W204" s="18">
        <v>1.466576203347326</v>
      </c>
      <c r="Y204" s="92">
        <v>0.47967742907996758</v>
      </c>
      <c r="Z204" s="20">
        <v>-5.0084601771914743</v>
      </c>
      <c r="AA204" s="10">
        <v>-28.033494148151519</v>
      </c>
      <c r="AB204" s="17">
        <v>1.4633575264254279</v>
      </c>
      <c r="AC204" s="18">
        <v>0.29521243278260062</v>
      </c>
      <c r="AD204" s="21">
        <v>0.32920786684915199</v>
      </c>
      <c r="AE204" s="21">
        <v>0.7846730358913917</v>
      </c>
      <c r="AF204" s="21">
        <v>1.7578334115582229E-2</v>
      </c>
      <c r="AG204" s="21"/>
      <c r="AH204" s="21">
        <v>0.9641560331654444</v>
      </c>
    </row>
    <row r="205" spans="1:34">
      <c r="A205" s="13" t="s">
        <v>77</v>
      </c>
      <c r="B205" s="13" t="s">
        <v>76</v>
      </c>
      <c r="C205" s="13">
        <v>69</v>
      </c>
      <c r="E205" s="14">
        <v>45083</v>
      </c>
      <c r="H205" s="16">
        <v>17.2</v>
      </c>
      <c r="I205" s="16">
        <v>4.68</v>
      </c>
      <c r="J205" s="16">
        <v>25.63</v>
      </c>
      <c r="P205" s="18">
        <v>3.6046386277309307E-2</v>
      </c>
      <c r="Q205" s="18">
        <v>3.835443702809938</v>
      </c>
      <c r="R205" s="21" t="s">
        <v>50</v>
      </c>
      <c r="S205" s="21">
        <v>1.227699941835525</v>
      </c>
      <c r="T205" s="21">
        <v>1.604805804736239</v>
      </c>
      <c r="U205" s="21" t="s">
        <v>50</v>
      </c>
      <c r="V205" s="21">
        <v>9.1503388672416336E-3</v>
      </c>
      <c r="W205" s="18">
        <v>0.72324363649192747</v>
      </c>
      <c r="Y205" s="92">
        <v>0.138460875748457</v>
      </c>
      <c r="Z205" s="20">
        <v>-3.1595314734927258</v>
      </c>
      <c r="AA205" s="10">
        <v>-6.2828501115708404</v>
      </c>
      <c r="AB205" s="17">
        <v>1.316894805442218</v>
      </c>
      <c r="AC205" s="18">
        <v>0.26960226814519728</v>
      </c>
      <c r="AD205" s="21">
        <v>0.1131027288059147</v>
      </c>
      <c r="AE205" s="21">
        <v>0.43404586746656842</v>
      </c>
      <c r="AF205" s="21">
        <v>1.5713259296067109E-2</v>
      </c>
      <c r="AG205" s="21"/>
      <c r="AH205" s="21">
        <v>1.0405255162713469</v>
      </c>
    </row>
    <row r="206" spans="1:34">
      <c r="A206" s="13" t="s">
        <v>78</v>
      </c>
      <c r="B206" s="13" t="s">
        <v>76</v>
      </c>
      <c r="C206" s="13">
        <v>69</v>
      </c>
      <c r="E206" s="14">
        <v>45083</v>
      </c>
      <c r="H206" s="16">
        <v>19.7</v>
      </c>
      <c r="I206" s="16">
        <v>4.92</v>
      </c>
      <c r="J206" s="16">
        <v>67.25</v>
      </c>
      <c r="P206" s="18">
        <v>3.125276447460533E-2</v>
      </c>
      <c r="Q206" s="18">
        <v>2.8358067631065458</v>
      </c>
      <c r="R206" s="21" t="s">
        <v>50</v>
      </c>
      <c r="S206" s="21">
        <v>21.491638467827581</v>
      </c>
      <c r="T206" s="21">
        <v>3.6970846053150082</v>
      </c>
      <c r="U206" s="21" t="s">
        <v>50</v>
      </c>
      <c r="V206" s="21">
        <v>2.3237336337279119E-2</v>
      </c>
      <c r="W206" s="18">
        <v>0.83561564748559136</v>
      </c>
      <c r="Y206" s="92">
        <v>2.449245083062694</v>
      </c>
      <c r="Z206" s="20">
        <v>-3.1244365649197099</v>
      </c>
      <c r="AA206" s="10">
        <v>-2.8560071344008642</v>
      </c>
      <c r="AB206" s="17">
        <v>1.4244373427276771</v>
      </c>
      <c r="AC206" s="18">
        <v>1.656324352478967</v>
      </c>
      <c r="AD206" s="21">
        <v>1.1216085150415911</v>
      </c>
      <c r="AE206" s="21">
        <v>5.1150669026340303</v>
      </c>
      <c r="AF206" s="21">
        <v>3.4534252022588009E-2</v>
      </c>
      <c r="AG206" s="21"/>
      <c r="AH206" s="21">
        <v>1.86100693354484</v>
      </c>
    </row>
    <row r="207" spans="1:34">
      <c r="A207" s="13" t="s">
        <v>75</v>
      </c>
      <c r="B207" s="13" t="s">
        <v>76</v>
      </c>
      <c r="C207" s="13">
        <v>70</v>
      </c>
      <c r="E207" s="14">
        <v>45090</v>
      </c>
      <c r="H207" s="16">
        <v>20.100000000000001</v>
      </c>
      <c r="I207" s="16">
        <v>5.1100000000000003</v>
      </c>
      <c r="J207" s="16">
        <v>14.49</v>
      </c>
      <c r="P207" s="18">
        <v>2.0299999999999999E-2</v>
      </c>
      <c r="Q207" s="18">
        <v>1.439680933583054</v>
      </c>
      <c r="R207" s="21" t="s">
        <v>50</v>
      </c>
      <c r="S207" s="21">
        <v>1.7050453865588759</v>
      </c>
      <c r="T207" s="21">
        <v>1.2844747705579209</v>
      </c>
      <c r="U207" s="21">
        <v>3.2163989794607738E-2</v>
      </c>
      <c r="V207" s="21">
        <v>4.9695088696962757E-2</v>
      </c>
      <c r="W207" s="18">
        <v>1.5433175385007889</v>
      </c>
      <c r="Y207" s="92">
        <v>0.36139931753171262</v>
      </c>
      <c r="Z207" s="20">
        <v>-4.6156120679608872</v>
      </c>
      <c r="AA207" s="10">
        <v>-27.809142369804519</v>
      </c>
      <c r="AB207" s="17">
        <v>0.86410578414515749</v>
      </c>
      <c r="AC207" s="18">
        <v>0.19546118449073671</v>
      </c>
      <c r="AD207" s="21">
        <v>0.22565250057687239</v>
      </c>
      <c r="AE207" s="21">
        <v>0.61720227386687077</v>
      </c>
      <c r="AF207" s="21">
        <v>1.6541008437124229E-2</v>
      </c>
      <c r="AG207" s="21"/>
      <c r="AH207" s="21">
        <v>1.086433196374506</v>
      </c>
    </row>
    <row r="208" spans="1:34">
      <c r="A208" s="13" t="s">
        <v>77</v>
      </c>
      <c r="B208" s="13" t="s">
        <v>76</v>
      </c>
      <c r="C208" s="13">
        <v>70</v>
      </c>
      <c r="E208" s="14">
        <v>45090</v>
      </c>
      <c r="H208" s="16">
        <v>19.5</v>
      </c>
      <c r="I208" s="16">
        <v>4.59</v>
      </c>
      <c r="J208" s="16">
        <v>27.19</v>
      </c>
      <c r="P208" s="18">
        <v>2.6499999999999999E-2</v>
      </c>
      <c r="Q208" s="18">
        <v>3.5502327706170091</v>
      </c>
      <c r="R208" s="21" t="s">
        <v>50</v>
      </c>
      <c r="S208" s="21">
        <v>2.379758244225997</v>
      </c>
      <c r="T208" s="21">
        <v>1.6389487411740731</v>
      </c>
      <c r="U208" s="21">
        <v>1.1150380299915481</v>
      </c>
      <c r="V208" s="21">
        <v>6.7860861287667676E-2</v>
      </c>
      <c r="W208" s="18">
        <v>0.81424877287430353</v>
      </c>
      <c r="Y208" s="92">
        <v>0.44962649440698849</v>
      </c>
      <c r="Z208" s="20">
        <v>-4.1837298257256181</v>
      </c>
      <c r="AA208" s="10">
        <v>-21.44033452246568</v>
      </c>
      <c r="AB208" s="17">
        <v>1.460775206762879</v>
      </c>
      <c r="AC208" s="18">
        <v>0.32874554288335839</v>
      </c>
      <c r="AD208" s="21">
        <v>0.14391406687621319</v>
      </c>
      <c r="AE208" s="21">
        <v>0.44431055354668658</v>
      </c>
      <c r="AF208" s="21">
        <v>1.5950727168516102E-2</v>
      </c>
      <c r="AG208" s="21"/>
      <c r="AH208" s="21">
        <v>1.242787281116982</v>
      </c>
    </row>
    <row r="209" spans="1:34">
      <c r="A209" s="13" t="s">
        <v>78</v>
      </c>
      <c r="B209" s="13" t="s">
        <v>76</v>
      </c>
      <c r="C209" s="13">
        <v>70</v>
      </c>
      <c r="E209" s="14">
        <v>45090</v>
      </c>
      <c r="P209" s="18">
        <v>2.46E-2</v>
      </c>
      <c r="Q209" s="18">
        <v>2.8718832329167121</v>
      </c>
      <c r="R209" s="21" t="s">
        <v>50</v>
      </c>
      <c r="S209" s="21">
        <v>21.216998477008492</v>
      </c>
      <c r="T209" s="21">
        <v>3.7373989211473049</v>
      </c>
      <c r="U209" s="21" t="s">
        <v>50</v>
      </c>
      <c r="V209" s="21">
        <v>3.4935398467015023E-2</v>
      </c>
      <c r="W209" s="18">
        <v>3.015358602323603</v>
      </c>
      <c r="Y209" s="92">
        <v>3.4304455183437028</v>
      </c>
      <c r="Z209" s="20">
        <v>-3.4417231873247252</v>
      </c>
      <c r="AA209" s="10">
        <v>-9.8112600953723206</v>
      </c>
      <c r="AB209" s="17">
        <v>1.424783590542132</v>
      </c>
      <c r="AC209" s="18">
        <v>1.5568857611077389</v>
      </c>
      <c r="AD209" s="21">
        <v>1.109734933635643</v>
      </c>
      <c r="AE209" s="21">
        <v>4.932564449212415</v>
      </c>
      <c r="AF209" s="21">
        <v>3.4248779220657777E-2</v>
      </c>
      <c r="AG209" s="21"/>
      <c r="AH209" s="21">
        <v>2.2072027752329531</v>
      </c>
    </row>
    <row r="210" spans="1:34">
      <c r="A210" s="13" t="s">
        <v>75</v>
      </c>
      <c r="B210" s="13" t="s">
        <v>76</v>
      </c>
      <c r="C210" s="13">
        <v>71</v>
      </c>
      <c r="E210" s="14">
        <v>45098</v>
      </c>
      <c r="H210" s="16">
        <v>23.1</v>
      </c>
      <c r="I210" s="16">
        <v>5.28</v>
      </c>
      <c r="J210" s="16">
        <v>10.52</v>
      </c>
      <c r="P210" s="18">
        <v>0.02</v>
      </c>
      <c r="Q210" s="18">
        <v>0.73859717976232364</v>
      </c>
      <c r="R210" s="21" t="s">
        <v>50</v>
      </c>
      <c r="S210" s="21">
        <v>0.99518439064051889</v>
      </c>
      <c r="T210" s="21">
        <v>1.4057892473016771</v>
      </c>
      <c r="U210" s="21">
        <v>2.879644387618081E-2</v>
      </c>
      <c r="V210" s="21">
        <v>1.7337306269769641E-2</v>
      </c>
      <c r="W210" s="18">
        <v>1.3319266651644861</v>
      </c>
      <c r="Y210" s="92">
        <v>0.15284057322930961</v>
      </c>
      <c r="Z210" s="20">
        <v>-8.1755966202501131</v>
      </c>
      <c r="AA210" s="10">
        <v>-53.258982007501977</v>
      </c>
      <c r="AB210" s="17">
        <v>0.48757738537662387</v>
      </c>
      <c r="AC210" s="18">
        <v>0.1343450451786653</v>
      </c>
      <c r="AD210" s="21">
        <v>0.16428372302723229</v>
      </c>
      <c r="AE210" s="21">
        <v>0.45294674657791079</v>
      </c>
      <c r="AF210" s="21">
        <v>1.54536485490438E-2</v>
      </c>
      <c r="AG210" s="21"/>
      <c r="AH210" s="21">
        <v>1.0904396874222779</v>
      </c>
    </row>
    <row r="211" spans="1:34">
      <c r="A211" s="13" t="s">
        <v>77</v>
      </c>
      <c r="B211" s="13" t="s">
        <v>76</v>
      </c>
      <c r="C211" s="13">
        <v>71</v>
      </c>
      <c r="E211" s="14">
        <v>45098</v>
      </c>
      <c r="H211" s="16">
        <v>16.600000000000001</v>
      </c>
      <c r="I211" s="16">
        <v>4.75</v>
      </c>
      <c r="J211" s="16">
        <v>23.25</v>
      </c>
      <c r="P211" s="18">
        <v>3.0599999999999999E-2</v>
      </c>
      <c r="Q211" s="18">
        <v>2.1330096705026049</v>
      </c>
      <c r="R211" s="21" t="s">
        <v>50</v>
      </c>
      <c r="S211" s="21">
        <v>3.4248445265092839</v>
      </c>
      <c r="T211" s="21">
        <v>1.774577499473027</v>
      </c>
      <c r="U211" s="21" t="s">
        <v>50</v>
      </c>
      <c r="V211" s="21">
        <v>2.8690914138960209E-2</v>
      </c>
      <c r="W211" s="18">
        <v>0.83902450873936851</v>
      </c>
      <c r="Y211" s="92">
        <v>0.6377234906400413</v>
      </c>
      <c r="Z211" s="20">
        <v>-5.5803639424068354</v>
      </c>
      <c r="AA211" s="10">
        <v>-33.174106446120973</v>
      </c>
      <c r="AB211" s="17">
        <v>1.3323263127750831</v>
      </c>
      <c r="AC211" s="18">
        <v>0.31789015857559583</v>
      </c>
      <c r="AD211" s="21">
        <v>0.10035435203959479</v>
      </c>
      <c r="AE211" s="21">
        <v>0.40510880765852803</v>
      </c>
      <c r="AF211" s="21">
        <v>1.553850363443909E-2</v>
      </c>
      <c r="AG211" s="21"/>
      <c r="AH211" s="21">
        <v>1.1733793515538351</v>
      </c>
    </row>
    <row r="212" spans="1:34">
      <c r="A212" s="13" t="s">
        <v>78</v>
      </c>
      <c r="B212" s="13" t="s">
        <v>76</v>
      </c>
      <c r="C212" s="13">
        <v>71</v>
      </c>
      <c r="E212" s="14">
        <v>45098</v>
      </c>
      <c r="H212" s="16">
        <v>15.3</v>
      </c>
      <c r="I212" s="16">
        <v>4.8899999999999997</v>
      </c>
      <c r="J212" s="16">
        <v>51.91</v>
      </c>
      <c r="P212" s="18">
        <v>2.2800000000000001E-2</v>
      </c>
      <c r="Q212" s="18">
        <v>2.375822086245305</v>
      </c>
      <c r="R212" s="21" t="s">
        <v>50</v>
      </c>
      <c r="S212" s="21">
        <v>14.82520063616191</v>
      </c>
      <c r="T212" s="21">
        <v>3.9165758713280039</v>
      </c>
      <c r="U212" s="21" t="s">
        <v>50</v>
      </c>
      <c r="V212" s="21">
        <v>2.64201925651221E-2</v>
      </c>
      <c r="W212" s="18">
        <v>0.99908129466606477</v>
      </c>
      <c r="Y212" s="92">
        <v>2.0206710898639768</v>
      </c>
      <c r="Z212" s="20">
        <v>-5.8661367693585298</v>
      </c>
      <c r="AA212" s="10">
        <v>-34.365431780754257</v>
      </c>
      <c r="AB212" s="17">
        <v>1.1722010658049069</v>
      </c>
      <c r="AC212" s="18">
        <v>1.1271478332791609</v>
      </c>
      <c r="AD212" s="21">
        <v>0.88998613688995942</v>
      </c>
      <c r="AE212" s="21">
        <v>3.686422027675595</v>
      </c>
      <c r="AF212" s="21">
        <v>2.90422332004171E-2</v>
      </c>
      <c r="AG212" s="21"/>
      <c r="AH212" s="21">
        <v>1.867822477189677</v>
      </c>
    </row>
    <row r="213" spans="1:34">
      <c r="A213" s="13" t="s">
        <v>75</v>
      </c>
      <c r="B213" s="13" t="s">
        <v>76</v>
      </c>
      <c r="C213" s="13">
        <v>72</v>
      </c>
      <c r="E213" s="14">
        <v>45104</v>
      </c>
      <c r="Y213" s="92"/>
      <c r="AC213" s="18"/>
      <c r="AD213" s="21"/>
      <c r="AE213" s="21"/>
      <c r="AF213" s="21"/>
      <c r="AG213" s="21"/>
      <c r="AH213" s="21"/>
    </row>
    <row r="214" spans="1:34">
      <c r="A214" s="13" t="s">
        <v>77</v>
      </c>
      <c r="B214" s="13" t="s">
        <v>76</v>
      </c>
      <c r="C214" s="13">
        <v>72</v>
      </c>
      <c r="E214" s="14">
        <v>45104</v>
      </c>
      <c r="Y214" s="92"/>
      <c r="AC214" s="18"/>
      <c r="AD214" s="21"/>
      <c r="AE214" s="21"/>
      <c r="AF214" s="21"/>
      <c r="AG214" s="21"/>
      <c r="AH214" s="21"/>
    </row>
    <row r="215" spans="1:34">
      <c r="A215" s="13" t="s">
        <v>78</v>
      </c>
      <c r="B215" s="13" t="s">
        <v>76</v>
      </c>
      <c r="C215" s="13">
        <v>72</v>
      </c>
      <c r="E215" s="14">
        <v>45104</v>
      </c>
      <c r="H215" s="16">
        <v>21.2</v>
      </c>
      <c r="I215" s="16">
        <v>4.92</v>
      </c>
      <c r="J215" s="16">
        <v>52.17</v>
      </c>
      <c r="W215" s="18">
        <v>0.90574345707407766</v>
      </c>
      <c r="Y215" s="92">
        <v>4.0967476290470719</v>
      </c>
      <c r="Z215" s="20">
        <v>-6.5401022584852093</v>
      </c>
      <c r="AA215" s="10">
        <v>-40.587106601363203</v>
      </c>
      <c r="AB215" s="17">
        <v>1.129011806861449</v>
      </c>
      <c r="AC215" s="18">
        <v>1.2308890438140621</v>
      </c>
      <c r="AD215" s="21">
        <v>0.9364231714619613</v>
      </c>
      <c r="AE215" s="21">
        <v>4.4973153638735912</v>
      </c>
      <c r="AF215" s="21">
        <v>3.2076430372050137E-2</v>
      </c>
      <c r="AG215" s="21"/>
      <c r="AH215" s="21">
        <v>2.0578120172172918</v>
      </c>
    </row>
    <row r="216" spans="1:34">
      <c r="A216" s="13" t="s">
        <v>75</v>
      </c>
      <c r="B216" s="13" t="s">
        <v>76</v>
      </c>
      <c r="C216" s="13">
        <v>73</v>
      </c>
      <c r="E216" s="14">
        <v>45111</v>
      </c>
      <c r="Y216" s="92"/>
      <c r="Z216" s="20">
        <v>-7.9116685833285576</v>
      </c>
      <c r="AA216" s="10">
        <v>-51.142770814535879</v>
      </c>
      <c r="AB216" s="17">
        <v>1.01919323191981</v>
      </c>
      <c r="AC216" s="18">
        <v>0.1191597940951446</v>
      </c>
      <c r="AD216" s="21">
        <v>0.99400723498768007</v>
      </c>
      <c r="AE216" s="21">
        <v>0.46377083041538703</v>
      </c>
      <c r="AF216" s="21">
        <v>1.543530175839025E-2</v>
      </c>
      <c r="AG216" s="21"/>
      <c r="AH216" s="21">
        <v>2.3993552478972888</v>
      </c>
    </row>
    <row r="217" spans="1:34">
      <c r="A217" s="13" t="s">
        <v>77</v>
      </c>
      <c r="B217" s="13" t="s">
        <v>76</v>
      </c>
      <c r="C217" s="13">
        <v>73</v>
      </c>
      <c r="E217" s="14">
        <v>45111</v>
      </c>
      <c r="H217" s="16">
        <v>24.3</v>
      </c>
      <c r="I217" s="16">
        <v>6.42</v>
      </c>
      <c r="J217" s="16">
        <v>40.619999999999997</v>
      </c>
      <c r="Y217" s="92"/>
      <c r="Z217" s="20">
        <v>-7.306460466100031</v>
      </c>
      <c r="AA217" s="10">
        <v>-46.532950475880412</v>
      </c>
      <c r="AB217" s="17">
        <v>1.29977390897223</v>
      </c>
      <c r="AC217" s="18">
        <v>0.2260581429089473</v>
      </c>
      <c r="AD217" s="21">
        <v>0.48978229948258589</v>
      </c>
      <c r="AE217" s="21">
        <v>0.78314078633795581</v>
      </c>
      <c r="AF217" s="21">
        <v>1.6224445777033442E-2</v>
      </c>
      <c r="AG217" s="21"/>
      <c r="AH217" s="21">
        <v>2.247027206740845</v>
      </c>
    </row>
    <row r="218" spans="1:34">
      <c r="A218" s="13" t="s">
        <v>78</v>
      </c>
      <c r="B218" s="13" t="s">
        <v>76</v>
      </c>
      <c r="C218" s="13">
        <v>73</v>
      </c>
      <c r="E218" s="14">
        <v>45111</v>
      </c>
      <c r="H218" s="16">
        <v>25.1</v>
      </c>
      <c r="I218" s="16">
        <v>6.58</v>
      </c>
      <c r="J218" s="16">
        <v>64.349999999999994</v>
      </c>
      <c r="P218" s="18">
        <v>2.3099999999999999E-2</v>
      </c>
      <c r="Q218" s="18">
        <v>1.7354138178473399</v>
      </c>
      <c r="R218" s="21" t="s">
        <v>50</v>
      </c>
      <c r="S218" s="21">
        <v>15.011210538699411</v>
      </c>
      <c r="T218" s="21">
        <v>3.4917329508632018</v>
      </c>
      <c r="U218" s="21" t="s">
        <v>50</v>
      </c>
      <c r="V218" s="21" t="s">
        <v>50</v>
      </c>
      <c r="W218" s="18">
        <v>0.83698777293158944</v>
      </c>
      <c r="Y218" s="92">
        <v>3.057609012525762</v>
      </c>
      <c r="Z218" s="20">
        <v>-7.1195263612519293</v>
      </c>
      <c r="AA218" s="10">
        <v>-45.267536879560438</v>
      </c>
      <c r="AB218" s="17">
        <v>0.96994401532756536</v>
      </c>
      <c r="AC218" s="18">
        <v>1.1012739058037559</v>
      </c>
      <c r="AD218" s="21">
        <v>0.88594752309413949</v>
      </c>
      <c r="AE218" s="21">
        <v>3.694596362703062</v>
      </c>
      <c r="AF218" s="21">
        <v>2.9094078302580709E-2</v>
      </c>
      <c r="AG218" s="21"/>
      <c r="AH218" s="21">
        <v>1.9692630250935541</v>
      </c>
    </row>
    <row r="219" spans="1:34">
      <c r="A219" s="13" t="s">
        <v>75</v>
      </c>
      <c r="B219" s="13" t="s">
        <v>76</v>
      </c>
      <c r="C219" s="13">
        <v>74</v>
      </c>
      <c r="E219" s="14">
        <v>45118</v>
      </c>
      <c r="Y219" s="92"/>
      <c r="AC219" s="18"/>
      <c r="AD219" s="21"/>
      <c r="AE219" s="21"/>
      <c r="AF219" s="21"/>
      <c r="AG219" s="21"/>
      <c r="AH219" s="21"/>
    </row>
    <row r="220" spans="1:34">
      <c r="A220" s="13" t="s">
        <v>77</v>
      </c>
      <c r="B220" s="13" t="s">
        <v>76</v>
      </c>
      <c r="C220" s="13">
        <v>74</v>
      </c>
      <c r="E220" s="14">
        <v>45118</v>
      </c>
      <c r="Y220" s="92"/>
      <c r="AC220" s="18"/>
      <c r="AD220" s="21"/>
      <c r="AE220" s="21"/>
      <c r="AF220" s="21"/>
      <c r="AG220" s="21"/>
      <c r="AH220" s="21"/>
    </row>
    <row r="221" spans="1:34">
      <c r="A221" s="13" t="s">
        <v>78</v>
      </c>
      <c r="B221" s="13" t="s">
        <v>76</v>
      </c>
      <c r="C221" s="13">
        <v>74</v>
      </c>
      <c r="E221" s="14">
        <v>45118</v>
      </c>
      <c r="H221" s="16">
        <v>17.399999999999999</v>
      </c>
      <c r="I221" s="16">
        <v>5.04</v>
      </c>
      <c r="J221" s="16">
        <v>39.22</v>
      </c>
      <c r="P221" s="18">
        <v>1.47E-2</v>
      </c>
      <c r="Q221" s="18">
        <v>1.350680344153445</v>
      </c>
      <c r="R221" s="21" t="s">
        <v>50</v>
      </c>
      <c r="S221" s="21">
        <v>11.364910882314</v>
      </c>
      <c r="T221" s="21">
        <v>4.0090288922418242</v>
      </c>
      <c r="U221" s="21">
        <v>2.6183182599111818E-2</v>
      </c>
      <c r="V221" s="21">
        <v>2.8986819368359149E-2</v>
      </c>
      <c r="W221" s="18">
        <v>0.79395418357241554</v>
      </c>
      <c r="Y221" s="92">
        <v>1.626080409926465</v>
      </c>
      <c r="Z221" s="20">
        <v>-7.742640044078934</v>
      </c>
      <c r="AA221" s="10">
        <v>-51.814434820718901</v>
      </c>
      <c r="AB221" s="17">
        <v>0.82653083837342689</v>
      </c>
      <c r="AC221" s="18">
        <v>0.8578848982533418</v>
      </c>
      <c r="AD221" s="21">
        <v>0.76348541147065629</v>
      </c>
      <c r="AE221" s="21">
        <v>2.892908102028366</v>
      </c>
      <c r="AF221" s="21">
        <v>2.5842744233553219E-2</v>
      </c>
      <c r="AG221" s="21"/>
      <c r="AH221" s="21">
        <v>1.774716664244512</v>
      </c>
    </row>
    <row r="222" spans="1:34">
      <c r="A222" s="13" t="s">
        <v>75</v>
      </c>
      <c r="B222" s="13" t="s">
        <v>76</v>
      </c>
      <c r="C222" s="13">
        <v>75</v>
      </c>
      <c r="E222" s="14">
        <v>45125</v>
      </c>
      <c r="Y222" s="92"/>
      <c r="AC222" s="18"/>
      <c r="AD222" s="21"/>
      <c r="AE222" s="21"/>
      <c r="AF222" s="21"/>
      <c r="AG222" s="21"/>
      <c r="AH222" s="21"/>
    </row>
    <row r="223" spans="1:34">
      <c r="A223" s="13" t="s">
        <v>77</v>
      </c>
      <c r="B223" s="13" t="s">
        <v>76</v>
      </c>
      <c r="C223" s="13">
        <v>75</v>
      </c>
      <c r="E223" s="14">
        <v>45125</v>
      </c>
      <c r="P223" s="18">
        <v>2.5700000000000001E-2</v>
      </c>
      <c r="Q223" s="18">
        <v>1.24153963724086</v>
      </c>
      <c r="R223" s="21" t="s">
        <v>50</v>
      </c>
      <c r="S223" s="21">
        <v>0.97812544438788929</v>
      </c>
      <c r="T223" s="21">
        <v>3.2017714597707161</v>
      </c>
      <c r="U223" s="21">
        <v>0.10909732636560771</v>
      </c>
      <c r="V223" s="21">
        <v>0.15480670245229611</v>
      </c>
      <c r="Y223" s="92"/>
      <c r="AC223" s="18"/>
      <c r="AD223" s="21"/>
      <c r="AE223" s="21"/>
      <c r="AF223" s="21"/>
      <c r="AG223" s="21"/>
      <c r="AH223" s="21"/>
    </row>
    <row r="224" spans="1:34">
      <c r="A224" s="13" t="s">
        <v>78</v>
      </c>
      <c r="B224" s="13" t="s">
        <v>76</v>
      </c>
      <c r="C224" s="13">
        <v>75</v>
      </c>
      <c r="E224" s="14">
        <v>45125</v>
      </c>
      <c r="P224" s="18">
        <v>4.8300000000000003E-2</v>
      </c>
      <c r="Q224" s="18">
        <v>1.2589118168771301</v>
      </c>
      <c r="R224" s="21" t="s">
        <v>50</v>
      </c>
      <c r="S224" s="21">
        <v>15.649902400751239</v>
      </c>
      <c r="T224" s="21">
        <v>3.602744491159819</v>
      </c>
      <c r="U224" s="21" t="s">
        <v>50</v>
      </c>
      <c r="V224" s="21">
        <v>5.7082521416228549E-2</v>
      </c>
      <c r="Y224" s="92"/>
      <c r="Z224" s="20">
        <v>-8.2346849867250871</v>
      </c>
      <c r="AA224" s="10">
        <v>-53.810643899685459</v>
      </c>
      <c r="AB224" s="17">
        <v>0.80301084682257784</v>
      </c>
      <c r="AC224" s="18">
        <v>0.94664018126223615</v>
      </c>
      <c r="AD224" s="21">
        <v>0.8039130238850678</v>
      </c>
      <c r="AE224" s="21">
        <v>3.309914806487364</v>
      </c>
      <c r="AF224" s="21">
        <v>2.7754828313110481E-2</v>
      </c>
      <c r="AG224" s="21"/>
      <c r="AH224" s="21">
        <v>2.3061472678876931</v>
      </c>
    </row>
    <row r="225" spans="1:34">
      <c r="A225" s="13" t="s">
        <v>75</v>
      </c>
      <c r="B225" s="13" t="s">
        <v>76</v>
      </c>
      <c r="C225" s="13">
        <v>76</v>
      </c>
      <c r="E225" s="14">
        <v>45132</v>
      </c>
      <c r="H225" s="16">
        <v>23.2</v>
      </c>
      <c r="I225" s="16">
        <v>6.91</v>
      </c>
      <c r="J225" s="16">
        <v>9.08</v>
      </c>
      <c r="W225" s="18">
        <v>1.691146661787907</v>
      </c>
      <c r="Y225" s="92">
        <v>0.32372867460648108</v>
      </c>
      <c r="Z225" s="20">
        <v>-8.2246578699899402</v>
      </c>
      <c r="AA225" s="10">
        <v>-54.888228100180037</v>
      </c>
      <c r="AB225" s="17">
        <v>0.62519630734431375</v>
      </c>
      <c r="AC225" s="18">
        <v>7.070735388419884E-2</v>
      </c>
      <c r="AD225" s="21">
        <v>0.26462273297067263</v>
      </c>
      <c r="AE225" s="21">
        <v>0.34500960018028398</v>
      </c>
      <c r="AF225" s="21">
        <v>1.5029519183254529E-2</v>
      </c>
      <c r="AG225" s="21"/>
      <c r="AH225" s="21">
        <v>1.7652745853038061</v>
      </c>
    </row>
    <row r="226" spans="1:34">
      <c r="A226" s="13" t="s">
        <v>77</v>
      </c>
      <c r="B226" s="13" t="s">
        <v>76</v>
      </c>
      <c r="C226" s="13">
        <v>76</v>
      </c>
      <c r="E226" s="14">
        <v>45132</v>
      </c>
      <c r="Y226" s="92"/>
      <c r="AC226" s="18"/>
      <c r="AD226" s="21"/>
      <c r="AE226" s="21"/>
      <c r="AF226" s="21"/>
      <c r="AG226" s="21"/>
      <c r="AH226" s="21"/>
    </row>
    <row r="227" spans="1:34">
      <c r="A227" s="13" t="s">
        <v>78</v>
      </c>
      <c r="B227" s="13" t="s">
        <v>76</v>
      </c>
      <c r="C227" s="13">
        <v>76</v>
      </c>
      <c r="E227" s="14">
        <v>45132</v>
      </c>
      <c r="Y227" s="92"/>
      <c r="AC227" s="18"/>
      <c r="AD227" s="21"/>
      <c r="AE227" s="21"/>
      <c r="AF227" s="21"/>
      <c r="AG227" s="21"/>
      <c r="AH227" s="21"/>
    </row>
    <row r="228" spans="1:34">
      <c r="A228" s="13" t="s">
        <v>75</v>
      </c>
      <c r="B228" s="13" t="s">
        <v>76</v>
      </c>
      <c r="C228" s="13">
        <v>77</v>
      </c>
      <c r="E228" s="14">
        <v>45139</v>
      </c>
      <c r="Y228" s="92"/>
      <c r="Z228" s="20">
        <v>-7.4085221900113503</v>
      </c>
      <c r="AA228" s="10">
        <v>-47.948627588860703</v>
      </c>
      <c r="AB228" s="17">
        <v>0.78625692879135256</v>
      </c>
      <c r="AC228" s="18">
        <v>9.5983802601512361E-2</v>
      </c>
      <c r="AD228" s="21">
        <v>0.33215665379171772</v>
      </c>
      <c r="AE228" s="21">
        <v>0.42297030200469349</v>
      </c>
      <c r="AF228" s="21">
        <v>1.560263686808617E-2</v>
      </c>
      <c r="AG228" s="21"/>
      <c r="AH228" s="21">
        <v>1.7988261426039991</v>
      </c>
    </row>
    <row r="229" spans="1:34">
      <c r="A229" s="13" t="s">
        <v>77</v>
      </c>
      <c r="B229" s="13" t="s">
        <v>76</v>
      </c>
      <c r="C229" s="13">
        <v>77</v>
      </c>
      <c r="E229" s="14">
        <v>45139</v>
      </c>
      <c r="H229" s="16">
        <v>20.399999999999999</v>
      </c>
      <c r="I229" s="16">
        <v>5.2</v>
      </c>
      <c r="J229" s="16">
        <v>17.149999999999999</v>
      </c>
      <c r="P229" s="18">
        <v>1.55E-2</v>
      </c>
      <c r="Q229" s="18">
        <v>1.4520350725448901</v>
      </c>
      <c r="R229" s="21" t="s">
        <v>50</v>
      </c>
      <c r="S229" s="21">
        <v>1.375407478086528</v>
      </c>
      <c r="T229" s="21">
        <v>2.6261063468562642</v>
      </c>
      <c r="U229" s="21" t="s">
        <v>50</v>
      </c>
      <c r="V229" s="21">
        <v>1.9242135897227779E-2</v>
      </c>
      <c r="W229" s="18">
        <v>1.0912642187607711</v>
      </c>
      <c r="Y229" s="92">
        <v>0.40059787169139022</v>
      </c>
      <c r="Z229" s="20">
        <v>-7.7866877354511894</v>
      </c>
      <c r="AA229" s="10">
        <v>-50.589717593494427</v>
      </c>
      <c r="AB229" s="17">
        <v>1.0963970062825901</v>
      </c>
      <c r="AC229" s="18">
        <v>0.17647774073749531</v>
      </c>
      <c r="AD229" s="21">
        <v>0.1210972246710364</v>
      </c>
      <c r="AE229" s="21">
        <v>0.42656651451294458</v>
      </c>
      <c r="AF229" s="21">
        <v>1.5609222726316299E-2</v>
      </c>
      <c r="AG229" s="21"/>
      <c r="AH229" s="21">
        <v>1.658841756365272</v>
      </c>
    </row>
    <row r="230" spans="1:34">
      <c r="A230" s="13" t="s">
        <v>78</v>
      </c>
      <c r="B230" s="13" t="s">
        <v>76</v>
      </c>
      <c r="C230" s="13">
        <v>77</v>
      </c>
      <c r="E230" s="14">
        <v>45139</v>
      </c>
      <c r="Y230" s="92"/>
      <c r="AC230" s="18"/>
      <c r="AD230" s="21"/>
      <c r="AE230" s="21"/>
      <c r="AF230" s="21"/>
      <c r="AG230" s="21"/>
      <c r="AH230" s="21"/>
    </row>
    <row r="231" spans="1:34">
      <c r="A231" s="13" t="s">
        <v>75</v>
      </c>
      <c r="B231" s="13" t="s">
        <v>76</v>
      </c>
      <c r="C231" s="13">
        <v>78</v>
      </c>
      <c r="E231" s="14">
        <v>45146</v>
      </c>
      <c r="Y231" s="92"/>
      <c r="AC231" s="18"/>
      <c r="AD231" s="21"/>
      <c r="AE231" s="21"/>
      <c r="AF231" s="21"/>
      <c r="AG231" s="21"/>
      <c r="AH231" s="21"/>
    </row>
    <row r="232" spans="1:34">
      <c r="A232" s="13" t="s">
        <v>77</v>
      </c>
      <c r="B232" s="13" t="s">
        <v>76</v>
      </c>
      <c r="C232" s="13">
        <v>78</v>
      </c>
      <c r="E232" s="14">
        <v>45146</v>
      </c>
      <c r="Y232" s="92"/>
      <c r="AC232" s="18"/>
      <c r="AD232" s="21"/>
      <c r="AE232" s="21"/>
      <c r="AF232" s="21"/>
      <c r="AG232" s="21"/>
      <c r="AH232" s="21"/>
    </row>
    <row r="233" spans="1:34">
      <c r="A233" s="13" t="s">
        <v>78</v>
      </c>
      <c r="B233" s="13" t="s">
        <v>76</v>
      </c>
      <c r="C233" s="13">
        <v>78</v>
      </c>
      <c r="E233" s="14">
        <v>45146</v>
      </c>
      <c r="Y233" s="92"/>
      <c r="AC233" s="18"/>
      <c r="AD233" s="21"/>
      <c r="AE233" s="21"/>
      <c r="AF233" s="21"/>
      <c r="AG233" s="21"/>
      <c r="AH233" s="21"/>
    </row>
    <row r="234" spans="1:34">
      <c r="A234" s="13" t="s">
        <v>75</v>
      </c>
      <c r="B234" s="13" t="s">
        <v>76</v>
      </c>
      <c r="C234" s="13">
        <v>79</v>
      </c>
      <c r="E234" s="14">
        <v>45153</v>
      </c>
      <c r="Y234" s="92"/>
      <c r="AC234" s="18"/>
      <c r="AD234" s="21"/>
      <c r="AE234" s="21"/>
      <c r="AF234" s="21"/>
      <c r="AG234" s="21"/>
      <c r="AH234" s="21"/>
    </row>
    <row r="235" spans="1:34">
      <c r="A235" s="13" t="s">
        <v>77</v>
      </c>
      <c r="B235" s="13" t="s">
        <v>76</v>
      </c>
      <c r="C235" s="13">
        <v>79</v>
      </c>
      <c r="E235" s="14">
        <v>45153</v>
      </c>
      <c r="P235" s="18">
        <v>3.6299999999999999E-2</v>
      </c>
      <c r="Q235" s="18">
        <v>1.554228845944905</v>
      </c>
      <c r="R235" s="21" t="s">
        <v>50</v>
      </c>
      <c r="S235" s="21">
        <v>0.85735307567174024</v>
      </c>
      <c r="T235" s="21">
        <v>2.8400455047644222</v>
      </c>
      <c r="U235" s="21" t="s">
        <v>50</v>
      </c>
      <c r="V235" s="21">
        <v>8.7032610885126857E-2</v>
      </c>
      <c r="Y235" s="92"/>
      <c r="Z235" s="20">
        <v>-7.5936657382996042</v>
      </c>
      <c r="AA235" s="10">
        <v>-49.518046540646218</v>
      </c>
      <c r="AB235" s="17">
        <v>1.1228334876466</v>
      </c>
      <c r="AC235" s="18">
        <v>0.1355397341475377</v>
      </c>
      <c r="AD235" s="21">
        <v>0.17303116965181931</v>
      </c>
      <c r="AE235" s="21">
        <v>0.43499441612860679</v>
      </c>
      <c r="AF235" s="21">
        <v>1.848626923515985E-2</v>
      </c>
      <c r="AG235" s="21"/>
      <c r="AH235" s="21">
        <v>2.044232877992973</v>
      </c>
    </row>
    <row r="236" spans="1:34">
      <c r="A236" s="13" t="s">
        <v>78</v>
      </c>
      <c r="B236" s="13" t="s">
        <v>76</v>
      </c>
      <c r="C236" s="13">
        <v>79</v>
      </c>
      <c r="E236" s="14">
        <v>45153</v>
      </c>
      <c r="Y236" s="92"/>
      <c r="AC236" s="18"/>
      <c r="AD236" s="21"/>
      <c r="AE236" s="21"/>
      <c r="AF236" s="21"/>
      <c r="AG236" s="21"/>
      <c r="AH236" s="21"/>
    </row>
    <row r="237" spans="1:34">
      <c r="A237" s="13" t="s">
        <v>75</v>
      </c>
      <c r="B237" s="13" t="s">
        <v>76</v>
      </c>
      <c r="C237" s="13">
        <v>80</v>
      </c>
      <c r="E237" s="14">
        <v>45160</v>
      </c>
      <c r="H237" s="16">
        <v>23.5</v>
      </c>
      <c r="I237" s="16">
        <v>5.38</v>
      </c>
      <c r="J237" s="16">
        <v>14.47</v>
      </c>
      <c r="P237" s="18">
        <v>2.3300000000000001E-2</v>
      </c>
      <c r="Q237" s="18">
        <v>1.1435057407035789</v>
      </c>
      <c r="R237" s="21" t="s">
        <v>50</v>
      </c>
      <c r="S237" s="21">
        <v>3.118595360918015</v>
      </c>
      <c r="T237" s="21">
        <v>1.159746673697992</v>
      </c>
      <c r="U237" s="21" t="s">
        <v>50</v>
      </c>
      <c r="V237" s="21">
        <v>6.2608549765892654E-2</v>
      </c>
      <c r="Y237" s="92">
        <v>0.91851075204548538</v>
      </c>
      <c r="Z237" s="20">
        <v>-7.4393197628407304</v>
      </c>
      <c r="AA237" s="10">
        <v>-48.836643232457419</v>
      </c>
      <c r="AB237" s="17">
        <v>1.106045518482204</v>
      </c>
      <c r="AC237" s="18">
        <v>0.1173445540403867</v>
      </c>
      <c r="AD237" s="21">
        <v>0.3932286534045849</v>
      </c>
      <c r="AE237" s="21">
        <v>0.44229617142914079</v>
      </c>
      <c r="AF237" s="21">
        <v>1.9066116081025611E-2</v>
      </c>
      <c r="AG237" s="21"/>
      <c r="AH237" s="21">
        <v>2.0809218453975209</v>
      </c>
    </row>
    <row r="238" spans="1:34">
      <c r="A238" s="13" t="s">
        <v>77</v>
      </c>
      <c r="B238" s="13" t="s">
        <v>76</v>
      </c>
      <c r="C238" s="13">
        <v>80</v>
      </c>
      <c r="E238" s="14">
        <v>45160</v>
      </c>
      <c r="Y238" s="92"/>
      <c r="AC238" s="18"/>
      <c r="AD238" s="21"/>
      <c r="AE238" s="21"/>
      <c r="AF238" s="21"/>
      <c r="AG238" s="21"/>
      <c r="AH238" s="21"/>
    </row>
    <row r="239" spans="1:34">
      <c r="A239" s="13" t="s">
        <v>78</v>
      </c>
      <c r="B239" s="13" t="s">
        <v>76</v>
      </c>
      <c r="C239" s="13">
        <v>80</v>
      </c>
      <c r="E239" s="14">
        <v>45160</v>
      </c>
      <c r="H239" s="16">
        <v>22.6</v>
      </c>
      <c r="I239" s="16">
        <v>4.99</v>
      </c>
      <c r="J239" s="16">
        <v>47.5</v>
      </c>
      <c r="P239" s="18">
        <v>1.6500000000000001E-2</v>
      </c>
      <c r="Q239" s="18">
        <v>1.326462437712417</v>
      </c>
      <c r="R239" s="21" t="s">
        <v>50</v>
      </c>
      <c r="S239" s="21">
        <v>15.157428729923209</v>
      </c>
      <c r="T239" s="21">
        <v>3.5695079986837621</v>
      </c>
      <c r="U239" s="21" t="s">
        <v>50</v>
      </c>
      <c r="V239" s="21">
        <v>4.0558132805501593E-2</v>
      </c>
      <c r="W239" s="18">
        <v>0.87898233139287674</v>
      </c>
      <c r="Y239" s="92">
        <v>4.2461395266174904</v>
      </c>
      <c r="Z239" s="20">
        <v>-7.728673702912122</v>
      </c>
      <c r="AA239" s="10">
        <v>-50.101361164348411</v>
      </c>
      <c r="AB239" s="17">
        <v>0.93113813814656921</v>
      </c>
      <c r="AC239" s="18">
        <v>1.018146918850076</v>
      </c>
      <c r="AD239" s="21">
        <v>0.88134676914206689</v>
      </c>
      <c r="AE239" s="21">
        <v>3.6962761634726569</v>
      </c>
      <c r="AF239" s="21">
        <v>3.0867188935326719E-2</v>
      </c>
      <c r="AG239" s="21"/>
      <c r="AH239" s="21">
        <v>2.7328448040327822</v>
      </c>
    </row>
    <row r="240" spans="1:34" ht="16.2">
      <c r="A240" s="13" t="s">
        <v>75</v>
      </c>
      <c r="B240" s="13" t="s">
        <v>76</v>
      </c>
      <c r="C240" s="13">
        <v>81</v>
      </c>
      <c r="E240" s="14">
        <v>45168</v>
      </c>
      <c r="H240" s="16">
        <v>23.3</v>
      </c>
      <c r="I240" s="16">
        <v>7.05</v>
      </c>
      <c r="J240" s="16">
        <v>15.94</v>
      </c>
      <c r="P240" s="18">
        <v>3.8399999999999997E-2</v>
      </c>
      <c r="Q240" s="18">
        <v>1.04143262487454</v>
      </c>
      <c r="R240" s="21" t="s">
        <v>50</v>
      </c>
      <c r="S240" s="21">
        <v>2.620454779347702</v>
      </c>
      <c r="T240" s="21">
        <v>0.96867418411256057</v>
      </c>
      <c r="U240" s="21" t="s">
        <v>50</v>
      </c>
      <c r="V240" s="21">
        <v>3.6270551729869982E-2</v>
      </c>
      <c r="Y240" s="94">
        <v>0.69101720424721658</v>
      </c>
      <c r="Z240" s="20">
        <v>-7.1274048101152614</v>
      </c>
      <c r="AA240" s="10">
        <v>-46.292946247881289</v>
      </c>
      <c r="AB240" s="17">
        <v>1.078547979685623</v>
      </c>
      <c r="AC240" s="18">
        <v>9.9827722954647369E-2</v>
      </c>
      <c r="AD240" s="21">
        <v>0.30874808575598861</v>
      </c>
      <c r="AE240" s="21">
        <v>0.42840011287016772</v>
      </c>
      <c r="AF240" s="21">
        <v>1.867693343410274E-2</v>
      </c>
      <c r="AG240" s="21"/>
      <c r="AH240" s="21">
        <v>1.66977335090177</v>
      </c>
    </row>
    <row r="241" spans="1:34" ht="16.2">
      <c r="A241" s="13" t="s">
        <v>77</v>
      </c>
      <c r="B241" s="13" t="s">
        <v>76</v>
      </c>
      <c r="C241" s="13">
        <v>81</v>
      </c>
      <c r="E241" s="14">
        <v>45168</v>
      </c>
      <c r="H241" s="16">
        <v>22.7</v>
      </c>
      <c r="I241" s="16">
        <v>4.8099999999999996</v>
      </c>
      <c r="J241" s="16">
        <v>14.88</v>
      </c>
      <c r="P241" s="18">
        <v>2.3300000000000001E-2</v>
      </c>
      <c r="Q241" s="18">
        <v>1.5155946008664649</v>
      </c>
      <c r="R241" s="21" t="s">
        <v>50</v>
      </c>
      <c r="S241" s="21">
        <v>0.80281462115051894</v>
      </c>
      <c r="T241" s="21">
        <v>1.8191095914690421</v>
      </c>
      <c r="U241" s="21" t="s">
        <v>50</v>
      </c>
      <c r="V241" s="21">
        <v>3.1982970654238392E-2</v>
      </c>
      <c r="W241" s="18">
        <v>0.95069432988531843</v>
      </c>
      <c r="Y241" s="94">
        <v>0.31896521302099134</v>
      </c>
      <c r="Z241" s="20">
        <v>-7.9292160376150669</v>
      </c>
      <c r="AA241" s="10">
        <v>-52.988368544627619</v>
      </c>
      <c r="AB241" s="17">
        <v>1.025965863949877</v>
      </c>
      <c r="AC241" s="18">
        <v>0.10127465383400019</v>
      </c>
      <c r="AD241" s="21">
        <v>0.14691848661924381</v>
      </c>
      <c r="AE241" s="21">
        <v>0.2527724191729151</v>
      </c>
      <c r="AF241" s="21">
        <v>1.770235372394666E-2</v>
      </c>
      <c r="AG241" s="21"/>
      <c r="AH241" s="21">
        <v>1.6597453121391399</v>
      </c>
    </row>
    <row r="242" spans="1:34">
      <c r="A242" s="13" t="s">
        <v>78</v>
      </c>
      <c r="B242" s="13" t="s">
        <v>76</v>
      </c>
      <c r="C242" s="13">
        <v>81</v>
      </c>
      <c r="E242" s="14">
        <v>45168</v>
      </c>
      <c r="Y242" s="92"/>
      <c r="AC242" s="18"/>
      <c r="AD242" s="21"/>
      <c r="AE242" s="21"/>
      <c r="AF242" s="21"/>
      <c r="AG242" s="21"/>
      <c r="AH242" s="21"/>
    </row>
    <row r="243" spans="1:34">
      <c r="A243" s="13" t="s">
        <v>75</v>
      </c>
      <c r="B243" s="13" t="s">
        <v>76</v>
      </c>
      <c r="C243" s="13">
        <v>82</v>
      </c>
      <c r="E243" s="14">
        <v>45174</v>
      </c>
      <c r="H243" s="16">
        <v>22</v>
      </c>
      <c r="I243" s="16">
        <v>5.13</v>
      </c>
      <c r="J243" s="16">
        <v>12.57</v>
      </c>
      <c r="P243" s="18">
        <v>1.5100000000000001E-2</v>
      </c>
      <c r="Q243" s="18">
        <v>0.98106822923834325</v>
      </c>
      <c r="R243" s="21" t="s">
        <v>50</v>
      </c>
      <c r="S243" s="21">
        <v>2.1383813531849611</v>
      </c>
      <c r="T243" s="21">
        <v>1.1103366984638541</v>
      </c>
      <c r="U243" s="21" t="s">
        <v>50</v>
      </c>
      <c r="V243" s="21" t="s">
        <v>50</v>
      </c>
      <c r="W243" s="18">
        <v>1.152700968068586</v>
      </c>
      <c r="Y243" s="92">
        <v>0.34167384965145869</v>
      </c>
      <c r="Z243" s="20">
        <v>-6.0365977538560331</v>
      </c>
      <c r="AA243" s="10">
        <v>-36.055548510968308</v>
      </c>
      <c r="AB243" s="17">
        <v>0.9755760203301399</v>
      </c>
      <c r="AC243" s="18">
        <v>7.0066832666615203E-2</v>
      </c>
      <c r="AD243" s="21">
        <v>0.30046222192216032</v>
      </c>
      <c r="AE243" s="21">
        <v>0.32231582156192001</v>
      </c>
      <c r="AF243" s="21">
        <v>1.8193985408429071E-2</v>
      </c>
      <c r="AG243" s="21"/>
      <c r="AH243" s="21">
        <v>1.1188454623422339</v>
      </c>
    </row>
    <row r="244" spans="1:34">
      <c r="A244" s="13" t="s">
        <v>77</v>
      </c>
      <c r="B244" s="13" t="s">
        <v>76</v>
      </c>
      <c r="C244" s="13">
        <v>82</v>
      </c>
      <c r="E244" s="14">
        <v>45174</v>
      </c>
      <c r="H244" s="16">
        <v>20</v>
      </c>
      <c r="I244" s="16">
        <v>4.7</v>
      </c>
      <c r="J244" s="16">
        <v>16.66</v>
      </c>
      <c r="P244" s="18" t="s">
        <v>50</v>
      </c>
      <c r="Q244" s="18">
        <v>0.3070601639465515</v>
      </c>
      <c r="R244" s="21" t="s">
        <v>50</v>
      </c>
      <c r="S244" s="21">
        <v>7.6477192934888846E-2</v>
      </c>
      <c r="T244" s="21">
        <v>0.43010747532777721</v>
      </c>
      <c r="U244" s="21" t="s">
        <v>50</v>
      </c>
      <c r="V244" s="21" t="s">
        <v>50</v>
      </c>
      <c r="W244" s="18">
        <v>0.87334227887368177</v>
      </c>
      <c r="Y244" s="92">
        <v>0.1039905751802777</v>
      </c>
      <c r="Z244" s="20">
        <v>-7.1947297367655336</v>
      </c>
      <c r="AA244" s="10">
        <v>-46.884261012516802</v>
      </c>
      <c r="AB244" s="17">
        <v>1.023589574973325</v>
      </c>
      <c r="AC244" s="18">
        <v>0.1015174853463225</v>
      </c>
      <c r="AD244" s="21">
        <v>0.1446532598324361</v>
      </c>
      <c r="AE244" s="21">
        <v>0.28340983549376852</v>
      </c>
      <c r="AF244" s="21">
        <v>1.7975678214943169E-2</v>
      </c>
      <c r="AG244" s="21"/>
      <c r="AH244" s="21">
        <v>1.303182516512952</v>
      </c>
    </row>
    <row r="245" spans="1:34">
      <c r="A245" s="13" t="s">
        <v>78</v>
      </c>
      <c r="B245" s="13" t="s">
        <v>76</v>
      </c>
      <c r="C245" s="13">
        <v>82</v>
      </c>
      <c r="E245" s="14">
        <v>45174</v>
      </c>
      <c r="Y245" s="92"/>
      <c r="AC245" s="18"/>
      <c r="AD245" s="21"/>
      <c r="AE245" s="21"/>
      <c r="AF245" s="21"/>
      <c r="AG245" s="21"/>
      <c r="AH245" s="21"/>
    </row>
    <row r="246" spans="1:34" ht="16.2">
      <c r="A246" s="13" t="s">
        <v>75</v>
      </c>
      <c r="B246" s="13" t="s">
        <v>76</v>
      </c>
      <c r="C246" s="13">
        <v>83</v>
      </c>
      <c r="E246" s="14">
        <v>45181</v>
      </c>
      <c r="H246" s="16">
        <v>21.6</v>
      </c>
      <c r="I246" s="16">
        <v>6.14</v>
      </c>
      <c r="J246" s="16">
        <v>18.07</v>
      </c>
      <c r="P246" s="18">
        <v>1.6299999999999999E-2</v>
      </c>
      <c r="Q246" s="18">
        <v>1.669694304973665</v>
      </c>
      <c r="R246" s="21" t="s">
        <v>50</v>
      </c>
      <c r="S246" s="21">
        <v>2.8100702636962649</v>
      </c>
      <c r="T246" s="21">
        <v>0.78361274612865628</v>
      </c>
      <c r="U246" s="21" t="s">
        <v>50</v>
      </c>
      <c r="V246" s="21">
        <v>0.1972354763821835</v>
      </c>
      <c r="W246" s="18">
        <v>1.025646112092639</v>
      </c>
      <c r="Y246" s="94">
        <v>0.83046958937147364</v>
      </c>
      <c r="Z246" s="20">
        <v>-8.6935287588437866</v>
      </c>
      <c r="AA246" s="10">
        <v>-56.893149229301841</v>
      </c>
      <c r="AB246" s="17">
        <v>0.89840887853151286</v>
      </c>
      <c r="AC246" s="18">
        <v>0.1392187110359342</v>
      </c>
      <c r="AD246" s="21">
        <v>0.31684804120109977</v>
      </c>
      <c r="AE246" s="21">
        <v>0.48808887851049249</v>
      </c>
      <c r="AF246" s="21">
        <v>1.3664512175199289E-2</v>
      </c>
      <c r="AG246" s="21"/>
      <c r="AH246" s="21">
        <v>0.89521874440435478</v>
      </c>
    </row>
    <row r="247" spans="1:34">
      <c r="A247" s="13" t="s">
        <v>77</v>
      </c>
      <c r="B247" s="13" t="s">
        <v>76</v>
      </c>
      <c r="C247" s="13">
        <v>83</v>
      </c>
      <c r="E247" s="14">
        <v>45181</v>
      </c>
      <c r="Y247" s="92"/>
      <c r="AC247" s="18"/>
      <c r="AD247" s="21"/>
      <c r="AE247" s="21"/>
      <c r="AF247" s="21"/>
      <c r="AG247" s="21"/>
      <c r="AH247" s="21"/>
    </row>
    <row r="248" spans="1:34">
      <c r="A248" s="13" t="s">
        <v>78</v>
      </c>
      <c r="B248" s="13" t="s">
        <v>76</v>
      </c>
      <c r="C248" s="13">
        <v>83</v>
      </c>
      <c r="E248" s="14">
        <v>45181</v>
      </c>
      <c r="Y248" s="92"/>
      <c r="AC248" s="18"/>
      <c r="AD248" s="21"/>
      <c r="AE248" s="21"/>
      <c r="AF248" s="21"/>
      <c r="AG248" s="21"/>
      <c r="AH248" s="21"/>
    </row>
    <row r="249" spans="1:34">
      <c r="A249" s="13" t="s">
        <v>75</v>
      </c>
      <c r="B249" s="13" t="s">
        <v>76</v>
      </c>
      <c r="C249" s="13">
        <v>84</v>
      </c>
      <c r="E249" s="14">
        <v>45188</v>
      </c>
      <c r="P249" s="18">
        <v>3.1699999999999999E-2</v>
      </c>
      <c r="Q249" s="18">
        <v>1.5639086600425349</v>
      </c>
      <c r="R249" s="21" t="s">
        <v>50</v>
      </c>
      <c r="S249" s="21">
        <v>10.22209778545801</v>
      </c>
      <c r="T249" s="21">
        <v>1.090973892463178</v>
      </c>
      <c r="U249" s="21" t="s">
        <v>50</v>
      </c>
      <c r="V249" s="21">
        <v>0.27855438870144289</v>
      </c>
      <c r="Y249" s="92"/>
      <c r="AC249" s="18"/>
      <c r="AD249" s="21"/>
      <c r="AE249" s="21"/>
      <c r="AF249" s="21"/>
      <c r="AG249" s="21"/>
      <c r="AH249" s="21"/>
    </row>
    <row r="250" spans="1:34" ht="16.2">
      <c r="A250" s="13" t="s">
        <v>77</v>
      </c>
      <c r="B250" s="13" t="s">
        <v>76</v>
      </c>
      <c r="C250" s="13">
        <v>84</v>
      </c>
      <c r="E250" s="14">
        <v>45188</v>
      </c>
      <c r="P250" s="18" t="s">
        <v>50</v>
      </c>
      <c r="Q250" s="18">
        <v>1.527191734933683</v>
      </c>
      <c r="R250" s="21" t="s">
        <v>50</v>
      </c>
      <c r="S250" s="21">
        <v>0.24132312280587931</v>
      </c>
      <c r="T250" s="21">
        <v>2.3661931677831061</v>
      </c>
      <c r="U250" s="21" t="s">
        <v>50</v>
      </c>
      <c r="V250" s="21">
        <v>3.2256717848784568E-2</v>
      </c>
      <c r="W250" s="18">
        <v>0.86651165322812884</v>
      </c>
      <c r="Y250" s="94">
        <v>0.1464186549330394</v>
      </c>
      <c r="Z250" s="20">
        <v>-8.3294375231955957</v>
      </c>
      <c r="AA250" s="10">
        <v>-55.911610244564898</v>
      </c>
      <c r="AB250" s="17">
        <v>0.87355836278323851</v>
      </c>
      <c r="AC250" s="18">
        <v>0.10479813722323281</v>
      </c>
      <c r="AD250" s="21">
        <v>0.1092044580869439</v>
      </c>
      <c r="AE250" s="21">
        <v>0.30129630855418971</v>
      </c>
      <c r="AF250" s="21">
        <v>1.2028175605865849E-2</v>
      </c>
      <c r="AG250" s="21"/>
      <c r="AH250" s="21">
        <v>1.8073787142119131</v>
      </c>
    </row>
    <row r="251" spans="1:34">
      <c r="A251" s="13" t="s">
        <v>78</v>
      </c>
      <c r="B251" s="13" t="s">
        <v>76</v>
      </c>
      <c r="C251" s="13">
        <v>84</v>
      </c>
      <c r="E251" s="14">
        <v>45188</v>
      </c>
      <c r="Y251" s="92"/>
      <c r="AC251" s="18"/>
      <c r="AD251" s="21"/>
      <c r="AE251" s="21"/>
      <c r="AF251" s="21"/>
      <c r="AG251" s="21"/>
      <c r="AH251" s="21"/>
    </row>
    <row r="252" spans="1:34">
      <c r="A252" s="13" t="s">
        <v>75</v>
      </c>
      <c r="B252" s="13" t="s">
        <v>76</v>
      </c>
      <c r="C252" s="13">
        <v>85</v>
      </c>
      <c r="E252" s="14">
        <v>45196</v>
      </c>
      <c r="P252" s="18">
        <v>3.5700000000000003E-2</v>
      </c>
      <c r="Q252" s="18">
        <v>1.5746279505466809</v>
      </c>
      <c r="R252" s="21" t="s">
        <v>50</v>
      </c>
      <c r="S252" s="21">
        <v>15.490630782831969</v>
      </c>
      <c r="T252" s="21">
        <v>0.92268278810174931</v>
      </c>
      <c r="U252" s="21" t="s">
        <v>50</v>
      </c>
      <c r="V252" s="21">
        <v>6.006212659036865E-2</v>
      </c>
      <c r="Y252" s="92"/>
      <c r="Z252" s="20">
        <v>-6.4880431908278977</v>
      </c>
      <c r="AA252" s="10">
        <v>-39.537721200942251</v>
      </c>
      <c r="AB252" s="17">
        <v>1.501482918210437</v>
      </c>
      <c r="AC252" s="18">
        <v>0.47825939890028341</v>
      </c>
      <c r="AD252" s="21">
        <v>0.57004515971377023</v>
      </c>
      <c r="AE252" s="21">
        <v>1.459113322151292</v>
      </c>
      <c r="AF252" s="21">
        <v>2.237096545018313E-2</v>
      </c>
      <c r="AG252" s="21"/>
      <c r="AH252" s="21">
        <v>2.5914314123180531</v>
      </c>
    </row>
    <row r="253" spans="1:34">
      <c r="A253" s="13" t="s">
        <v>77</v>
      </c>
      <c r="B253" s="13" t="s">
        <v>76</v>
      </c>
      <c r="C253" s="13">
        <v>85</v>
      </c>
      <c r="E253" s="14">
        <v>45196</v>
      </c>
      <c r="Y253" s="92"/>
      <c r="AC253" s="18"/>
      <c r="AD253" s="21"/>
      <c r="AE253" s="21"/>
      <c r="AF253" s="21"/>
      <c r="AG253" s="21"/>
      <c r="AH253" s="21"/>
    </row>
    <row r="254" spans="1:34">
      <c r="A254" s="13" t="s">
        <v>78</v>
      </c>
      <c r="B254" s="13" t="s">
        <v>76</v>
      </c>
      <c r="C254" s="13">
        <v>85</v>
      </c>
      <c r="E254" s="14">
        <v>45196</v>
      </c>
      <c r="Y254" s="92"/>
      <c r="AC254" s="18"/>
      <c r="AD254" s="21"/>
      <c r="AE254" s="21"/>
      <c r="AF254" s="21"/>
      <c r="AG254" s="21"/>
      <c r="AH254" s="21"/>
    </row>
    <row r="255" spans="1:34" ht="16.2">
      <c r="A255" s="13" t="s">
        <v>75</v>
      </c>
      <c r="B255" s="13" t="s">
        <v>76</v>
      </c>
      <c r="C255" s="13">
        <v>86</v>
      </c>
      <c r="E255" s="14">
        <v>45204</v>
      </c>
      <c r="P255" s="18">
        <v>6.0499999999999998E-2</v>
      </c>
      <c r="Q255" s="18">
        <v>1.717888222801387</v>
      </c>
      <c r="R255" s="21" t="s">
        <v>50</v>
      </c>
      <c r="S255" s="21">
        <v>7.4411483553005047</v>
      </c>
      <c r="T255" s="21">
        <v>1.133911156828076</v>
      </c>
      <c r="U255" s="21" t="s">
        <v>50</v>
      </c>
      <c r="V255" s="21">
        <v>4.3996779317453397E-2</v>
      </c>
      <c r="W255" s="18">
        <v>1.480941997298707</v>
      </c>
      <c r="Y255" s="94">
        <v>1.8883394387599739</v>
      </c>
      <c r="Z255" s="20">
        <v>-5.8467152847979582</v>
      </c>
      <c r="AA255" s="10">
        <v>-33.758591014774822</v>
      </c>
      <c r="AB255" s="17">
        <v>1.242599984656652</v>
      </c>
      <c r="AC255" s="18">
        <v>0.29541144014886012</v>
      </c>
      <c r="AD255" s="21">
        <v>0.37216028252565431</v>
      </c>
      <c r="AE255" s="21">
        <v>0.84279596958149638</v>
      </c>
      <c r="AF255" s="21">
        <v>1.7161640618484169E-2</v>
      </c>
      <c r="AG255" s="21"/>
      <c r="AH255" s="21">
        <v>1.8150968940714931</v>
      </c>
    </row>
    <row r="256" spans="1:34">
      <c r="A256" s="13" t="s">
        <v>77</v>
      </c>
      <c r="B256" s="13" t="s">
        <v>76</v>
      </c>
      <c r="C256" s="13">
        <v>86</v>
      </c>
      <c r="E256" s="14">
        <v>45204</v>
      </c>
      <c r="Y256" s="92"/>
      <c r="Z256" s="20">
        <v>-7.6280093599500347</v>
      </c>
      <c r="AA256" s="10">
        <v>-48.53165460855854</v>
      </c>
      <c r="AB256" s="17">
        <v>0.94267166100211874</v>
      </c>
      <c r="AC256" s="18">
        <v>8.7697185100970049E-2</v>
      </c>
      <c r="AD256" s="21">
        <v>0.12537319756580759</v>
      </c>
      <c r="AE256" s="21">
        <v>0.31741638457896348</v>
      </c>
      <c r="AF256" s="21">
        <v>1.200811726533328E-2</v>
      </c>
      <c r="AG256" s="21"/>
      <c r="AH256" s="21">
        <v>2.3343443460522399</v>
      </c>
    </row>
    <row r="257" spans="1:34">
      <c r="A257" s="13" t="s">
        <v>78</v>
      </c>
      <c r="B257" s="13" t="s">
        <v>76</v>
      </c>
      <c r="C257" s="13">
        <v>86</v>
      </c>
      <c r="E257" s="14">
        <v>45204</v>
      </c>
      <c r="Y257" s="92"/>
      <c r="AC257" s="18"/>
      <c r="AD257" s="21"/>
      <c r="AE257" s="21"/>
      <c r="AF257" s="21"/>
      <c r="AG257" s="21"/>
      <c r="AH257" s="21"/>
    </row>
    <row r="258" spans="1:34">
      <c r="A258" s="13" t="s">
        <v>75</v>
      </c>
      <c r="B258" s="13" t="s">
        <v>76</v>
      </c>
      <c r="C258" s="13">
        <v>87</v>
      </c>
      <c r="E258" s="14">
        <v>45210</v>
      </c>
      <c r="H258" s="16">
        <v>15.7</v>
      </c>
      <c r="I258" s="16">
        <v>6.18</v>
      </c>
      <c r="J258" s="16">
        <v>16.940000000000001</v>
      </c>
      <c r="P258" s="18">
        <v>2.12E-2</v>
      </c>
      <c r="Q258" s="18">
        <v>1.22710161881272</v>
      </c>
      <c r="R258" s="21" t="s">
        <v>50</v>
      </c>
      <c r="S258" s="21">
        <v>3.7034421376529338</v>
      </c>
      <c r="T258" s="21">
        <v>0.85346186972728177</v>
      </c>
      <c r="U258" s="21" t="s">
        <v>50</v>
      </c>
      <c r="V258" s="21">
        <v>4.6607435442127802E-2</v>
      </c>
      <c r="W258" s="18">
        <v>1.262669591529646</v>
      </c>
      <c r="Y258" s="92">
        <v>0.88728161294115004</v>
      </c>
      <c r="Z258" s="20">
        <v>-5.6365582563407477</v>
      </c>
      <c r="AA258" s="10">
        <v>-31.27430532254823</v>
      </c>
      <c r="AB258" s="17">
        <v>1.029979287953751</v>
      </c>
      <c r="AC258" s="18">
        <v>0.1742691620968721</v>
      </c>
      <c r="AD258" s="21">
        <v>0.36373072912719823</v>
      </c>
      <c r="AE258" s="21">
        <v>0.5750700549611133</v>
      </c>
      <c r="AF258" s="21">
        <v>1.439620164597703E-2</v>
      </c>
      <c r="AG258" s="21"/>
      <c r="AH258" s="21">
        <v>1.112402598147241</v>
      </c>
    </row>
    <row r="259" spans="1:34">
      <c r="A259" s="13" t="s">
        <v>77</v>
      </c>
      <c r="B259" s="13" t="s">
        <v>76</v>
      </c>
      <c r="C259" s="13">
        <v>87</v>
      </c>
      <c r="E259" s="14">
        <v>45210</v>
      </c>
      <c r="H259" s="16">
        <v>15.7</v>
      </c>
      <c r="I259" s="16">
        <v>5.05</v>
      </c>
      <c r="J259" s="16">
        <v>14.7</v>
      </c>
      <c r="P259" s="18">
        <v>1.77E-2</v>
      </c>
      <c r="Q259" s="18">
        <v>1.5266876700720211</v>
      </c>
      <c r="R259" s="21" t="s">
        <v>50</v>
      </c>
      <c r="S259" s="21">
        <v>0.54527530543013936</v>
      </c>
      <c r="T259" s="21">
        <v>2.0885814583927038</v>
      </c>
      <c r="U259" s="21" t="s">
        <v>50</v>
      </c>
      <c r="V259" s="21">
        <v>3.2166136517703531E-2</v>
      </c>
      <c r="W259" s="18">
        <v>0.70952717941763166</v>
      </c>
      <c r="Y259" s="92">
        <v>0.14480033311189069</v>
      </c>
      <c r="Z259" s="20">
        <v>-6.986681453920097</v>
      </c>
      <c r="AA259" s="10">
        <v>-43.374817132469353</v>
      </c>
      <c r="AB259" s="17">
        <v>0.9684288075757963</v>
      </c>
      <c r="AC259" s="18">
        <v>0.1292481794238228</v>
      </c>
      <c r="AD259" s="21">
        <v>0.1256497782542586</v>
      </c>
      <c r="AE259" s="21">
        <v>0.29377558807759091</v>
      </c>
      <c r="AF259" s="21">
        <v>1.2113496273322401E-2</v>
      </c>
      <c r="AG259" s="21"/>
      <c r="AH259" s="21">
        <v>1.2514920697144001</v>
      </c>
    </row>
    <row r="260" spans="1:34">
      <c r="A260" s="13" t="s">
        <v>78</v>
      </c>
      <c r="B260" s="13" t="s">
        <v>76</v>
      </c>
      <c r="C260" s="13">
        <v>87</v>
      </c>
      <c r="E260" s="14">
        <v>45210</v>
      </c>
      <c r="Y260" s="92"/>
      <c r="AC260" s="18"/>
      <c r="AD260" s="21"/>
      <c r="AE260" s="21"/>
      <c r="AF260" s="21"/>
      <c r="AG260" s="21"/>
      <c r="AH260" s="21"/>
    </row>
    <row r="261" spans="1:34">
      <c r="A261" s="13" t="s">
        <v>75</v>
      </c>
      <c r="B261" s="13" t="s">
        <v>76</v>
      </c>
      <c r="C261" s="13">
        <v>88</v>
      </c>
      <c r="E261" s="14">
        <v>45216</v>
      </c>
      <c r="H261" s="16">
        <v>16.100000000000001</v>
      </c>
      <c r="I261" s="16">
        <v>5.74</v>
      </c>
      <c r="J261" s="16">
        <v>17.329999999999998</v>
      </c>
      <c r="W261" s="18">
        <v>1.0700307678241381</v>
      </c>
      <c r="Y261" s="92">
        <v>1.1073198344708448</v>
      </c>
      <c r="Z261" s="20">
        <v>-8.2135021883086825</v>
      </c>
      <c r="AA261" s="10">
        <v>-50.640911240001273</v>
      </c>
      <c r="AB261" s="17">
        <v>1.0104676147051701</v>
      </c>
      <c r="AC261" s="18">
        <v>0.17346550641441791</v>
      </c>
      <c r="AD261" s="21">
        <v>0.30519285710376581</v>
      </c>
      <c r="AE261" s="21">
        <v>0.56488993770105289</v>
      </c>
      <c r="AF261" s="21">
        <v>1.4067473850355609E-2</v>
      </c>
      <c r="AG261" s="21"/>
      <c r="AH261" s="21">
        <v>0.94158443843959783</v>
      </c>
    </row>
    <row r="262" spans="1:34">
      <c r="A262" s="13" t="s">
        <v>77</v>
      </c>
      <c r="B262" s="13" t="s">
        <v>76</v>
      </c>
      <c r="C262" s="13">
        <v>88</v>
      </c>
      <c r="E262" s="14">
        <v>45216</v>
      </c>
      <c r="Y262" s="92"/>
      <c r="AC262" s="18"/>
      <c r="AD262" s="21"/>
      <c r="AE262" s="21"/>
      <c r="AF262" s="21"/>
      <c r="AG262" s="21"/>
      <c r="AH262" s="21"/>
    </row>
    <row r="263" spans="1:34">
      <c r="A263" s="13" t="s">
        <v>78</v>
      </c>
      <c r="B263" s="13" t="s">
        <v>76</v>
      </c>
      <c r="C263" s="13">
        <v>88</v>
      </c>
      <c r="E263" s="14">
        <v>45216</v>
      </c>
      <c r="Y263" s="92"/>
      <c r="AC263" s="18"/>
      <c r="AD263" s="21"/>
      <c r="AE263" s="21"/>
      <c r="AF263" s="21"/>
      <c r="AG263" s="21"/>
      <c r="AH263" s="21"/>
    </row>
    <row r="264" spans="1:34">
      <c r="A264" s="13" t="s">
        <v>75</v>
      </c>
      <c r="B264" s="13" t="s">
        <v>76</v>
      </c>
      <c r="C264" s="13">
        <v>89</v>
      </c>
      <c r="E264" s="14">
        <v>45224</v>
      </c>
      <c r="H264" s="16">
        <v>18.600000000000001</v>
      </c>
      <c r="I264" s="16">
        <v>4.9000000000000004</v>
      </c>
      <c r="J264" s="16">
        <v>27.14</v>
      </c>
      <c r="P264" s="18">
        <v>2.4199999999999999E-2</v>
      </c>
      <c r="Q264" s="18">
        <v>0.97083861042974262</v>
      </c>
      <c r="R264" s="21" t="s">
        <v>50</v>
      </c>
      <c r="S264" s="21">
        <v>8.4684067371319127</v>
      </c>
      <c r="T264" s="21">
        <v>1.061560466136644</v>
      </c>
      <c r="U264" s="21" t="s">
        <v>50</v>
      </c>
      <c r="V264" s="21">
        <v>7.9047543246707659E-3</v>
      </c>
      <c r="W264" s="18">
        <v>1.011838693967972</v>
      </c>
      <c r="Y264" s="92"/>
      <c r="Z264" s="20">
        <v>-7.653600437216042</v>
      </c>
      <c r="AA264" s="10">
        <v>-44.453307517689503</v>
      </c>
      <c r="AB264" s="17">
        <v>0.89215067553763094</v>
      </c>
      <c r="AC264" s="18">
        <v>0.2884190712313342</v>
      </c>
      <c r="AD264" s="21">
        <v>0.27920266955395617</v>
      </c>
      <c r="AE264" s="21">
        <v>0.81575728893502053</v>
      </c>
      <c r="AF264" s="21">
        <v>1.6265361629253239E-2</v>
      </c>
      <c r="AG264" s="21"/>
      <c r="AH264" s="21">
        <v>1.0649573204214391</v>
      </c>
    </row>
    <row r="265" spans="1:34">
      <c r="A265" s="13" t="s">
        <v>77</v>
      </c>
      <c r="B265" s="13" t="s">
        <v>76</v>
      </c>
      <c r="C265" s="13">
        <v>89</v>
      </c>
      <c r="E265" s="14">
        <v>45224</v>
      </c>
      <c r="Y265" s="92"/>
      <c r="AC265" s="18"/>
      <c r="AD265" s="21"/>
      <c r="AE265" s="21"/>
      <c r="AF265" s="21"/>
      <c r="AG265" s="21"/>
      <c r="AH265" s="21"/>
    </row>
    <row r="266" spans="1:34">
      <c r="A266" s="13" t="s">
        <v>78</v>
      </c>
      <c r="B266" s="13" t="s">
        <v>76</v>
      </c>
      <c r="C266" s="13">
        <v>89</v>
      </c>
      <c r="E266" s="14">
        <v>45224</v>
      </c>
      <c r="H266" s="16">
        <v>19.399999999999999</v>
      </c>
      <c r="I266" s="16">
        <v>5.0999999999999996</v>
      </c>
      <c r="J266" s="16">
        <v>37.14</v>
      </c>
      <c r="P266" s="18">
        <v>1.84E-2</v>
      </c>
      <c r="Q266" s="18">
        <v>1.2325593549053151</v>
      </c>
      <c r="R266" s="21" t="s">
        <v>50</v>
      </c>
      <c r="S266" s="21">
        <v>11.53709704787301</v>
      </c>
      <c r="T266" s="21">
        <v>3.639406585689354</v>
      </c>
      <c r="U266" s="21" t="s">
        <v>50</v>
      </c>
      <c r="V266" s="21">
        <v>2.1768401292118069E-2</v>
      </c>
      <c r="W266" s="18">
        <v>0.90317809583929598</v>
      </c>
      <c r="Y266" s="92"/>
      <c r="Z266" s="20">
        <v>-6.6970369885002894</v>
      </c>
      <c r="AA266" s="10">
        <v>-39.7590559873167</v>
      </c>
      <c r="AB266" s="17">
        <v>0.78225803254883064</v>
      </c>
      <c r="AC266" s="18">
        <v>0.71952695186751114</v>
      </c>
      <c r="AD266" s="21">
        <v>0.64163432018269229</v>
      </c>
      <c r="AE266" s="21">
        <v>2.963322508765438</v>
      </c>
      <c r="AF266" s="21">
        <v>2.481294865700779E-2</v>
      </c>
      <c r="AG266" s="21"/>
      <c r="AH266" s="21">
        <v>2.6426305081015951</v>
      </c>
    </row>
    <row r="267" spans="1:34">
      <c r="A267" s="13" t="s">
        <v>75</v>
      </c>
      <c r="B267" s="13" t="s">
        <v>76</v>
      </c>
      <c r="C267" s="13">
        <v>90</v>
      </c>
      <c r="E267" s="14">
        <v>45230</v>
      </c>
      <c r="H267" s="16">
        <v>19</v>
      </c>
      <c r="I267" s="16">
        <v>4.8600000000000003</v>
      </c>
      <c r="J267" s="16">
        <v>54.63</v>
      </c>
      <c r="P267" s="18">
        <v>4.2200000000000001E-2</v>
      </c>
      <c r="Q267" s="18">
        <v>1.445587307287957</v>
      </c>
      <c r="R267" s="21" t="s">
        <v>50</v>
      </c>
      <c r="S267" s="21">
        <v>22.626870016216749</v>
      </c>
      <c r="T267" s="21">
        <v>1.4372602592547929</v>
      </c>
      <c r="U267" s="21" t="s">
        <v>50</v>
      </c>
      <c r="V267" s="21">
        <v>8.7043072430515761E-2</v>
      </c>
      <c r="W267" s="18">
        <v>1.0448696422522099</v>
      </c>
      <c r="Y267" s="92"/>
      <c r="Z267" s="20">
        <v>-5.6753326158346979</v>
      </c>
      <c r="AA267" s="10">
        <v>-23.910884033911099</v>
      </c>
      <c r="AB267" s="17">
        <v>1.1841349730033801</v>
      </c>
      <c r="AC267" s="18">
        <v>0.50912992540438673</v>
      </c>
      <c r="AD267" s="21">
        <v>0.35273622440962371</v>
      </c>
      <c r="AE267" s="21">
        <v>1.5174834205306691</v>
      </c>
      <c r="AF267" s="21">
        <v>2.321098385557219E-2</v>
      </c>
      <c r="AG267" s="21"/>
      <c r="AH267" s="21">
        <v>1.104965412373685</v>
      </c>
    </row>
    <row r="268" spans="1:34">
      <c r="A268" s="13" t="s">
        <v>77</v>
      </c>
      <c r="B268" s="13" t="s">
        <v>76</v>
      </c>
      <c r="C268" s="13">
        <v>90</v>
      </c>
      <c r="E268" s="14">
        <v>45230</v>
      </c>
      <c r="H268" s="16">
        <v>14.7</v>
      </c>
      <c r="I268" s="16">
        <v>5.13</v>
      </c>
      <c r="J268" s="16">
        <v>14.39</v>
      </c>
      <c r="P268" s="18">
        <v>2.18E-2</v>
      </c>
      <c r="Q268" s="18">
        <v>1.389531852893686</v>
      </c>
      <c r="R268" s="21" t="s">
        <v>50</v>
      </c>
      <c r="S268" s="21">
        <v>9.4819437625285719E-2</v>
      </c>
      <c r="T268" s="21">
        <v>2.4557800834924222</v>
      </c>
      <c r="U268" s="21" t="s">
        <v>50</v>
      </c>
      <c r="V268" s="21">
        <v>1.31036219374635E-2</v>
      </c>
      <c r="W268" s="18">
        <v>0.80751581815988815</v>
      </c>
      <c r="Y268" s="92"/>
      <c r="Z268" s="20">
        <v>-8.4969427562094602</v>
      </c>
      <c r="AA268" s="10">
        <v>-52.396182525493693</v>
      </c>
      <c r="AB268" s="17">
        <v>1.123994445264461</v>
      </c>
      <c r="AC268" s="18">
        <v>0.13956481339828339</v>
      </c>
      <c r="AD268" s="21">
        <v>0.14552816398881219</v>
      </c>
      <c r="AE268" s="21">
        <v>0.3279044459429778</v>
      </c>
      <c r="AF268" s="21">
        <v>1.2343970792193581E-2</v>
      </c>
      <c r="AG268" s="21"/>
      <c r="AH268" s="21">
        <v>1.276730595234143</v>
      </c>
    </row>
    <row r="269" spans="1:34">
      <c r="A269" s="13" t="s">
        <v>78</v>
      </c>
      <c r="B269" s="13" t="s">
        <v>76</v>
      </c>
      <c r="C269" s="13">
        <v>90</v>
      </c>
      <c r="E269" s="14">
        <v>45230</v>
      </c>
      <c r="Y269" s="92"/>
      <c r="AC269" s="18"/>
      <c r="AD269" s="21"/>
      <c r="AE269" s="21"/>
      <c r="AF269" s="21"/>
      <c r="AG269" s="21"/>
      <c r="AH269" s="21"/>
    </row>
    <row r="270" spans="1:34" ht="16.2">
      <c r="A270" s="13" t="s">
        <v>75</v>
      </c>
      <c r="B270" s="13" t="s">
        <v>76</v>
      </c>
      <c r="C270" s="13">
        <v>91</v>
      </c>
      <c r="E270" s="14">
        <v>45237</v>
      </c>
      <c r="H270" s="16">
        <v>21</v>
      </c>
      <c r="I270" s="16">
        <v>4.5199999999999996</v>
      </c>
      <c r="J270" s="16">
        <v>31.5</v>
      </c>
      <c r="P270" s="18">
        <v>3.0800000000000001E-2</v>
      </c>
      <c r="Q270" s="18">
        <v>1.766603014948255</v>
      </c>
      <c r="R270" s="21" t="s">
        <v>50</v>
      </c>
      <c r="S270" s="21">
        <v>24.10520308478074</v>
      </c>
      <c r="T270" s="21">
        <v>1.1982050874251799</v>
      </c>
      <c r="U270" s="21" t="s">
        <v>50</v>
      </c>
      <c r="V270" s="21">
        <v>7.2033843022649008E-2</v>
      </c>
      <c r="W270" s="18">
        <v>1.2285227614119101</v>
      </c>
      <c r="Y270" s="95">
        <v>6.3708865469284071</v>
      </c>
      <c r="Z270" s="20">
        <v>-4.4364918300029874</v>
      </c>
      <c r="AA270" s="10">
        <v>-8.7695554305400201</v>
      </c>
      <c r="AB270" s="17">
        <v>1.1632672376221549</v>
      </c>
      <c r="AC270" s="18">
        <v>0.47980016877460607</v>
      </c>
      <c r="AD270" s="21">
        <v>0.37426679639093607</v>
      </c>
      <c r="AE270" s="21">
        <v>1.4616824807137849</v>
      </c>
      <c r="AF270" s="21">
        <v>2.1618708563692839E-2</v>
      </c>
      <c r="AG270" s="21"/>
      <c r="AH270" s="21">
        <v>0.97916643038701534</v>
      </c>
    </row>
    <row r="271" spans="1:34" ht="16.2">
      <c r="A271" s="13" t="s">
        <v>77</v>
      </c>
      <c r="B271" s="13" t="s">
        <v>76</v>
      </c>
      <c r="C271" s="13">
        <v>91</v>
      </c>
      <c r="E271" s="14">
        <v>45237</v>
      </c>
      <c r="H271" s="16">
        <v>18.3</v>
      </c>
      <c r="I271" s="16">
        <v>4.87</v>
      </c>
      <c r="J271" s="16">
        <v>13.95</v>
      </c>
      <c r="P271" s="18">
        <v>1.5699999999999999E-2</v>
      </c>
      <c r="Q271" s="18">
        <v>1.1043479616632961</v>
      </c>
      <c r="R271" s="21" t="s">
        <v>50</v>
      </c>
      <c r="S271" s="21">
        <v>0.19667483721629911</v>
      </c>
      <c r="T271" s="21">
        <v>2.4546582692699679</v>
      </c>
      <c r="U271" s="21" t="s">
        <v>50</v>
      </c>
      <c r="V271" s="21">
        <v>3.7817686045297991E-2</v>
      </c>
      <c r="W271" s="18">
        <v>0.66561412391991148</v>
      </c>
      <c r="Y271" s="94">
        <v>0.13597074343123605</v>
      </c>
      <c r="Z271" s="20">
        <v>-6.3569858557383441</v>
      </c>
      <c r="AA271" s="10">
        <v>-31.790627897214598</v>
      </c>
      <c r="AB271" s="17">
        <v>0.87632251284947849</v>
      </c>
      <c r="AC271" s="18">
        <v>0.12814960321534721</v>
      </c>
      <c r="AD271" s="21">
        <v>0.13818131161444411</v>
      </c>
      <c r="AE271" s="21">
        <v>0.27449316040648331</v>
      </c>
      <c r="AF271" s="21">
        <v>1.1889720688100651E-2</v>
      </c>
      <c r="AG271" s="21"/>
      <c r="AH271" s="21">
        <v>0.76418077665421424</v>
      </c>
    </row>
    <row r="272" spans="1:34">
      <c r="A272" s="13" t="s">
        <v>78</v>
      </c>
      <c r="B272" s="13" t="s">
        <v>76</v>
      </c>
      <c r="C272" s="13">
        <v>91</v>
      </c>
      <c r="E272" s="14">
        <v>45237</v>
      </c>
      <c r="Y272" s="92"/>
      <c r="AC272" s="18"/>
      <c r="AD272" s="21"/>
      <c r="AE272" s="21"/>
      <c r="AF272" s="21"/>
      <c r="AG272" s="21"/>
      <c r="AH272" s="21"/>
    </row>
    <row r="273" spans="1:34">
      <c r="A273" s="13" t="s">
        <v>75</v>
      </c>
      <c r="B273" s="13" t="s">
        <v>76</v>
      </c>
      <c r="C273" s="13">
        <v>92</v>
      </c>
      <c r="E273" s="14">
        <v>45244</v>
      </c>
      <c r="H273" s="16">
        <v>16.600000000000001</v>
      </c>
      <c r="I273" s="16">
        <v>5.0999999999999996</v>
      </c>
      <c r="J273" s="16">
        <v>56.93</v>
      </c>
      <c r="P273" s="18">
        <v>2.9700000000000001E-2</v>
      </c>
      <c r="Q273" s="18">
        <v>1.797352735411512</v>
      </c>
      <c r="R273" s="21" t="s">
        <v>50</v>
      </c>
      <c r="S273" s="21">
        <v>22.58629836690648</v>
      </c>
      <c r="T273" s="21">
        <v>1.1912800360715321</v>
      </c>
      <c r="U273" s="21" t="s">
        <v>50</v>
      </c>
      <c r="V273" s="21">
        <v>2.0345605886650669E-2</v>
      </c>
      <c r="W273" s="18">
        <v>0.98988629300656528</v>
      </c>
      <c r="Y273" s="92">
        <v>3.0835734175204359</v>
      </c>
      <c r="Z273" s="20">
        <v>-4.018116491063263</v>
      </c>
      <c r="AA273" s="10">
        <v>-3.6194820056473489</v>
      </c>
      <c r="AB273" s="17">
        <v>1.062430402092039</v>
      </c>
      <c r="AC273" s="18">
        <v>0.44714648731186307</v>
      </c>
      <c r="AD273" s="21">
        <v>0.26449758704843251</v>
      </c>
      <c r="AE273" s="21">
        <v>1.4724010419453091</v>
      </c>
      <c r="AF273" s="21">
        <v>2.1965985860805309E-2</v>
      </c>
      <c r="AG273" s="21"/>
      <c r="AH273" s="21">
        <v>1.2014706146552581</v>
      </c>
    </row>
    <row r="274" spans="1:34">
      <c r="A274" s="13" t="s">
        <v>77</v>
      </c>
      <c r="B274" s="13" t="s">
        <v>76</v>
      </c>
      <c r="C274" s="13">
        <v>92</v>
      </c>
      <c r="E274" s="14">
        <v>45244</v>
      </c>
      <c r="H274" s="16">
        <v>16</v>
      </c>
      <c r="I274" s="16">
        <v>4.9800000000000004</v>
      </c>
      <c r="J274" s="16">
        <v>16.28</v>
      </c>
      <c r="P274" s="18">
        <v>1.7000000000000001E-2</v>
      </c>
      <c r="Q274" s="18">
        <v>1.2437783343146629</v>
      </c>
      <c r="R274" s="21" t="s">
        <v>50</v>
      </c>
      <c r="S274" s="21">
        <v>1.0509651058780709</v>
      </c>
      <c r="T274" s="21">
        <v>2.1406850563485209</v>
      </c>
      <c r="U274" s="21" t="s">
        <v>50</v>
      </c>
      <c r="V274" s="21">
        <v>2.252961590648158E-2</v>
      </c>
      <c r="W274" s="18">
        <v>0.64535449908225107</v>
      </c>
      <c r="Y274" s="92">
        <v>0.24477745303911264</v>
      </c>
      <c r="Z274" s="20">
        <v>-5.2387333279328194</v>
      </c>
      <c r="AA274" s="10">
        <v>-18.946822016922251</v>
      </c>
      <c r="AB274" s="17">
        <v>1.001374689129263</v>
      </c>
      <c r="AC274" s="18">
        <v>0.1577584618033557</v>
      </c>
      <c r="AD274" s="21">
        <v>0.10958705201929719</v>
      </c>
      <c r="AE274" s="21">
        <v>0.28481916554611292</v>
      </c>
      <c r="AF274" s="21">
        <v>1.208415212228693E-2</v>
      </c>
      <c r="AG274" s="21"/>
      <c r="AH274" s="21">
        <v>1.046681361148009</v>
      </c>
    </row>
    <row r="275" spans="1:34">
      <c r="A275" s="13" t="s">
        <v>78</v>
      </c>
      <c r="B275" s="13" t="s">
        <v>76</v>
      </c>
      <c r="C275" s="13">
        <v>92</v>
      </c>
      <c r="E275" s="14">
        <v>45244</v>
      </c>
      <c r="Y275" s="92"/>
      <c r="AC275" s="18"/>
      <c r="AD275" s="21"/>
      <c r="AE275" s="21"/>
      <c r="AF275" s="21"/>
      <c r="AG275" s="21"/>
      <c r="AH275" s="21"/>
    </row>
    <row r="276" spans="1:34">
      <c r="A276" s="13" t="s">
        <v>75</v>
      </c>
      <c r="B276" s="13" t="s">
        <v>76</v>
      </c>
      <c r="C276" s="13">
        <v>93</v>
      </c>
      <c r="E276" s="14">
        <v>45252</v>
      </c>
      <c r="H276" s="16">
        <v>17.399999999999999</v>
      </c>
      <c r="I276" s="16">
        <v>4.83</v>
      </c>
      <c r="J276" s="16">
        <v>36.69</v>
      </c>
      <c r="P276" s="18">
        <v>2.6700000000000002E-2</v>
      </c>
      <c r="Q276" s="18">
        <v>1.528413242051911</v>
      </c>
      <c r="R276" s="21" t="s">
        <v>50</v>
      </c>
      <c r="S276" s="21">
        <v>12.30038404816624</v>
      </c>
      <c r="T276" s="21">
        <v>0.69948935914953814</v>
      </c>
      <c r="U276" s="21" t="s">
        <v>50</v>
      </c>
      <c r="V276" s="21">
        <v>3.1265655985805253E-2</v>
      </c>
      <c r="W276" s="18">
        <v>1.0065561730373269</v>
      </c>
      <c r="Y276" s="92"/>
      <c r="Z276" s="20">
        <v>-3.9335883873664508</v>
      </c>
      <c r="AA276" s="10">
        <v>-5.6858996461788962</v>
      </c>
      <c r="AB276" s="17">
        <v>0.93303593746253866</v>
      </c>
      <c r="AC276" s="18">
        <v>0.2358931766976253</v>
      </c>
      <c r="AD276" s="21">
        <v>0.1916262085557513</v>
      </c>
      <c r="AE276" s="21">
        <v>0.80363719964324332</v>
      </c>
      <c r="AF276" s="21">
        <v>1.6278158982370481E-2</v>
      </c>
      <c r="AG276" s="21"/>
      <c r="AH276" s="21">
        <v>0.95516676126238342</v>
      </c>
    </row>
    <row r="277" spans="1:34">
      <c r="A277" s="13" t="s">
        <v>77</v>
      </c>
      <c r="B277" s="13" t="s">
        <v>76</v>
      </c>
      <c r="C277" s="13">
        <v>93</v>
      </c>
      <c r="E277" s="14">
        <v>45252</v>
      </c>
      <c r="H277" s="16">
        <v>16.8</v>
      </c>
      <c r="I277" s="16">
        <v>5.58</v>
      </c>
      <c r="J277" s="16">
        <v>17.309999999999999</v>
      </c>
      <c r="P277" s="18">
        <v>2.3199999999999998E-2</v>
      </c>
      <c r="Q277" s="18">
        <v>1.4245755947976539</v>
      </c>
      <c r="R277" s="21" t="s">
        <v>50</v>
      </c>
      <c r="S277" s="21">
        <v>2.4351786763352719</v>
      </c>
      <c r="T277" s="21">
        <v>1.8553801570543871</v>
      </c>
      <c r="U277" s="21" t="s">
        <v>50</v>
      </c>
      <c r="V277" s="21">
        <v>2.252961590648158E-2</v>
      </c>
      <c r="W277" s="18">
        <v>0.62028991778252462</v>
      </c>
      <c r="Y277" s="92">
        <v>0.5311414568504591</v>
      </c>
      <c r="Z277" s="20">
        <v>-4.1798055701530359</v>
      </c>
      <c r="AA277" s="10">
        <v>-6.8414250589147549</v>
      </c>
      <c r="AB277" s="17">
        <v>1.1548977807785621</v>
      </c>
      <c r="AC277" s="18">
        <v>0.21663773486423199</v>
      </c>
      <c r="AD277" s="21">
        <v>0.1321153966532099</v>
      </c>
      <c r="AE277" s="21">
        <v>0.3412349548692461</v>
      </c>
      <c r="AF277" s="21">
        <v>1.262604053186068E-2</v>
      </c>
      <c r="AG277" s="21"/>
      <c r="AH277" s="21">
        <v>0.94729145130322423</v>
      </c>
    </row>
    <row r="278" spans="1:34">
      <c r="A278" s="13" t="s">
        <v>78</v>
      </c>
      <c r="B278" s="13" t="s">
        <v>76</v>
      </c>
      <c r="C278" s="13">
        <v>93</v>
      </c>
      <c r="E278" s="14">
        <v>45252</v>
      </c>
      <c r="H278" s="16">
        <v>17.8</v>
      </c>
      <c r="I278" s="16">
        <v>5.28</v>
      </c>
      <c r="J278" s="16">
        <v>35.909999999999997</v>
      </c>
      <c r="P278" s="18">
        <v>2.01E-2</v>
      </c>
      <c r="Q278" s="18">
        <v>1.365550803434427</v>
      </c>
      <c r="R278" s="21" t="s">
        <v>50</v>
      </c>
      <c r="S278" s="21">
        <v>8.9709049241957608</v>
      </c>
      <c r="T278" s="21">
        <v>3.446775778932369</v>
      </c>
      <c r="U278" s="21" t="s">
        <v>50</v>
      </c>
      <c r="V278" s="21">
        <v>2.180161256653794E-2</v>
      </c>
      <c r="W278" s="18">
        <v>0.78438306630082122</v>
      </c>
      <c r="Y278" s="92">
        <v>2.1967129835707042</v>
      </c>
      <c r="Z278" s="20">
        <v>-6.1068912370023636</v>
      </c>
      <c r="AA278" s="10">
        <v>-29.260872749722619</v>
      </c>
      <c r="AB278" s="17">
        <v>1.1825406281314641</v>
      </c>
      <c r="AC278" s="18">
        <v>0.64446705166043183</v>
      </c>
      <c r="AD278" s="21">
        <v>0.7585499869683211</v>
      </c>
      <c r="AE278" s="21">
        <v>2.880843393245863</v>
      </c>
      <c r="AF278" s="21">
        <v>2.4193132504448132E-2</v>
      </c>
      <c r="AG278" s="21"/>
      <c r="AH278" s="21">
        <v>1.9769544473644951</v>
      </c>
    </row>
    <row r="279" spans="1:34" ht="16.2">
      <c r="A279" s="13" t="s">
        <v>75</v>
      </c>
      <c r="B279" s="13" t="s">
        <v>76</v>
      </c>
      <c r="C279" s="13">
        <v>94</v>
      </c>
      <c r="E279" s="14">
        <v>45258</v>
      </c>
      <c r="H279" s="16">
        <v>15.7</v>
      </c>
      <c r="I279" s="16">
        <v>4.71</v>
      </c>
      <c r="J279" s="16">
        <v>28.1</v>
      </c>
      <c r="P279" s="18">
        <v>2.0299999999999999E-2</v>
      </c>
      <c r="Q279" s="18">
        <v>1.3529283375265999</v>
      </c>
      <c r="R279" s="21" t="s">
        <v>50</v>
      </c>
      <c r="S279" s="21">
        <v>9.9262976346735954</v>
      </c>
      <c r="T279" s="21">
        <v>0.79396914332251967</v>
      </c>
      <c r="U279" s="21" t="s">
        <v>50</v>
      </c>
      <c r="V279" s="21">
        <v>5.3716194819177922E-2</v>
      </c>
      <c r="W279" s="18">
        <v>1.041190359596595</v>
      </c>
      <c r="Y279" s="94">
        <v>2.6732865440259976</v>
      </c>
      <c r="Z279" s="20">
        <v>-3.907997310100443</v>
      </c>
      <c r="AA279" s="10">
        <v>-2.994934611836944</v>
      </c>
      <c r="AB279" s="17">
        <v>1.0189709875753861</v>
      </c>
      <c r="AC279" s="18">
        <v>0.23815694360750611</v>
      </c>
      <c r="AD279" s="21">
        <v>0.16013953942918921</v>
      </c>
      <c r="AE279" s="21">
        <v>0.73901122504130301</v>
      </c>
      <c r="AF279" s="21">
        <v>1.5741262467319321E-2</v>
      </c>
      <c r="AG279" s="21"/>
      <c r="AH279" s="21">
        <v>1.0137882029869669</v>
      </c>
    </row>
    <row r="280" spans="1:34">
      <c r="A280" s="13" t="s">
        <v>77</v>
      </c>
      <c r="B280" s="13" t="s">
        <v>76</v>
      </c>
      <c r="C280" s="13">
        <v>94</v>
      </c>
      <c r="E280" s="14">
        <v>45258</v>
      </c>
      <c r="Y280" s="92"/>
      <c r="AC280" s="18"/>
      <c r="AD280" s="21"/>
      <c r="AE280" s="21"/>
      <c r="AF280" s="21"/>
      <c r="AG280" s="21"/>
      <c r="AH280" s="21"/>
    </row>
    <row r="281" spans="1:34" ht="16.2">
      <c r="A281" s="13" t="s">
        <v>78</v>
      </c>
      <c r="B281" s="13" t="s">
        <v>76</v>
      </c>
      <c r="C281" s="13">
        <v>94</v>
      </c>
      <c r="E281" s="14">
        <v>45258</v>
      </c>
      <c r="P281" s="18">
        <v>2.2800000000000001E-2</v>
      </c>
      <c r="Q281" s="18">
        <v>1.682538131665106</v>
      </c>
      <c r="R281" s="21" t="s">
        <v>50</v>
      </c>
      <c r="S281" s="21">
        <v>14.99336180909998</v>
      </c>
      <c r="T281" s="21">
        <v>3.9624545064196131</v>
      </c>
      <c r="U281" s="21" t="s">
        <v>50</v>
      </c>
      <c r="V281" s="21">
        <v>3.1328415125568193E-2</v>
      </c>
      <c r="W281" s="18">
        <v>1.353762133882515</v>
      </c>
      <c r="Y281" s="94">
        <v>3.7604793344900931</v>
      </c>
      <c r="Z281" s="20">
        <v>-5.8882038494564846</v>
      </c>
      <c r="AA281" s="10">
        <v>-27.368817317812042</v>
      </c>
      <c r="AB281" s="17">
        <v>0.90570417180116269</v>
      </c>
      <c r="AC281" s="18">
        <v>0.72567560664602038</v>
      </c>
      <c r="AD281" s="21">
        <v>0.65113234077157833</v>
      </c>
      <c r="AE281" s="21">
        <v>3.211150273252755</v>
      </c>
      <c r="AF281" s="21">
        <v>2.6410062081342028E-2</v>
      </c>
      <c r="AG281" s="21"/>
      <c r="AH281" s="21">
        <v>2.1685176381678231</v>
      </c>
    </row>
    <row r="282" spans="1:34" ht="16.2">
      <c r="A282" s="13" t="s">
        <v>75</v>
      </c>
      <c r="B282" s="13" t="s">
        <v>76</v>
      </c>
      <c r="C282" s="13">
        <v>95</v>
      </c>
      <c r="E282" s="14">
        <v>45265</v>
      </c>
      <c r="H282" s="16">
        <v>14.6</v>
      </c>
      <c r="I282" s="16">
        <v>4.78</v>
      </c>
      <c r="J282" s="16">
        <v>32.229999999999997</v>
      </c>
      <c r="P282" s="18">
        <v>2.29E-2</v>
      </c>
      <c r="Q282" s="18">
        <v>2.3677534304189432</v>
      </c>
      <c r="R282" s="21" t="s">
        <v>50</v>
      </c>
      <c r="S282" s="21">
        <v>7.0767473201338342</v>
      </c>
      <c r="T282" s="21">
        <v>0.62880824206631114</v>
      </c>
      <c r="U282" s="21" t="s">
        <v>50</v>
      </c>
      <c r="V282" s="21" t="s">
        <v>50</v>
      </c>
      <c r="W282" s="18">
        <v>0.91573269490887499</v>
      </c>
      <c r="Y282" s="94">
        <v>2.2451777181553978</v>
      </c>
      <c r="Z282" s="20">
        <v>-3.5888843314652328</v>
      </c>
      <c r="AA282" s="10">
        <v>0.68809126465872161</v>
      </c>
      <c r="AB282" s="17">
        <v>1.31704533650815</v>
      </c>
      <c r="AC282" s="18">
        <v>0.29215366029974538</v>
      </c>
      <c r="AD282" s="21">
        <v>0.2004830889261679</v>
      </c>
      <c r="AE282" s="21">
        <v>0.71791157025532615</v>
      </c>
      <c r="AF282" s="21">
        <v>1.5359058894171031E-2</v>
      </c>
      <c r="AG282" s="21"/>
      <c r="AH282" s="21">
        <v>0.97620711370873303</v>
      </c>
    </row>
    <row r="283" spans="1:34" ht="16.2">
      <c r="A283" s="13" t="s">
        <v>77</v>
      </c>
      <c r="B283" s="13" t="s">
        <v>76</v>
      </c>
      <c r="C283" s="13">
        <v>95</v>
      </c>
      <c r="E283" s="14">
        <v>45265</v>
      </c>
      <c r="H283" s="16">
        <v>15.2</v>
      </c>
      <c r="I283" s="16">
        <v>4.8499999999999996</v>
      </c>
      <c r="J283" s="16">
        <v>22.34</v>
      </c>
      <c r="P283" s="18">
        <v>1.9800000000000002E-2</v>
      </c>
      <c r="Q283" s="18">
        <v>1.5623089153969369</v>
      </c>
      <c r="R283" s="21" t="s">
        <v>50</v>
      </c>
      <c r="S283" s="21">
        <v>4.1921543280975291</v>
      </c>
      <c r="T283" s="21">
        <v>1.652584943242335</v>
      </c>
      <c r="U283" s="21" t="s">
        <v>50</v>
      </c>
      <c r="V283" s="21">
        <v>2.0650754573392629E-2</v>
      </c>
      <c r="W283" s="18">
        <v>0.59814488133135568</v>
      </c>
      <c r="Y283" s="94">
        <v>1.594986174987109</v>
      </c>
      <c r="Z283" s="20">
        <v>-4.6753418844857197</v>
      </c>
      <c r="AA283" s="10">
        <v>-15.26905706913497</v>
      </c>
      <c r="AB283" s="17">
        <v>1.1341792716314689</v>
      </c>
      <c r="AC283" s="18">
        <v>0.29533591363477968</v>
      </c>
      <c r="AD283" s="21">
        <v>0.12962252695818691</v>
      </c>
      <c r="AE283" s="21">
        <v>0.43851804030541852</v>
      </c>
      <c r="AF283" s="21">
        <v>1.3483047703608499E-2</v>
      </c>
      <c r="AG283" s="21"/>
      <c r="AH283" s="21">
        <v>1.0541936566937971</v>
      </c>
    </row>
    <row r="284" spans="1:34">
      <c r="A284" s="13" t="s">
        <v>78</v>
      </c>
      <c r="B284" s="13" t="s">
        <v>76</v>
      </c>
      <c r="C284" s="13">
        <v>95</v>
      </c>
      <c r="E284" s="14">
        <v>45265</v>
      </c>
      <c r="Y284" s="92"/>
      <c r="AC284" s="18"/>
      <c r="AD284" s="21"/>
      <c r="AE284" s="21"/>
      <c r="AF284" s="21"/>
      <c r="AG284" s="21"/>
      <c r="AH284" s="21"/>
    </row>
    <row r="285" spans="1:34" ht="16.2">
      <c r="A285" s="13" t="s">
        <v>75</v>
      </c>
      <c r="B285" s="13" t="s">
        <v>76</v>
      </c>
      <c r="C285" s="13">
        <v>96</v>
      </c>
      <c r="E285" s="14">
        <v>45272</v>
      </c>
      <c r="H285" s="16">
        <v>16.399999999999999</v>
      </c>
      <c r="I285" s="16">
        <v>5.1100000000000003</v>
      </c>
      <c r="J285" s="16">
        <v>27.4</v>
      </c>
      <c r="P285" s="18">
        <v>2.46E-2</v>
      </c>
      <c r="Q285" s="18">
        <v>2.9218906907091289</v>
      </c>
      <c r="R285" s="21" t="s">
        <v>50</v>
      </c>
      <c r="S285" s="21">
        <v>6.3188390023818011</v>
      </c>
      <c r="T285" s="21">
        <v>0.76002674973770856</v>
      </c>
      <c r="U285" s="21" t="s">
        <v>50</v>
      </c>
      <c r="V285" s="21">
        <v>2.2873519538919501E-2</v>
      </c>
      <c r="W285" s="18">
        <v>1.0970018358914131</v>
      </c>
      <c r="Y285" s="94">
        <v>1.7621519500064453</v>
      </c>
      <c r="Z285" s="20">
        <v>-4.1730531254194396</v>
      </c>
      <c r="AA285" s="10">
        <v>-4.9419445915086824</v>
      </c>
      <c r="AB285" s="17">
        <v>1.3724379631012</v>
      </c>
      <c r="AC285" s="18">
        <v>0.22141266649594041</v>
      </c>
      <c r="AD285" s="21">
        <v>0.21987393877110659</v>
      </c>
      <c r="AE285" s="21">
        <v>0.78695841957689572</v>
      </c>
      <c r="AF285" s="21">
        <v>7.2044350444444424E-3</v>
      </c>
      <c r="AG285" s="21"/>
      <c r="AH285" s="21">
        <v>1.0640257503856849</v>
      </c>
    </row>
    <row r="286" spans="1:34">
      <c r="A286" s="13" t="s">
        <v>77</v>
      </c>
      <c r="B286" s="13" t="s">
        <v>76</v>
      </c>
      <c r="C286" s="13">
        <v>96</v>
      </c>
      <c r="E286" s="14">
        <v>45272</v>
      </c>
      <c r="Y286" s="92"/>
      <c r="AC286" s="18"/>
      <c r="AD286" s="21"/>
      <c r="AE286" s="21"/>
      <c r="AF286" s="21"/>
      <c r="AG286" s="21"/>
      <c r="AH286" s="21"/>
    </row>
    <row r="287" spans="1:34">
      <c r="A287" s="13" t="s">
        <v>78</v>
      </c>
      <c r="B287" s="13" t="s">
        <v>76</v>
      </c>
      <c r="C287" s="13">
        <v>96</v>
      </c>
      <c r="E287" s="14">
        <v>45272</v>
      </c>
      <c r="Y287" s="92"/>
      <c r="AC287" s="18"/>
      <c r="AD287" s="21"/>
      <c r="AE287" s="21"/>
      <c r="AF287" s="21"/>
      <c r="AG287" s="21"/>
      <c r="AH287" s="21"/>
    </row>
    <row r="288" spans="1:34" ht="16.2">
      <c r="A288" s="13" t="s">
        <v>75</v>
      </c>
      <c r="B288" s="13" t="s">
        <v>76</v>
      </c>
      <c r="C288" s="13">
        <v>97</v>
      </c>
      <c r="E288" s="14">
        <v>45279</v>
      </c>
      <c r="H288" s="16">
        <v>17.899999999999999</v>
      </c>
      <c r="I288" s="16">
        <v>5.0199999999999996</v>
      </c>
      <c r="J288" s="16">
        <v>22.89</v>
      </c>
      <c r="P288" s="18">
        <v>2.1700000000000001E-2</v>
      </c>
      <c r="Q288" s="18">
        <v>2.384854187045506</v>
      </c>
      <c r="R288" s="21" t="s">
        <v>50</v>
      </c>
      <c r="S288" s="21">
        <v>4.474642728803766</v>
      </c>
      <c r="T288" s="21">
        <v>0.83774894970366054</v>
      </c>
      <c r="U288" s="21" t="s">
        <v>50</v>
      </c>
      <c r="V288" s="21">
        <v>2.0721704984482871E-2</v>
      </c>
      <c r="W288" s="18">
        <v>0.89479064973577638</v>
      </c>
      <c r="Y288" s="94">
        <v>1.1869756008396863</v>
      </c>
      <c r="Z288" s="20">
        <v>-4.3921092504690478</v>
      </c>
      <c r="AA288" s="10">
        <v>-5.7122715790879193</v>
      </c>
      <c r="AB288" s="17">
        <v>1.086730554042771</v>
      </c>
      <c r="AC288" s="18">
        <v>0.14555772819607651</v>
      </c>
      <c r="AD288" s="21">
        <v>0.1221507211667661</v>
      </c>
      <c r="AE288" s="21">
        <v>0.49554680233309301</v>
      </c>
      <c r="AF288" s="21">
        <v>5.2001966111111112E-3</v>
      </c>
      <c r="AG288" s="21"/>
      <c r="AH288" s="21">
        <v>1.0727186306543921</v>
      </c>
    </row>
    <row r="289" spans="1:34">
      <c r="A289" s="13" t="s">
        <v>77</v>
      </c>
      <c r="B289" s="13" t="s">
        <v>76</v>
      </c>
      <c r="C289" s="13">
        <v>97</v>
      </c>
      <c r="E289" s="14">
        <v>45279</v>
      </c>
      <c r="Y289" s="92"/>
      <c r="AC289" s="18"/>
      <c r="AD289" s="21"/>
      <c r="AE289" s="21"/>
      <c r="AF289" s="21"/>
      <c r="AG289" s="21"/>
      <c r="AH289" s="21"/>
    </row>
    <row r="290" spans="1:34">
      <c r="A290" s="13" t="s">
        <v>78</v>
      </c>
      <c r="B290" s="13" t="s">
        <v>76</v>
      </c>
      <c r="C290" s="13">
        <v>97</v>
      </c>
      <c r="E290" s="14">
        <v>45279</v>
      </c>
      <c r="Y290" s="92"/>
      <c r="AC290" s="18"/>
      <c r="AD290" s="21"/>
      <c r="AE290" s="21"/>
      <c r="AF290" s="21"/>
      <c r="AG290" s="21"/>
      <c r="AH290" s="21"/>
    </row>
    <row r="291" spans="1:34">
      <c r="A291" s="13" t="s">
        <v>75</v>
      </c>
      <c r="B291" s="13" t="s">
        <v>76</v>
      </c>
      <c r="C291" s="13">
        <v>98</v>
      </c>
      <c r="E291" s="14">
        <v>45286</v>
      </c>
      <c r="H291" s="16">
        <v>11.4</v>
      </c>
      <c r="I291" s="16">
        <v>4.9400000000000004</v>
      </c>
      <c r="J291" s="16">
        <v>21.1</v>
      </c>
      <c r="P291" s="18">
        <v>2.2800000000000001E-2</v>
      </c>
      <c r="Q291" s="18">
        <v>2.2302031673923239</v>
      </c>
      <c r="R291" s="21" t="s">
        <v>50</v>
      </c>
      <c r="S291" s="21">
        <v>5.1184294999648419</v>
      </c>
      <c r="T291" s="21">
        <v>0.89342371610560289</v>
      </c>
      <c r="U291" s="21" t="s">
        <v>50</v>
      </c>
      <c r="V291" s="21">
        <v>1.221107540684205E-2</v>
      </c>
      <c r="W291" s="18">
        <v>0.91466915093637946</v>
      </c>
      <c r="Y291" s="92">
        <v>1.0871836351656801</v>
      </c>
      <c r="Z291" s="20">
        <v>-4.5994682037927053</v>
      </c>
      <c r="AA291" s="10">
        <v>-9.0391512672083998</v>
      </c>
      <c r="AB291" s="17">
        <v>1.004351205196812</v>
      </c>
      <c r="AC291" s="18">
        <v>0.12926061825940979</v>
      </c>
      <c r="AD291" s="21">
        <v>9.9663816869762237E-2</v>
      </c>
      <c r="AE291" s="21">
        <v>0.42812438424109373</v>
      </c>
      <c r="AF291" s="21">
        <v>4.2231648444444421E-3</v>
      </c>
      <c r="AG291" s="21"/>
      <c r="AH291" s="21">
        <v>0.96860176082324612</v>
      </c>
    </row>
    <row r="292" spans="1:34">
      <c r="A292" s="13" t="s">
        <v>77</v>
      </c>
      <c r="B292" s="13" t="s">
        <v>76</v>
      </c>
      <c r="C292" s="13">
        <v>98</v>
      </c>
      <c r="E292" s="14">
        <v>45286</v>
      </c>
      <c r="Y292" s="92"/>
      <c r="AC292" s="18"/>
      <c r="AD292" s="21"/>
      <c r="AE292" s="21"/>
      <c r="AF292" s="21"/>
      <c r="AG292" s="21"/>
      <c r="AH292" s="21"/>
    </row>
    <row r="293" spans="1:34">
      <c r="A293" s="13" t="s">
        <v>78</v>
      </c>
      <c r="B293" s="13" t="s">
        <v>76</v>
      </c>
      <c r="C293" s="13">
        <v>98</v>
      </c>
      <c r="E293" s="14">
        <v>45286</v>
      </c>
      <c r="Y293" s="92"/>
      <c r="AC293" s="18"/>
      <c r="AD293" s="21"/>
      <c r="AE293" s="21"/>
      <c r="AF293" s="21"/>
      <c r="AG293" s="21"/>
      <c r="AH293" s="21"/>
    </row>
    <row r="294" spans="1:34">
      <c r="A294" s="13" t="s">
        <v>75</v>
      </c>
      <c r="B294" s="13" t="s">
        <v>76</v>
      </c>
      <c r="C294" s="13">
        <v>99</v>
      </c>
      <c r="E294" s="14">
        <v>45294</v>
      </c>
      <c r="H294" s="16">
        <v>11.1</v>
      </c>
      <c r="I294" s="16">
        <v>21.83</v>
      </c>
      <c r="J294" s="16">
        <v>4.8899999999999997</v>
      </c>
      <c r="P294" s="18">
        <v>2.24E-2</v>
      </c>
      <c r="Q294" s="18">
        <v>1.809065285739724</v>
      </c>
      <c r="R294" s="21" t="s">
        <v>50</v>
      </c>
      <c r="S294" s="21">
        <v>5.746930567212873</v>
      </c>
      <c r="T294" s="21">
        <v>0.99895997145124138</v>
      </c>
      <c r="U294" s="21" t="s">
        <v>50</v>
      </c>
      <c r="V294" s="21">
        <v>3.3998337310578372E-2</v>
      </c>
      <c r="W294" s="18">
        <v>0.96791962057371073</v>
      </c>
      <c r="Y294" s="92">
        <v>1.2476176277198125</v>
      </c>
      <c r="Z294" s="20">
        <v>-4.5831630553262297</v>
      </c>
      <c r="AA294" s="10">
        <v>-8.740418049852428</v>
      </c>
      <c r="AB294" s="17">
        <v>1.0544167803672899</v>
      </c>
      <c r="AC294" s="18">
        <v>0.12848052638047161</v>
      </c>
      <c r="AD294" s="21">
        <v>9.8978202061585571E-2</v>
      </c>
      <c r="AE294" s="21">
        <v>0.40541818852315409</v>
      </c>
      <c r="AF294" s="21">
        <v>4.0094860111111082E-3</v>
      </c>
      <c r="AG294" s="21"/>
      <c r="AH294" s="21">
        <v>0.98559045255171029</v>
      </c>
    </row>
    <row r="295" spans="1:34">
      <c r="A295" s="13" t="s">
        <v>77</v>
      </c>
      <c r="B295" s="13" t="s">
        <v>76</v>
      </c>
      <c r="C295" s="13">
        <v>99</v>
      </c>
      <c r="E295" s="14">
        <v>45294</v>
      </c>
      <c r="Y295" s="92"/>
      <c r="AC295" s="18"/>
      <c r="AD295" s="21"/>
      <c r="AE295" s="21"/>
      <c r="AF295" s="21"/>
      <c r="AG295" s="21"/>
      <c r="AH295" s="21"/>
    </row>
    <row r="296" spans="1:34">
      <c r="A296" s="13" t="s">
        <v>78</v>
      </c>
      <c r="B296" s="13" t="s">
        <v>76</v>
      </c>
      <c r="C296" s="13">
        <v>99</v>
      </c>
      <c r="E296" s="14">
        <v>45294</v>
      </c>
      <c r="Y296" s="92"/>
      <c r="AC296" s="18"/>
      <c r="AD296" s="21"/>
      <c r="AE296" s="21"/>
      <c r="AF296" s="21"/>
      <c r="AG296" s="21"/>
      <c r="AH296" s="21"/>
    </row>
    <row r="297" spans="1:34" ht="16.2">
      <c r="A297" s="13" t="s">
        <v>75</v>
      </c>
      <c r="B297" s="13" t="s">
        <v>76</v>
      </c>
      <c r="C297" s="13">
        <v>100</v>
      </c>
      <c r="E297" s="14">
        <v>45300</v>
      </c>
      <c r="H297" s="16">
        <v>18.8</v>
      </c>
      <c r="I297" s="16">
        <v>4.87</v>
      </c>
      <c r="J297" s="16">
        <v>20.49</v>
      </c>
      <c r="P297" s="18" t="s">
        <v>50</v>
      </c>
      <c r="Q297" s="18">
        <v>1.546163059</v>
      </c>
      <c r="R297" s="21" t="s">
        <v>50</v>
      </c>
      <c r="S297" s="21">
        <v>3.6313060350000002</v>
      </c>
      <c r="T297" s="21">
        <v>0.983388072</v>
      </c>
      <c r="U297" s="21" t="s">
        <v>50</v>
      </c>
      <c r="V297" s="21">
        <v>2.4680473000000001E-2</v>
      </c>
      <c r="W297" s="18">
        <v>1.4326613539990301</v>
      </c>
      <c r="Y297" s="94">
        <v>1.2146079452683056</v>
      </c>
      <c r="Z297" s="20">
        <v>-4.5381466671687862</v>
      </c>
      <c r="AA297" s="10">
        <v>-6.8996589481882404</v>
      </c>
      <c r="AB297" s="17">
        <v>1.012759604963563</v>
      </c>
      <c r="AC297" s="18">
        <v>0.1116308923240925</v>
      </c>
      <c r="AD297" s="21">
        <v>7.240247323595983E-2</v>
      </c>
      <c r="AE297" s="21">
        <v>0.34844384798379652</v>
      </c>
      <c r="AF297" s="21">
        <v>3.4414273777777769E-3</v>
      </c>
      <c r="AG297" s="21"/>
      <c r="AH297" s="21">
        <v>0.92395149130008836</v>
      </c>
    </row>
    <row r="298" spans="1:34" ht="16.2">
      <c r="A298" s="13" t="s">
        <v>77</v>
      </c>
      <c r="B298" s="13" t="s">
        <v>76</v>
      </c>
      <c r="C298" s="13">
        <v>100</v>
      </c>
      <c r="E298" s="14">
        <v>45300</v>
      </c>
      <c r="H298" s="16">
        <v>20.3</v>
      </c>
      <c r="I298" s="16">
        <v>4.7300000000000004</v>
      </c>
      <c r="J298" s="16">
        <v>35.979999999999997</v>
      </c>
      <c r="P298" s="18">
        <v>3.0952800000000002E-3</v>
      </c>
      <c r="Q298" s="18">
        <v>2.887979836</v>
      </c>
      <c r="R298" s="21" t="s">
        <v>50</v>
      </c>
      <c r="S298" s="21">
        <v>7.4840353879999997</v>
      </c>
      <c r="T298" s="21">
        <v>1.863193723</v>
      </c>
      <c r="U298" s="21" t="s">
        <v>50</v>
      </c>
      <c r="V298" s="21">
        <v>3.1835694999999997E-2</v>
      </c>
      <c r="Y298" s="94">
        <v>2.4193626467111673</v>
      </c>
      <c r="Z298" s="20">
        <v>-4.4576843040842213</v>
      </c>
      <c r="AA298" s="10">
        <v>-8.2866590985757878</v>
      </c>
      <c r="AB298" s="17">
        <v>1.4224368664041791</v>
      </c>
      <c r="AC298" s="18">
        <v>0.72378668300447946</v>
      </c>
      <c r="AD298" s="21">
        <v>6.4135181558243937E-2</v>
      </c>
      <c r="AE298" s="21">
        <v>0.57780137764589212</v>
      </c>
      <c r="AF298" s="21">
        <v>6.7528789555555526E-3</v>
      </c>
      <c r="AG298" s="21"/>
      <c r="AH298" s="21">
        <v>1.597150494603508</v>
      </c>
    </row>
    <row r="299" spans="1:34">
      <c r="A299" s="13" t="s">
        <v>78</v>
      </c>
      <c r="B299" s="13" t="s">
        <v>76</v>
      </c>
      <c r="C299" s="13">
        <v>100</v>
      </c>
      <c r="E299" s="14">
        <v>45300</v>
      </c>
      <c r="Y299" s="92"/>
      <c r="AC299" s="18"/>
      <c r="AD299" s="21"/>
      <c r="AE299" s="21"/>
      <c r="AF299" s="21"/>
      <c r="AG299" s="21"/>
      <c r="AH299" s="21"/>
    </row>
    <row r="300" spans="1:34" ht="16.2">
      <c r="A300" s="13" t="s">
        <v>75</v>
      </c>
      <c r="B300" s="13" t="s">
        <v>76</v>
      </c>
      <c r="C300" s="13">
        <v>101</v>
      </c>
      <c r="E300" s="14">
        <v>45307</v>
      </c>
      <c r="P300" s="18" t="s">
        <v>50</v>
      </c>
      <c r="Q300" s="18">
        <v>1.5729938379999999</v>
      </c>
      <c r="R300" s="21" t="s">
        <v>50</v>
      </c>
      <c r="S300" s="21">
        <v>2.518703618</v>
      </c>
      <c r="T300" s="21">
        <v>1.2093911150000001</v>
      </c>
      <c r="U300" s="21" t="s">
        <v>50</v>
      </c>
      <c r="V300" s="21" t="s">
        <v>50</v>
      </c>
      <c r="W300" s="18">
        <v>1.0440797920664731</v>
      </c>
      <c r="Y300" s="94">
        <v>0.84502174096471905</v>
      </c>
      <c r="Z300" s="20">
        <v>-4.4069965599384382</v>
      </c>
      <c r="AA300" s="10">
        <v>-6.8646752648698586</v>
      </c>
      <c r="AB300" s="17">
        <v>1.523706681324033</v>
      </c>
      <c r="AC300" s="18">
        <v>0.1078052137222545</v>
      </c>
      <c r="AD300" s="21">
        <v>0.1591672966395892</v>
      </c>
      <c r="AE300" s="21">
        <v>0.41072382810702912</v>
      </c>
      <c r="AF300" s="21">
        <v>3.7569317222222211E-3</v>
      </c>
      <c r="AG300" s="21"/>
      <c r="AH300" s="21">
        <v>0.85830920280703893</v>
      </c>
    </row>
    <row r="301" spans="1:34">
      <c r="A301" s="13" t="s">
        <v>77</v>
      </c>
      <c r="B301" s="13" t="s">
        <v>76</v>
      </c>
      <c r="C301" s="13">
        <v>101</v>
      </c>
      <c r="E301" s="14">
        <v>45307</v>
      </c>
      <c r="H301" s="16">
        <v>17.2</v>
      </c>
      <c r="I301" s="16">
        <v>4.99</v>
      </c>
      <c r="J301" s="16">
        <v>16.27</v>
      </c>
      <c r="Y301" s="92"/>
      <c r="AC301" s="18"/>
      <c r="AD301" s="21"/>
      <c r="AE301" s="21"/>
      <c r="AF301" s="21"/>
      <c r="AG301" s="21"/>
      <c r="AH301" s="21"/>
    </row>
    <row r="302" spans="1:34">
      <c r="A302" s="13" t="s">
        <v>78</v>
      </c>
      <c r="B302" s="13" t="s">
        <v>76</v>
      </c>
      <c r="C302" s="13">
        <v>101</v>
      </c>
      <c r="E302" s="14">
        <v>45307</v>
      </c>
      <c r="Y302" s="92"/>
      <c r="AC302" s="18"/>
      <c r="AD302" s="21"/>
      <c r="AE302" s="21"/>
      <c r="AF302" s="21"/>
      <c r="AG302" s="21"/>
      <c r="AH302" s="21"/>
    </row>
    <row r="303" spans="1:34" ht="16.2">
      <c r="A303" s="13" t="s">
        <v>75</v>
      </c>
      <c r="B303" s="13" t="s">
        <v>76</v>
      </c>
      <c r="C303" s="13">
        <v>102</v>
      </c>
      <c r="E303" s="14">
        <v>45314</v>
      </c>
      <c r="H303" s="16">
        <v>16.2</v>
      </c>
      <c r="I303" s="16">
        <v>4.95</v>
      </c>
      <c r="J303" s="16">
        <v>17.98</v>
      </c>
      <c r="P303" s="18" t="s">
        <v>50</v>
      </c>
      <c r="Q303" s="18">
        <v>1.7652021769999999</v>
      </c>
      <c r="R303" s="21" t="s">
        <v>50</v>
      </c>
      <c r="S303" s="21">
        <v>2.4186955029999999</v>
      </c>
      <c r="T303" s="21">
        <v>1.186284452</v>
      </c>
      <c r="U303" s="21" t="s">
        <v>50</v>
      </c>
      <c r="V303" s="21">
        <v>3.3266738999999997E-2</v>
      </c>
      <c r="W303" s="18">
        <v>1.0499421908283719</v>
      </c>
      <c r="Y303" s="94">
        <v>1.6704329066959998</v>
      </c>
      <c r="Z303" s="20">
        <v>-4.294987279168736</v>
      </c>
      <c r="AA303" s="10">
        <v>-5.7499990807057806</v>
      </c>
      <c r="AB303" s="17">
        <v>0.93308370223958614</v>
      </c>
      <c r="AC303" s="18">
        <v>9.0616598540677176E-2</v>
      </c>
      <c r="AD303" s="21">
        <v>3.8920355479329621E-2</v>
      </c>
      <c r="AE303" s="21">
        <v>0.30381804620716202</v>
      </c>
      <c r="AF303" s="21">
        <v>2.7186833111111112E-3</v>
      </c>
      <c r="AG303" s="21"/>
      <c r="AH303" s="21">
        <v>0.85037232644452787</v>
      </c>
    </row>
    <row r="304" spans="1:34">
      <c r="A304" s="13" t="s">
        <v>77</v>
      </c>
      <c r="B304" s="13" t="s">
        <v>76</v>
      </c>
      <c r="C304" s="13">
        <v>102</v>
      </c>
      <c r="E304" s="14">
        <v>45314</v>
      </c>
      <c r="Y304" s="92"/>
      <c r="AC304" s="18"/>
      <c r="AD304" s="21"/>
      <c r="AE304" s="21"/>
      <c r="AF304" s="21"/>
      <c r="AG304" s="21"/>
      <c r="AH304" s="21"/>
    </row>
    <row r="305" spans="1:34">
      <c r="A305" s="13" t="s">
        <v>78</v>
      </c>
      <c r="B305" s="13" t="s">
        <v>76</v>
      </c>
      <c r="C305" s="13">
        <v>102</v>
      </c>
      <c r="E305" s="14">
        <v>45314</v>
      </c>
      <c r="Y305" s="92"/>
      <c r="AC305" s="18"/>
      <c r="AD305" s="21"/>
      <c r="AE305" s="21"/>
      <c r="AF305" s="21"/>
      <c r="AG305" s="21"/>
      <c r="AH305" s="21"/>
    </row>
    <row r="306" spans="1:34" ht="16.2">
      <c r="A306" s="13" t="s">
        <v>75</v>
      </c>
      <c r="B306" s="13" t="s">
        <v>76</v>
      </c>
      <c r="C306" s="13">
        <v>103</v>
      </c>
      <c r="E306" s="14">
        <v>45321</v>
      </c>
      <c r="H306" s="16">
        <v>19.899999999999999</v>
      </c>
      <c r="I306" s="16">
        <v>4.83</v>
      </c>
      <c r="J306" s="16">
        <v>20.02</v>
      </c>
      <c r="P306" s="18">
        <v>2.1000000000000001E-2</v>
      </c>
      <c r="Q306" s="18">
        <v>2.4439577215355621</v>
      </c>
      <c r="R306" s="21" t="s">
        <v>50</v>
      </c>
      <c r="S306" s="21">
        <v>3.4680817958692129</v>
      </c>
      <c r="T306" s="21">
        <v>1.334112396139258</v>
      </c>
      <c r="U306" s="21" t="s">
        <v>50</v>
      </c>
      <c r="V306" s="21">
        <v>0.31253105349112681</v>
      </c>
      <c r="W306" s="18">
        <v>0.85299103234152829</v>
      </c>
      <c r="Y306" s="94">
        <v>0.88282273986374327</v>
      </c>
      <c r="Z306" s="20">
        <v>-4.0525368106672284</v>
      </c>
      <c r="AA306" s="10">
        <v>-3.8588223177886332</v>
      </c>
      <c r="AB306" s="17">
        <v>1.0181388133549141</v>
      </c>
      <c r="AC306" s="18">
        <v>0.14242468997261701</v>
      </c>
      <c r="AD306" s="21">
        <v>3.0089310376963031E-2</v>
      </c>
      <c r="AE306" s="21">
        <v>0.33826637325268583</v>
      </c>
      <c r="AF306" s="21">
        <v>3.0080591999999979E-3</v>
      </c>
      <c r="AG306" s="21"/>
      <c r="AH306" s="21">
        <v>0.80475604189523997</v>
      </c>
    </row>
    <row r="307" spans="1:34" ht="16.2">
      <c r="A307" s="13" t="s">
        <v>77</v>
      </c>
      <c r="B307" s="13" t="s">
        <v>76</v>
      </c>
      <c r="C307" s="13">
        <v>103</v>
      </c>
      <c r="E307" s="14">
        <v>45321</v>
      </c>
      <c r="H307" s="16">
        <v>19.899999999999999</v>
      </c>
      <c r="I307" s="16">
        <v>4.76</v>
      </c>
      <c r="J307" s="16">
        <v>32.08</v>
      </c>
      <c r="P307" s="18">
        <v>2.7900000000000001E-2</v>
      </c>
      <c r="Q307" s="18">
        <v>2.8432433147133991</v>
      </c>
      <c r="R307" s="21" t="s">
        <v>50</v>
      </c>
      <c r="S307" s="21">
        <v>8.3141224127550615</v>
      </c>
      <c r="T307" s="21">
        <v>1.682614910219129</v>
      </c>
      <c r="U307" s="21" t="s">
        <v>50</v>
      </c>
      <c r="V307" s="21">
        <v>3.2342225820465378E-3</v>
      </c>
      <c r="W307" s="18">
        <v>0.61665351990594219</v>
      </c>
      <c r="Y307" s="94">
        <v>2.2050194826634995</v>
      </c>
      <c r="Z307" s="20">
        <v>-4.4562664650871362</v>
      </c>
      <c r="AA307" s="10">
        <v>-7.9615166300873117</v>
      </c>
      <c r="AB307" s="17">
        <v>1.3651652629813049</v>
      </c>
      <c r="AC307" s="18">
        <v>0.68258701727363758</v>
      </c>
      <c r="AD307" s="21">
        <v>1.430613271056594E-2</v>
      </c>
      <c r="AE307" s="21">
        <v>0.44436220920327751</v>
      </c>
      <c r="AF307" s="21">
        <v>5.1219046777777749E-3</v>
      </c>
      <c r="AG307" s="21"/>
      <c r="AH307" s="21">
        <v>1.249159124738189</v>
      </c>
    </row>
    <row r="308" spans="1:34" ht="16.2">
      <c r="A308" s="13" t="s">
        <v>78</v>
      </c>
      <c r="B308" s="13" t="s">
        <v>76</v>
      </c>
      <c r="C308" s="13">
        <v>103</v>
      </c>
      <c r="E308" s="14">
        <v>45321</v>
      </c>
      <c r="H308" s="16">
        <v>19.5</v>
      </c>
      <c r="I308" s="16">
        <v>4.84</v>
      </c>
      <c r="J308" s="16">
        <v>60.66</v>
      </c>
      <c r="P308" s="18">
        <v>2.7199999999999998E-2</v>
      </c>
      <c r="Q308" s="18">
        <v>2.3600321410895808</v>
      </c>
      <c r="R308" s="21" t="s">
        <v>50</v>
      </c>
      <c r="S308" s="21">
        <v>24.486507212435999</v>
      </c>
      <c r="T308" s="21">
        <v>3.051672499400234</v>
      </c>
      <c r="U308" s="21" t="s">
        <v>50</v>
      </c>
      <c r="V308" s="21">
        <v>1.020521503890053E-2</v>
      </c>
      <c r="W308" s="18">
        <v>0.76170824903882195</v>
      </c>
      <c r="Y308" s="94">
        <f>2.8890671108098*2</f>
        <v>5.7781342216195997</v>
      </c>
      <c r="Z308" s="20">
        <v>-4.4328721216352367</v>
      </c>
      <c r="AA308" s="10">
        <v>-6.6352234595757773</v>
      </c>
      <c r="AB308" s="17">
        <v>0.91812551386533081</v>
      </c>
      <c r="AC308" s="18">
        <v>1.1498321069091659</v>
      </c>
      <c r="AD308" s="21">
        <v>0.53915878171280085</v>
      </c>
      <c r="AE308" s="21">
        <v>5.1385939714064506</v>
      </c>
      <c r="AF308" s="21">
        <v>3.6370423377777773E-2</v>
      </c>
      <c r="AG308" s="21"/>
      <c r="AH308" s="21">
        <v>2.2198260401140359</v>
      </c>
    </row>
    <row r="309" spans="1:34" ht="16.2">
      <c r="A309" s="13" t="s">
        <v>75</v>
      </c>
      <c r="B309" s="13" t="s">
        <v>76</v>
      </c>
      <c r="C309" s="13">
        <v>104</v>
      </c>
      <c r="E309" s="14">
        <v>45328</v>
      </c>
      <c r="H309" s="16">
        <v>17.399999999999999</v>
      </c>
      <c r="I309" s="16">
        <v>4.84</v>
      </c>
      <c r="J309" s="16">
        <v>23.17</v>
      </c>
      <c r="P309" s="18">
        <v>2.23E-2</v>
      </c>
      <c r="Q309" s="18">
        <v>2.9625610177294051</v>
      </c>
      <c r="R309" s="21" t="s">
        <v>50</v>
      </c>
      <c r="S309" s="21">
        <v>4.0039676526356756</v>
      </c>
      <c r="T309" s="21">
        <v>1.195810876280015</v>
      </c>
      <c r="U309" s="21" t="s">
        <v>50</v>
      </c>
      <c r="V309" s="21">
        <v>0.21236399628766631</v>
      </c>
      <c r="W309" s="18">
        <v>1.431748176815459</v>
      </c>
      <c r="Y309" s="94">
        <v>1.099724599386908</v>
      </c>
      <c r="Z309" s="20">
        <v>-3.788109837710905</v>
      </c>
      <c r="AA309" s="10">
        <v>-2.28935825048561</v>
      </c>
      <c r="AB309" s="17">
        <v>1.2898699089527701</v>
      </c>
      <c r="AC309" s="18">
        <v>0.20271569621324431</v>
      </c>
      <c r="AD309" s="21">
        <v>6.9979099596759395E-2</v>
      </c>
      <c r="AE309" s="21">
        <v>0.43221499970848848</v>
      </c>
      <c r="AF309" s="21">
        <v>4.3192381777777764E-3</v>
      </c>
      <c r="AG309" s="21"/>
      <c r="AH309" s="21">
        <v>0.9789201128588858</v>
      </c>
    </row>
    <row r="310" spans="1:34">
      <c r="A310" s="13" t="s">
        <v>77</v>
      </c>
      <c r="B310" s="13" t="s">
        <v>76</v>
      </c>
      <c r="C310" s="13">
        <v>104</v>
      </c>
      <c r="E310" s="14">
        <v>45328</v>
      </c>
      <c r="Y310" s="92"/>
      <c r="AC310" s="18"/>
      <c r="AD310" s="21"/>
      <c r="AE310" s="21"/>
      <c r="AF310" s="21"/>
      <c r="AG310" s="21"/>
      <c r="AH310" s="21"/>
    </row>
    <row r="311" spans="1:34">
      <c r="A311" s="13" t="s">
        <v>78</v>
      </c>
      <c r="B311" s="13" t="s">
        <v>76</v>
      </c>
      <c r="C311" s="13">
        <v>104</v>
      </c>
      <c r="E311" s="14">
        <v>45328</v>
      </c>
      <c r="H311" s="16">
        <v>19.5</v>
      </c>
      <c r="I311" s="16">
        <v>4.78</v>
      </c>
      <c r="J311" s="16">
        <v>48.68</v>
      </c>
      <c r="P311" s="18">
        <v>2.7300000000000001E-2</v>
      </c>
      <c r="Q311" s="18">
        <v>2.2748422256624088</v>
      </c>
      <c r="R311" s="21" t="s">
        <v>50</v>
      </c>
      <c r="S311" s="21">
        <v>17.393142458299639</v>
      </c>
      <c r="T311" s="21">
        <v>2.7503636067093802</v>
      </c>
      <c r="U311" s="21" t="s">
        <v>50</v>
      </c>
      <c r="V311" s="21">
        <v>0.81504270156355563</v>
      </c>
      <c r="Y311" s="92"/>
      <c r="Z311" s="20">
        <v>-4.5420457244107686</v>
      </c>
      <c r="AA311" s="10">
        <v>-7.5454851804285337</v>
      </c>
      <c r="AB311" s="17">
        <v>0.90883305392639513</v>
      </c>
      <c r="AC311" s="18">
        <v>0.82785246511970167</v>
      </c>
      <c r="AD311" s="21">
        <v>0.52606010767824851</v>
      </c>
      <c r="AE311" s="21">
        <v>3.893134546129196</v>
      </c>
      <c r="AF311" s="21">
        <v>2.758505505555555E-2</v>
      </c>
      <c r="AG311" s="21"/>
      <c r="AH311" s="21">
        <v>2.4048164038673892</v>
      </c>
    </row>
    <row r="312" spans="1:34">
      <c r="A312" s="13" t="s">
        <v>75</v>
      </c>
      <c r="B312" s="13" t="s">
        <v>76</v>
      </c>
      <c r="C312" s="13">
        <v>105</v>
      </c>
      <c r="E312" s="14">
        <v>45335</v>
      </c>
      <c r="Y312" s="92"/>
      <c r="AC312" s="18"/>
      <c r="AD312" s="21"/>
      <c r="AE312" s="21"/>
      <c r="AF312" s="21"/>
      <c r="AG312" s="21"/>
      <c r="AH312" s="21"/>
    </row>
    <row r="313" spans="1:34">
      <c r="A313" s="13" t="s">
        <v>77</v>
      </c>
      <c r="B313" s="13" t="s">
        <v>76</v>
      </c>
      <c r="C313" s="13">
        <v>105</v>
      </c>
      <c r="E313" s="14">
        <v>45335</v>
      </c>
      <c r="Y313" s="92"/>
      <c r="AC313" s="18"/>
      <c r="AD313" s="21"/>
      <c r="AE313" s="21"/>
      <c r="AF313" s="21"/>
      <c r="AG313" s="21"/>
      <c r="AH313" s="21"/>
    </row>
    <row r="314" spans="1:34">
      <c r="A314" s="13" t="s">
        <v>78</v>
      </c>
      <c r="B314" s="13" t="s">
        <v>76</v>
      </c>
      <c r="C314" s="13">
        <v>105</v>
      </c>
      <c r="E314" s="14">
        <v>45335</v>
      </c>
      <c r="Y314" s="92"/>
      <c r="AC314" s="18"/>
      <c r="AD314" s="21"/>
      <c r="AE314" s="21"/>
      <c r="AF314" s="21"/>
      <c r="AG314" s="21"/>
      <c r="AH314" s="21"/>
    </row>
    <row r="315" spans="1:34">
      <c r="A315" s="13" t="s">
        <v>75</v>
      </c>
      <c r="B315" s="13" t="s">
        <v>76</v>
      </c>
      <c r="C315" s="13">
        <v>106</v>
      </c>
      <c r="E315" s="14">
        <v>45342</v>
      </c>
      <c r="H315" s="16">
        <v>15.6</v>
      </c>
      <c r="I315" s="16">
        <v>4.76</v>
      </c>
      <c r="J315" s="16">
        <v>29.22</v>
      </c>
      <c r="P315" s="18" t="s">
        <v>50</v>
      </c>
      <c r="Q315" s="18">
        <v>3.7073310589999999</v>
      </c>
      <c r="R315" s="21" t="s">
        <v>50</v>
      </c>
      <c r="S315" s="21">
        <v>4.2305285259999996</v>
      </c>
      <c r="T315" s="21">
        <v>1.001515317</v>
      </c>
      <c r="U315" s="21" t="s">
        <v>50</v>
      </c>
      <c r="V315" s="21">
        <v>1.7011996000000001E-2</v>
      </c>
      <c r="W315" s="18">
        <v>1.054852441610195</v>
      </c>
      <c r="Y315" s="92">
        <v>0.97367206089030423</v>
      </c>
      <c r="Z315" s="20">
        <v>-3.8983468197342521</v>
      </c>
      <c r="AA315" s="10">
        <v>-3.0596852380648478</v>
      </c>
      <c r="AB315" s="17">
        <v>1.3527031903075519</v>
      </c>
      <c r="AC315" s="18">
        <v>0.26480845674510578</v>
      </c>
      <c r="AD315" s="21">
        <v>0.10312942156769959</v>
      </c>
      <c r="AE315" s="21">
        <v>0.45882252668055529</v>
      </c>
      <c r="AF315" s="21">
        <v>4.7249031777777768E-3</v>
      </c>
      <c r="AG315" s="21"/>
      <c r="AH315" s="21">
        <v>0.95801639966133079</v>
      </c>
    </row>
    <row r="316" spans="1:34">
      <c r="A316" s="13" t="s">
        <v>77</v>
      </c>
      <c r="B316" s="13" t="s">
        <v>76</v>
      </c>
      <c r="C316" s="13">
        <v>106</v>
      </c>
      <c r="E316" s="14">
        <v>45342</v>
      </c>
      <c r="Y316" s="92"/>
      <c r="AC316" s="18"/>
      <c r="AD316" s="21"/>
      <c r="AE316" s="21"/>
      <c r="AF316" s="21"/>
      <c r="AG316" s="21"/>
      <c r="AH316" s="21"/>
    </row>
    <row r="317" spans="1:34">
      <c r="A317" s="13" t="s">
        <v>78</v>
      </c>
      <c r="B317" s="13" t="s">
        <v>76</v>
      </c>
      <c r="C317" s="13">
        <v>106</v>
      </c>
      <c r="E317" s="14">
        <v>45342</v>
      </c>
      <c r="H317" s="16">
        <v>16</v>
      </c>
      <c r="I317" s="16">
        <v>4.82</v>
      </c>
      <c r="J317" s="16">
        <v>42.81</v>
      </c>
      <c r="P317" s="18" t="s">
        <v>50</v>
      </c>
      <c r="Q317" s="18">
        <v>2.362988557</v>
      </c>
      <c r="R317" s="21" t="s">
        <v>50</v>
      </c>
      <c r="S317" s="21">
        <v>11.589413349999999</v>
      </c>
      <c r="T317" s="21">
        <v>2.4806614300000001</v>
      </c>
      <c r="U317" s="21" t="s">
        <v>50</v>
      </c>
      <c r="V317" s="21">
        <v>2.8596646E-2</v>
      </c>
      <c r="W317" s="18">
        <v>0.62016047692514298</v>
      </c>
      <c r="Y317" s="92">
        <v>2.6527150968835933</v>
      </c>
      <c r="Z317" s="20">
        <v>-4.5643766886148551</v>
      </c>
      <c r="AA317" s="10">
        <v>-8.6457563185203377</v>
      </c>
      <c r="AB317" s="17">
        <v>0.94156871792921715</v>
      </c>
      <c r="AC317" s="18">
        <v>0.59568962610751464</v>
      </c>
      <c r="AD317" s="21">
        <v>0.4185635774477493</v>
      </c>
      <c r="AE317" s="21">
        <v>3.0294057431695718</v>
      </c>
      <c r="AF317" s="21">
        <v>2.140717102222222E-2</v>
      </c>
      <c r="AG317" s="21"/>
      <c r="AH317" s="21">
        <v>1.9294175544802881</v>
      </c>
    </row>
    <row r="318" spans="1:34">
      <c r="A318" s="13" t="s">
        <v>75</v>
      </c>
      <c r="B318" s="13" t="s">
        <v>76</v>
      </c>
      <c r="C318" s="13">
        <v>107</v>
      </c>
      <c r="E318" s="14">
        <v>45349</v>
      </c>
      <c r="H318" s="16">
        <v>20.6</v>
      </c>
      <c r="I318" s="16">
        <v>6.2</v>
      </c>
      <c r="J318" s="16">
        <v>28.5</v>
      </c>
      <c r="P318" s="18">
        <v>5.4394999999999997E-4</v>
      </c>
      <c r="Q318" s="18">
        <v>4.6075011730000002</v>
      </c>
      <c r="R318" s="21" t="s">
        <v>50</v>
      </c>
      <c r="S318" s="21">
        <v>3.2954671790000001</v>
      </c>
      <c r="T318" s="21">
        <v>0.95479668399999995</v>
      </c>
      <c r="U318" s="21" t="s">
        <v>50</v>
      </c>
      <c r="V318" s="21">
        <v>1.9908157999999999E-2</v>
      </c>
      <c r="W318" s="18">
        <v>1.0377607128459341</v>
      </c>
      <c r="Y318" s="92">
        <v>0.71831454351526725</v>
      </c>
      <c r="Z318" s="20">
        <v>-4.0139006979966663</v>
      </c>
      <c r="AA318" s="10">
        <v>-5.0290608225171978</v>
      </c>
      <c r="AB318" s="17">
        <v>1.641931993219393</v>
      </c>
      <c r="AC318" s="18">
        <v>0.27351369964121741</v>
      </c>
      <c r="AD318" s="21">
        <v>0.13076728512714411</v>
      </c>
      <c r="AE318" s="21">
        <v>0.47533946373377511</v>
      </c>
      <c r="AF318" s="21">
        <v>5.0177887888888904E-3</v>
      </c>
      <c r="AG318" s="21"/>
      <c r="AH318" s="21">
        <v>1.385625769987828</v>
      </c>
    </row>
    <row r="319" spans="1:34">
      <c r="A319" s="13" t="s">
        <v>77</v>
      </c>
      <c r="B319" s="13" t="s">
        <v>76</v>
      </c>
      <c r="C319" s="13">
        <v>107</v>
      </c>
      <c r="E319" s="14">
        <v>45349</v>
      </c>
      <c r="Y319" s="92"/>
      <c r="AC319" s="18"/>
      <c r="AD319" s="21"/>
      <c r="AE319" s="21"/>
      <c r="AF319" s="21"/>
      <c r="AG319" s="21"/>
      <c r="AH319" s="21"/>
    </row>
    <row r="320" spans="1:34">
      <c r="A320" s="13" t="s">
        <v>78</v>
      </c>
      <c r="B320" s="13" t="s">
        <v>76</v>
      </c>
      <c r="C320" s="13">
        <v>107</v>
      </c>
      <c r="E320" s="14">
        <v>45349</v>
      </c>
      <c r="H320" s="16">
        <v>21.1</v>
      </c>
      <c r="I320" s="16">
        <v>4.91</v>
      </c>
      <c r="J320" s="16">
        <v>41.89</v>
      </c>
      <c r="P320" s="18" t="s">
        <v>50</v>
      </c>
      <c r="Q320" s="18">
        <v>2.4070850460000002</v>
      </c>
      <c r="R320" s="21" t="s">
        <v>50</v>
      </c>
      <c r="S320" s="21">
        <v>12.037299470000001</v>
      </c>
      <c r="T320" s="21">
        <v>2.4291096529999998</v>
      </c>
      <c r="U320" s="21" t="s">
        <v>50</v>
      </c>
      <c r="V320" s="21">
        <v>2.7148564E-2</v>
      </c>
      <c r="W320" s="18">
        <v>0.75261955343985987</v>
      </c>
      <c r="Y320" s="92">
        <v>2.6539401389940762</v>
      </c>
      <c r="Z320" s="20">
        <v>-4.5211325992037681</v>
      </c>
      <c r="AA320" s="10">
        <v>-7.9025245366484747</v>
      </c>
      <c r="AB320" s="17">
        <v>0.97430827554613419</v>
      </c>
      <c r="AC320" s="18">
        <v>0.5655452755308813</v>
      </c>
      <c r="AD320" s="21">
        <v>0.42743353481707169</v>
      </c>
      <c r="AE320" s="21">
        <v>2.974461371365841</v>
      </c>
      <c r="AF320" s="21">
        <v>2.1083054433333331E-2</v>
      </c>
      <c r="AG320" s="21"/>
      <c r="AH320" s="21">
        <v>2.0354584186084801</v>
      </c>
    </row>
    <row r="321" spans="1:34">
      <c r="A321" s="13" t="s">
        <v>75</v>
      </c>
      <c r="B321" s="13" t="s">
        <v>76</v>
      </c>
      <c r="C321" s="13">
        <v>108</v>
      </c>
      <c r="E321" s="14">
        <v>45356</v>
      </c>
      <c r="H321" s="16">
        <v>18.8</v>
      </c>
      <c r="I321" s="16">
        <v>5.53</v>
      </c>
      <c r="J321" s="16">
        <v>28.6</v>
      </c>
      <c r="P321" s="18">
        <v>3.3399999999999999E-2</v>
      </c>
      <c r="Q321" s="18">
        <v>5.1395117590000003</v>
      </c>
      <c r="R321" s="21" t="s">
        <v>50</v>
      </c>
      <c r="S321" s="21">
        <v>3.089851908</v>
      </c>
      <c r="T321" s="21">
        <v>0.95976027200000003</v>
      </c>
      <c r="U321" s="21" t="s">
        <v>50</v>
      </c>
      <c r="V321" s="21">
        <v>2.1126562000000002E-2</v>
      </c>
      <c r="W321" s="18">
        <v>1.074330580749898</v>
      </c>
      <c r="Y321" s="92">
        <v>0.94481898956624299</v>
      </c>
      <c r="Z321" s="20">
        <v>-4.0482832936759738</v>
      </c>
      <c r="AA321" s="10">
        <v>-5.597717165084596</v>
      </c>
      <c r="AB321" s="17">
        <v>1.837500074898053</v>
      </c>
      <c r="AC321" s="18">
        <v>0.34785762714736002</v>
      </c>
      <c r="AD321" s="21">
        <v>0.1825478829355161</v>
      </c>
      <c r="AE321" s="21">
        <v>0.50940281561969381</v>
      </c>
      <c r="AF321" s="21">
        <v>5.3765417777777748E-3</v>
      </c>
      <c r="AG321" s="21"/>
      <c r="AH321" s="21">
        <v>1.166378639751404</v>
      </c>
    </row>
    <row r="322" spans="1:34">
      <c r="A322" s="13" t="s">
        <v>77</v>
      </c>
      <c r="B322" s="13" t="s">
        <v>76</v>
      </c>
      <c r="C322" s="13">
        <v>108</v>
      </c>
      <c r="E322" s="14">
        <v>45356</v>
      </c>
      <c r="P322" s="18">
        <v>2.8899999999999999E-2</v>
      </c>
      <c r="Q322" s="18">
        <v>2.4418337499999998</v>
      </c>
      <c r="R322" s="21" t="s">
        <v>50</v>
      </c>
      <c r="S322" s="21">
        <v>5.0982748610000002</v>
      </c>
      <c r="T322" s="21">
        <v>1.43134658</v>
      </c>
      <c r="U322" s="21" t="s">
        <v>50</v>
      </c>
      <c r="V322" s="21">
        <v>2.5596938999999999E-2</v>
      </c>
      <c r="W322" s="18">
        <v>0.84910338617967807</v>
      </c>
      <c r="Y322" s="92">
        <v>1.4783667503991249</v>
      </c>
      <c r="Z322" s="20">
        <v>-4.1418606674835736</v>
      </c>
      <c r="AA322" s="10">
        <v>-5.3373974039213543</v>
      </c>
      <c r="AB322" s="17">
        <v>1.2828383167105399</v>
      </c>
      <c r="AC322" s="18">
        <v>0.54207703154278253</v>
      </c>
      <c r="AD322" s="21">
        <v>5.6072726870493167E-2</v>
      </c>
      <c r="AE322" s="21">
        <v>0.41220457603171418</v>
      </c>
      <c r="AF322" s="21">
        <v>4.2281901555555551E-3</v>
      </c>
      <c r="AG322" s="21"/>
      <c r="AH322" s="21">
        <v>1.7423897663182559</v>
      </c>
    </row>
    <row r="323" spans="1:34">
      <c r="A323" s="13" t="s">
        <v>78</v>
      </c>
      <c r="B323" s="13" t="s">
        <v>76</v>
      </c>
      <c r="C323" s="13">
        <v>108</v>
      </c>
      <c r="E323" s="14">
        <v>45356</v>
      </c>
      <c r="P323" s="18">
        <v>4.2200000000000001E-2</v>
      </c>
      <c r="Q323" s="18">
        <v>2.314901195</v>
      </c>
      <c r="R323" s="21" t="s">
        <v>50</v>
      </c>
      <c r="S323" s="21">
        <v>12.25115991</v>
      </c>
      <c r="T323" s="21">
        <v>2.226620917</v>
      </c>
      <c r="U323" s="21" t="s">
        <v>50</v>
      </c>
      <c r="V323" s="21">
        <v>3.4537694000000001E-2</v>
      </c>
      <c r="W323" s="18">
        <v>1.030934559862611</v>
      </c>
      <c r="Y323" s="92"/>
      <c r="Z323" s="20">
        <v>-4.4576843040842196</v>
      </c>
      <c r="AA323" s="10">
        <v>-7.6109938423286394</v>
      </c>
      <c r="AB323" s="17">
        <v>1.111008140273253</v>
      </c>
      <c r="AC323" s="18">
        <v>0.55832648029585386</v>
      </c>
      <c r="AD323" s="21">
        <v>0.48715258603530431</v>
      </c>
      <c r="AE323" s="21">
        <v>3.0601628471555071</v>
      </c>
      <c r="AF323" s="21">
        <v>2.233629847777777E-2</v>
      </c>
      <c r="AG323" s="21"/>
      <c r="AH323" s="21">
        <v>2.2813884274704082</v>
      </c>
    </row>
    <row r="324" spans="1:34">
      <c r="A324" s="13" t="s">
        <v>75</v>
      </c>
      <c r="B324" s="13" t="s">
        <v>76</v>
      </c>
      <c r="C324" s="13">
        <v>109</v>
      </c>
      <c r="E324" s="14">
        <v>45363</v>
      </c>
      <c r="H324" s="16">
        <v>18.5</v>
      </c>
      <c r="I324" s="16">
        <v>4.79</v>
      </c>
      <c r="J324" s="16">
        <v>31.6</v>
      </c>
      <c r="P324" s="18">
        <v>3.2899999999999999E-2</v>
      </c>
      <c r="Q324" s="18">
        <v>5.1219697699999998</v>
      </c>
      <c r="R324" s="21" t="s">
        <v>50</v>
      </c>
      <c r="S324" s="21">
        <v>2.5578651219999999</v>
      </c>
      <c r="T324" s="21">
        <v>0.88388029199999996</v>
      </c>
      <c r="U324" s="21" t="s">
        <v>50</v>
      </c>
      <c r="V324" s="21">
        <v>1.2185807E-2</v>
      </c>
      <c r="W324" s="18">
        <v>1.4305097486347831</v>
      </c>
      <c r="Y324" s="92">
        <v>0.75237330464229635</v>
      </c>
      <c r="Z324" s="20">
        <v>-4.11570839479376</v>
      </c>
      <c r="AA324" s="10">
        <v>-6.276455641166037</v>
      </c>
      <c r="AB324" s="17">
        <v>1.8187009429723859</v>
      </c>
      <c r="AC324" s="18">
        <v>0.38354382951341831</v>
      </c>
      <c r="AD324" s="21">
        <v>0.28513452422117469</v>
      </c>
      <c r="AE324" s="21">
        <v>0.5274101492026495</v>
      </c>
      <c r="AF324" s="21">
        <v>1.0840498988591079E-2</v>
      </c>
      <c r="AG324" s="21"/>
      <c r="AH324" s="21">
        <v>0.97976389374953854</v>
      </c>
    </row>
    <row r="325" spans="1:34">
      <c r="A325" s="13" t="s">
        <v>77</v>
      </c>
      <c r="B325" s="13" t="s">
        <v>76</v>
      </c>
      <c r="C325" s="13">
        <v>109</v>
      </c>
      <c r="E325" s="14">
        <v>45363</v>
      </c>
      <c r="H325" s="16">
        <v>17.399999999999999</v>
      </c>
      <c r="I325" s="16">
        <v>4.8099999999999996</v>
      </c>
      <c r="J325" s="16">
        <v>25.97</v>
      </c>
      <c r="P325" s="18">
        <v>2.4899999999999999E-2</v>
      </c>
      <c r="Q325" s="18">
        <v>2.557530689</v>
      </c>
      <c r="R325" s="21" t="s">
        <v>50</v>
      </c>
      <c r="S325" s="21">
        <v>4.1746059740000003</v>
      </c>
      <c r="T325" s="21">
        <v>1.555136181</v>
      </c>
      <c r="U325" s="21" t="s">
        <v>50</v>
      </c>
      <c r="V325" s="21">
        <v>9.9591939999999993E-3</v>
      </c>
      <c r="W325" s="18">
        <v>0.73948271064560667</v>
      </c>
      <c r="Y325" s="92">
        <v>1.06910727580637</v>
      </c>
      <c r="Z325" s="20">
        <v>-4.3209887306365227</v>
      </c>
      <c r="AA325" s="10">
        <v>-4.8604093811868161</v>
      </c>
      <c r="AB325" s="17">
        <v>1.250075887665351</v>
      </c>
      <c r="AC325" s="18">
        <v>0.46037920677618471</v>
      </c>
      <c r="AD325" s="21">
        <v>0.1072020274886534</v>
      </c>
      <c r="AE325" s="21">
        <v>0.24545471512970571</v>
      </c>
      <c r="AF325" s="21">
        <v>9.2109139983821593E-3</v>
      </c>
      <c r="AG325" s="21"/>
      <c r="AH325" s="21">
        <v>1.264862424463606</v>
      </c>
    </row>
    <row r="326" spans="1:34">
      <c r="A326" s="13" t="s">
        <v>78</v>
      </c>
      <c r="B326" s="13" t="s">
        <v>76</v>
      </c>
      <c r="C326" s="13">
        <v>109</v>
      </c>
      <c r="E326" s="14">
        <v>45363</v>
      </c>
      <c r="Y326" s="92"/>
      <c r="AC326" s="18"/>
      <c r="AD326" s="21"/>
      <c r="AE326" s="21"/>
      <c r="AF326" s="21"/>
      <c r="AG326" s="21"/>
      <c r="AH326" s="21"/>
    </row>
    <row r="327" spans="1:34">
      <c r="A327" s="13" t="s">
        <v>75</v>
      </c>
      <c r="B327" s="13" t="s">
        <v>76</v>
      </c>
      <c r="C327" s="13">
        <v>110</v>
      </c>
      <c r="E327" s="14">
        <v>45370</v>
      </c>
      <c r="P327" s="18">
        <v>3.1E-2</v>
      </c>
      <c r="Q327" s="18">
        <v>5.3323883749999998</v>
      </c>
      <c r="R327" s="21" t="s">
        <v>50</v>
      </c>
      <c r="S327" s="21">
        <v>3.0582172980000002</v>
      </c>
      <c r="T327" s="21">
        <v>0.95582990400000001</v>
      </c>
      <c r="U327" s="21" t="s">
        <v>50</v>
      </c>
      <c r="V327" s="21" t="s">
        <v>50</v>
      </c>
      <c r="W327" s="18">
        <v>0.94001363695579676</v>
      </c>
      <c r="Y327" s="92"/>
      <c r="Z327" s="20">
        <v>-4.0851120189142502</v>
      </c>
      <c r="AA327" s="10">
        <v>-5.5662000831653033</v>
      </c>
      <c r="AB327" s="17">
        <v>1.788093474569024</v>
      </c>
      <c r="AC327" s="18">
        <v>0.37528876844480857</v>
      </c>
      <c r="AD327" s="21">
        <v>0.40876175927047259</v>
      </c>
      <c r="AE327" s="21">
        <v>0.35928977797346501</v>
      </c>
      <c r="AF327" s="21">
        <v>1.028716579711024E-2</v>
      </c>
      <c r="AG327" s="21"/>
      <c r="AH327" s="21">
        <v>0.86033019686811207</v>
      </c>
    </row>
    <row r="328" spans="1:34">
      <c r="A328" s="13" t="s">
        <v>77</v>
      </c>
      <c r="B328" s="13" t="s">
        <v>76</v>
      </c>
      <c r="C328" s="13">
        <v>110</v>
      </c>
      <c r="E328" s="14">
        <v>45370</v>
      </c>
      <c r="P328" s="18">
        <v>3.7699999999999997E-2</v>
      </c>
      <c r="Q328" s="18">
        <v>2.744349111</v>
      </c>
      <c r="R328" s="21" t="s">
        <v>50</v>
      </c>
      <c r="S328" s="21">
        <v>3.5334559300000001</v>
      </c>
      <c r="T328" s="21">
        <v>1.4630525910000001</v>
      </c>
      <c r="U328" s="21" t="s">
        <v>50</v>
      </c>
      <c r="V328" s="21">
        <v>2.7154468000000001E-2</v>
      </c>
      <c r="W328" s="18">
        <v>0.98450569472181249</v>
      </c>
      <c r="Y328" s="92"/>
      <c r="Z328" s="20">
        <v>-4.1648049049259983</v>
      </c>
      <c r="AA328" s="10">
        <v>-4.1467193185535827</v>
      </c>
      <c r="AB328" s="17">
        <v>1.219672066630574</v>
      </c>
      <c r="AC328" s="18">
        <v>0.43295349806824601</v>
      </c>
      <c r="AD328" s="21">
        <v>0.1454922810743077</v>
      </c>
      <c r="AE328" s="21">
        <v>0.24588986559894979</v>
      </c>
      <c r="AF328" s="21">
        <v>9.064849571982142E-3</v>
      </c>
      <c r="AG328" s="21"/>
      <c r="AH328" s="21">
        <v>1.1149105951627281</v>
      </c>
    </row>
    <row r="329" spans="1:34">
      <c r="A329" s="13" t="s">
        <v>78</v>
      </c>
      <c r="B329" s="13" t="s">
        <v>76</v>
      </c>
      <c r="C329" s="13">
        <v>110</v>
      </c>
      <c r="E329" s="14">
        <v>45370</v>
      </c>
      <c r="Y329" s="92"/>
      <c r="Z329" s="20">
        <v>-4.5351633617930966</v>
      </c>
      <c r="AA329" s="10">
        <v>-7.36794121337413</v>
      </c>
      <c r="AB329" s="17">
        <v>1.128529348353817</v>
      </c>
      <c r="AC329" s="18">
        <v>0.50175526042071361</v>
      </c>
      <c r="AD329" s="21">
        <v>0.51335851786891373</v>
      </c>
      <c r="AE329" s="21">
        <v>2.8823576574679368</v>
      </c>
      <c r="AF329" s="21">
        <v>2.3658868104010911E-2</v>
      </c>
      <c r="AG329" s="21"/>
      <c r="AH329" s="21">
        <v>2.0118910312266132</v>
      </c>
    </row>
    <row r="330" spans="1:34">
      <c r="A330" s="13" t="s">
        <v>75</v>
      </c>
      <c r="B330" s="13" t="s">
        <v>76</v>
      </c>
      <c r="C330" s="13">
        <v>111</v>
      </c>
      <c r="E330" s="14">
        <v>45377</v>
      </c>
      <c r="P330" s="18">
        <v>4.1851225999999998E-2</v>
      </c>
      <c r="Q330" s="18">
        <v>1.744032381</v>
      </c>
      <c r="R330" s="21" t="s">
        <v>50</v>
      </c>
      <c r="S330" s="21">
        <v>0.59068712199999995</v>
      </c>
      <c r="T330" s="21">
        <v>0.42843625800000001</v>
      </c>
      <c r="U330" s="21" t="s">
        <v>50</v>
      </c>
      <c r="V330" s="21">
        <v>3.1011605000000001E-2</v>
      </c>
      <c r="Y330" s="92"/>
      <c r="Z330" s="20">
        <v>-4.1007659786665576</v>
      </c>
      <c r="AA330" s="10">
        <v>-5.6118789947775358</v>
      </c>
      <c r="AB330" s="17">
        <v>1.651014566524535</v>
      </c>
      <c r="AC330" s="18">
        <v>0.32271801618586909</v>
      </c>
      <c r="AD330" s="21">
        <v>0.36657612616082852</v>
      </c>
      <c r="AE330" s="21">
        <v>0.3613399480473824</v>
      </c>
      <c r="AF330" s="21">
        <v>1.029391031009977E-2</v>
      </c>
      <c r="AG330" s="21"/>
      <c r="AH330" s="21">
        <v>1.1726410925344259</v>
      </c>
    </row>
    <row r="331" spans="1:34">
      <c r="A331" s="13" t="s">
        <v>77</v>
      </c>
      <c r="B331" s="13" t="s">
        <v>76</v>
      </c>
      <c r="C331" s="13">
        <v>111</v>
      </c>
      <c r="E331" s="14">
        <v>45377</v>
      </c>
      <c r="Y331" s="92"/>
      <c r="AC331" s="18"/>
      <c r="AD331" s="21"/>
      <c r="AE331" s="21"/>
      <c r="AF331" s="21"/>
      <c r="AG331" s="21"/>
      <c r="AH331" s="21"/>
    </row>
    <row r="332" spans="1:34">
      <c r="A332" s="13" t="s">
        <v>78</v>
      </c>
      <c r="B332" s="13" t="s">
        <v>76</v>
      </c>
      <c r="C332" s="13">
        <v>111</v>
      </c>
      <c r="E332" s="14">
        <v>45377</v>
      </c>
      <c r="Y332" s="92"/>
      <c r="AC332" s="18"/>
      <c r="AD332" s="21"/>
      <c r="AE332" s="21"/>
      <c r="AF332" s="21"/>
      <c r="AG332" s="21"/>
      <c r="AH332" s="21"/>
    </row>
    <row r="333" spans="1:34">
      <c r="A333" s="13" t="s">
        <v>75</v>
      </c>
      <c r="B333" s="13" t="s">
        <v>76</v>
      </c>
      <c r="C333" s="13">
        <v>112</v>
      </c>
      <c r="E333" s="14">
        <v>45384</v>
      </c>
      <c r="Y333" s="92"/>
      <c r="AC333" s="18"/>
      <c r="AD333" s="21"/>
      <c r="AE333" s="21"/>
      <c r="AF333" s="21"/>
      <c r="AG333" s="21"/>
      <c r="AH333" s="21"/>
    </row>
    <row r="334" spans="1:34">
      <c r="A334" s="13" t="s">
        <v>77</v>
      </c>
      <c r="B334" s="13" t="s">
        <v>76</v>
      </c>
      <c r="C334" s="13">
        <v>112</v>
      </c>
      <c r="E334" s="14">
        <v>45384</v>
      </c>
      <c r="Y334" s="92"/>
      <c r="AC334" s="18"/>
      <c r="AD334" s="21"/>
      <c r="AE334" s="21"/>
      <c r="AF334" s="21"/>
      <c r="AG334" s="21"/>
      <c r="AH334" s="21"/>
    </row>
    <row r="335" spans="1:34">
      <c r="A335" s="13" t="s">
        <v>78</v>
      </c>
      <c r="B335" s="13" t="s">
        <v>76</v>
      </c>
      <c r="C335" s="13">
        <v>112</v>
      </c>
      <c r="E335" s="14">
        <v>45384</v>
      </c>
      <c r="Y335" s="92"/>
      <c r="AC335" s="18"/>
      <c r="AD335" s="21"/>
      <c r="AE335" s="21"/>
      <c r="AF335" s="21"/>
      <c r="AG335" s="21"/>
      <c r="AH335" s="21"/>
    </row>
    <row r="336" spans="1:34">
      <c r="A336" s="13" t="s">
        <v>75</v>
      </c>
      <c r="B336" s="13" t="s">
        <v>76</v>
      </c>
      <c r="C336" s="13">
        <v>113</v>
      </c>
      <c r="E336" s="14">
        <v>45391</v>
      </c>
      <c r="Y336" s="92"/>
      <c r="AC336" s="18"/>
      <c r="AD336" s="21"/>
      <c r="AE336" s="21"/>
      <c r="AF336" s="21"/>
      <c r="AG336" s="21"/>
      <c r="AH336" s="21"/>
    </row>
    <row r="337" spans="1:34">
      <c r="A337" s="13" t="s">
        <v>77</v>
      </c>
      <c r="B337" s="13" t="s">
        <v>76</v>
      </c>
      <c r="C337" s="13">
        <v>113</v>
      </c>
      <c r="E337" s="14">
        <v>45391</v>
      </c>
      <c r="Y337" s="92"/>
      <c r="AC337" s="18"/>
      <c r="AD337" s="21"/>
      <c r="AE337" s="21"/>
      <c r="AF337" s="21"/>
      <c r="AG337" s="21"/>
      <c r="AH337" s="21"/>
    </row>
    <row r="338" spans="1:34">
      <c r="A338" s="13" t="s">
        <v>78</v>
      </c>
      <c r="B338" s="13" t="s">
        <v>76</v>
      </c>
      <c r="C338" s="13">
        <v>113</v>
      </c>
      <c r="E338" s="14">
        <v>45391</v>
      </c>
      <c r="Y338" s="92"/>
      <c r="AC338" s="18"/>
      <c r="AD338" s="21"/>
      <c r="AE338" s="21"/>
      <c r="AF338" s="21"/>
      <c r="AG338" s="21"/>
      <c r="AH338" s="21"/>
    </row>
    <row r="339" spans="1:34">
      <c r="A339" s="13" t="s">
        <v>75</v>
      </c>
      <c r="B339" s="13" t="s">
        <v>76</v>
      </c>
      <c r="C339" s="13">
        <v>114</v>
      </c>
      <c r="E339" s="14">
        <v>45398</v>
      </c>
      <c r="P339" s="18">
        <v>5.6557590999999997E-2</v>
      </c>
      <c r="Q339" s="18">
        <v>6.4126969589999998</v>
      </c>
      <c r="R339" s="21" t="s">
        <v>50</v>
      </c>
      <c r="S339" s="21">
        <v>3.8373848869999998</v>
      </c>
      <c r="T339" s="21">
        <v>0.74655609000000001</v>
      </c>
      <c r="U339" s="21" t="s">
        <v>50</v>
      </c>
      <c r="V339" s="21">
        <v>1.4451958000000001E-2</v>
      </c>
      <c r="W339" s="18">
        <v>1.18290893068037</v>
      </c>
      <c r="Y339" s="92"/>
      <c r="Z339" s="20">
        <v>-3.5952142330295311</v>
      </c>
      <c r="AA339" s="10">
        <v>-3.493819987915578</v>
      </c>
      <c r="AB339" s="17">
        <v>2.197320030224668</v>
      </c>
      <c r="AC339" s="18">
        <v>0.48474465966203728</v>
      </c>
      <c r="AD339" s="21">
        <v>0.4902752406634503</v>
      </c>
      <c r="AE339" s="21">
        <v>0.43040813116790999</v>
      </c>
      <c r="AF339" s="21">
        <v>1.136983618163508E-2</v>
      </c>
      <c r="AG339" s="21"/>
      <c r="AH339" s="21">
        <v>1.471054915606067</v>
      </c>
    </row>
    <row r="340" spans="1:34">
      <c r="A340" s="13" t="s">
        <v>77</v>
      </c>
      <c r="B340" s="13" t="s">
        <v>76</v>
      </c>
      <c r="C340" s="13">
        <v>114</v>
      </c>
      <c r="E340" s="14">
        <v>45398</v>
      </c>
      <c r="P340" s="18" t="s">
        <v>50</v>
      </c>
      <c r="Q340" s="18">
        <v>3.0042109250000002</v>
      </c>
      <c r="R340" s="21" t="s">
        <v>50</v>
      </c>
      <c r="S340" s="21">
        <v>1.7063245419999999</v>
      </c>
      <c r="T340" s="21">
        <v>1.659580861</v>
      </c>
      <c r="U340" s="21" t="s">
        <v>50</v>
      </c>
      <c r="V340" s="21">
        <v>2.2371789E-2</v>
      </c>
      <c r="W340" s="18">
        <v>0.98596904235599769</v>
      </c>
      <c r="Y340" s="92"/>
      <c r="Z340" s="20">
        <v>-4.1498624887987949</v>
      </c>
      <c r="AA340" s="10">
        <v>-4.7556569898956056</v>
      </c>
      <c r="AB340" s="17">
        <v>1.3864670497335121</v>
      </c>
      <c r="AC340" s="18">
        <v>0.31000649791833329</v>
      </c>
      <c r="AD340" s="21">
        <v>0.17437418577607661</v>
      </c>
      <c r="AE340" s="21">
        <v>0.20042743311579869</v>
      </c>
      <c r="AF340" s="21">
        <v>8.7906504770872244E-3</v>
      </c>
      <c r="AG340" s="21"/>
      <c r="AH340" s="21">
        <v>1.849105779457034</v>
      </c>
    </row>
    <row r="341" spans="1:34">
      <c r="A341" s="13" t="s">
        <v>78</v>
      </c>
      <c r="B341" s="13" t="s">
        <v>76</v>
      </c>
      <c r="C341" s="13">
        <v>114</v>
      </c>
      <c r="E341" s="14">
        <v>45398</v>
      </c>
      <c r="Y341" s="92"/>
      <c r="AC341" s="18"/>
      <c r="AD341" s="21"/>
      <c r="AE341" s="21"/>
      <c r="AF341" s="21"/>
      <c r="AG341" s="21"/>
      <c r="AH341" s="21"/>
    </row>
    <row r="342" spans="1:34">
      <c r="A342" s="13" t="s">
        <v>75</v>
      </c>
      <c r="B342" s="13" t="s">
        <v>76</v>
      </c>
      <c r="C342" s="13">
        <v>115</v>
      </c>
      <c r="E342" s="14">
        <v>45405</v>
      </c>
      <c r="Y342" s="92"/>
      <c r="AC342" s="18"/>
      <c r="AD342" s="21"/>
      <c r="AE342" s="21"/>
      <c r="AF342" s="21"/>
      <c r="AG342" s="21"/>
      <c r="AH342" s="21"/>
    </row>
    <row r="343" spans="1:34">
      <c r="A343" s="13" t="s">
        <v>77</v>
      </c>
      <c r="B343" s="13" t="s">
        <v>76</v>
      </c>
      <c r="C343" s="13">
        <v>115</v>
      </c>
      <c r="E343" s="14">
        <v>45405</v>
      </c>
      <c r="Y343" s="92"/>
      <c r="AC343" s="18"/>
      <c r="AD343" s="21"/>
      <c r="AE343" s="21"/>
      <c r="AF343" s="21"/>
      <c r="AG343" s="21"/>
      <c r="AH343" s="21"/>
    </row>
    <row r="344" spans="1:34">
      <c r="A344" s="13" t="s">
        <v>78</v>
      </c>
      <c r="B344" s="13" t="s">
        <v>76</v>
      </c>
      <c r="C344" s="13">
        <v>115</v>
      </c>
      <c r="E344" s="14">
        <v>45405</v>
      </c>
      <c r="Y344" s="92"/>
      <c r="AC344" s="18"/>
      <c r="AD344" s="21"/>
      <c r="AE344" s="21"/>
      <c r="AF344" s="21"/>
      <c r="AG344" s="21"/>
      <c r="AH344" s="21"/>
    </row>
    <row r="345" spans="1:34">
      <c r="A345" s="13" t="s">
        <v>75</v>
      </c>
      <c r="B345" s="13" t="s">
        <v>76</v>
      </c>
      <c r="C345" s="13">
        <v>116</v>
      </c>
      <c r="E345" s="14">
        <v>45412</v>
      </c>
      <c r="H345" s="16">
        <v>21.3</v>
      </c>
      <c r="I345" s="16">
        <v>4.5999999999999996</v>
      </c>
      <c r="J345" s="16">
        <v>37.76</v>
      </c>
      <c r="P345" s="18">
        <v>7.1622947000000006E-2</v>
      </c>
      <c r="Q345" s="18">
        <v>6.7630138080000002</v>
      </c>
      <c r="R345" s="21" t="s">
        <v>50</v>
      </c>
      <c r="S345" s="21">
        <v>5.322960879</v>
      </c>
      <c r="T345" s="21">
        <v>0.95772296599999995</v>
      </c>
      <c r="U345" s="21" t="s">
        <v>50</v>
      </c>
      <c r="V345" s="21" t="s">
        <v>50</v>
      </c>
      <c r="W345" s="18">
        <v>1.1057510130390531</v>
      </c>
      <c r="Y345" s="92"/>
      <c r="Z345" s="20">
        <v>-3.2988563131733422</v>
      </c>
      <c r="AA345" s="10">
        <v>-4.385760840975494</v>
      </c>
      <c r="AB345" s="17">
        <v>2.1766297846629081</v>
      </c>
      <c r="AC345" s="18">
        <v>0.50564431267919185</v>
      </c>
      <c r="AD345" s="21">
        <v>0.45351249702174928</v>
      </c>
      <c r="AE345" s="21">
        <v>0.45938326011516001</v>
      </c>
      <c r="AF345" s="21">
        <v>1.13216442760944E-2</v>
      </c>
      <c r="AG345" s="21"/>
      <c r="AH345" s="21">
        <v>1.1423725271224709</v>
      </c>
    </row>
    <row r="346" spans="1:34">
      <c r="A346" s="13" t="s">
        <v>77</v>
      </c>
      <c r="B346" s="13" t="s">
        <v>76</v>
      </c>
      <c r="C346" s="13">
        <v>116</v>
      </c>
      <c r="E346" s="14">
        <v>45412</v>
      </c>
      <c r="Y346" s="92"/>
      <c r="AC346" s="18"/>
      <c r="AD346" s="21"/>
      <c r="AE346" s="21"/>
      <c r="AF346" s="21"/>
      <c r="AG346" s="21"/>
      <c r="AH346" s="21"/>
    </row>
    <row r="347" spans="1:34">
      <c r="A347" s="13" t="s">
        <v>78</v>
      </c>
      <c r="B347" s="13" t="s">
        <v>76</v>
      </c>
      <c r="C347" s="13">
        <v>116</v>
      </c>
      <c r="E347" s="14">
        <v>45412</v>
      </c>
      <c r="W347" s="18">
        <v>0.85937815443839982</v>
      </c>
      <c r="Y347" s="92"/>
      <c r="AC347" s="18"/>
      <c r="AD347" s="21"/>
      <c r="AE347" s="21"/>
      <c r="AF347" s="21"/>
      <c r="AG347" s="21"/>
      <c r="AH347" s="21"/>
    </row>
    <row r="348" spans="1:34">
      <c r="A348" s="13" t="s">
        <v>75</v>
      </c>
      <c r="B348" s="13" t="s">
        <v>76</v>
      </c>
      <c r="C348" s="13">
        <v>117</v>
      </c>
      <c r="E348" s="14">
        <v>45419</v>
      </c>
      <c r="H348" s="16">
        <v>19</v>
      </c>
      <c r="I348" s="16">
        <v>4.6900000000000004</v>
      </c>
      <c r="J348" s="16">
        <v>34.83</v>
      </c>
      <c r="P348" s="18" t="s">
        <v>50</v>
      </c>
      <c r="Q348" s="18">
        <v>5.4716745500000004</v>
      </c>
      <c r="R348" s="21" t="s">
        <v>50</v>
      </c>
      <c r="S348" s="21">
        <v>5.8564759369999999</v>
      </c>
      <c r="T348" s="21">
        <v>0.971332419</v>
      </c>
      <c r="U348" s="21" t="s">
        <v>50</v>
      </c>
      <c r="V348" s="21" t="s">
        <v>50</v>
      </c>
      <c r="W348" s="18">
        <v>1.0882632994134069</v>
      </c>
      <c r="Y348" s="92"/>
      <c r="Z348" s="20">
        <v>-3.429780340192643</v>
      </c>
      <c r="AA348" s="10">
        <v>-7.0238038491977566</v>
      </c>
      <c r="AB348" s="17">
        <v>1.930135840791942</v>
      </c>
      <c r="AC348" s="18">
        <v>0.4317040810007971</v>
      </c>
      <c r="AD348" s="21">
        <v>0.41801586393994877</v>
      </c>
      <c r="AE348" s="21">
        <v>0.46480261875844681</v>
      </c>
      <c r="AF348" s="21">
        <v>1.135890991726889E-2</v>
      </c>
      <c r="AG348" s="21"/>
      <c r="AH348" s="21">
        <v>1.153091890252121</v>
      </c>
    </row>
    <row r="349" spans="1:34">
      <c r="A349" s="13" t="s">
        <v>77</v>
      </c>
      <c r="B349" s="13" t="s">
        <v>76</v>
      </c>
      <c r="C349" s="13">
        <v>117</v>
      </c>
      <c r="E349" s="14">
        <v>45419</v>
      </c>
      <c r="Y349" s="92"/>
      <c r="AC349" s="18"/>
      <c r="AD349" s="21"/>
      <c r="AE349" s="21"/>
      <c r="AF349" s="21"/>
      <c r="AG349" s="21"/>
      <c r="AH349" s="21"/>
    </row>
    <row r="350" spans="1:34">
      <c r="A350" s="13" t="s">
        <v>78</v>
      </c>
      <c r="B350" s="13" t="s">
        <v>76</v>
      </c>
      <c r="C350" s="13">
        <v>117</v>
      </c>
      <c r="E350" s="14">
        <v>45419</v>
      </c>
      <c r="P350" s="18" t="s">
        <v>50</v>
      </c>
      <c r="Q350" s="18">
        <v>2.551611383</v>
      </c>
      <c r="R350" s="21" t="s">
        <v>50</v>
      </c>
      <c r="S350" s="21">
        <v>14.620253310000001</v>
      </c>
      <c r="T350" s="21">
        <v>1.9353396700000001</v>
      </c>
      <c r="U350" s="21" t="s">
        <v>50</v>
      </c>
      <c r="V350" s="21">
        <v>0.235179576</v>
      </c>
      <c r="Y350" s="92"/>
      <c r="Z350" s="20">
        <v>-4.2391612137494601</v>
      </c>
      <c r="AA350" s="10">
        <v>-5.6853773939130079</v>
      </c>
      <c r="AB350" s="17">
        <v>1.2995856868079481</v>
      </c>
      <c r="AC350" s="18">
        <v>0.36950959991115218</v>
      </c>
      <c r="AD350" s="21">
        <v>0.46253312709262862</v>
      </c>
      <c r="AE350" s="21">
        <v>2.531914309045713</v>
      </c>
      <c r="AF350" s="21">
        <v>2.4049021362960561E-2</v>
      </c>
      <c r="AG350" s="21"/>
      <c r="AH350" s="21">
        <v>2.4141286432927642</v>
      </c>
    </row>
    <row r="351" spans="1:34">
      <c r="A351" s="13" t="s">
        <v>75</v>
      </c>
      <c r="B351" s="13" t="s">
        <v>76</v>
      </c>
      <c r="C351" s="13">
        <v>118</v>
      </c>
      <c r="E351" s="14">
        <v>45426</v>
      </c>
      <c r="P351" s="18">
        <v>1.2500000000000001E-2</v>
      </c>
      <c r="Q351" s="18">
        <v>4.4552351339999996</v>
      </c>
      <c r="R351" s="21" t="s">
        <v>50</v>
      </c>
      <c r="S351" s="21">
        <v>5.3975981539999998</v>
      </c>
      <c r="T351" s="21">
        <v>0.69238334300000004</v>
      </c>
      <c r="U351" s="21" t="s">
        <v>50</v>
      </c>
      <c r="V351" s="21">
        <v>3.0390249000000001E-2</v>
      </c>
      <c r="W351" s="18">
        <v>0.99919771313611649</v>
      </c>
      <c r="Y351" s="92">
        <v>1.2177620337968436</v>
      </c>
      <c r="Z351" s="20">
        <v>-3.610868192781838</v>
      </c>
      <c r="AA351" s="10">
        <v>-8.7317830029393697</v>
      </c>
      <c r="AB351" s="17">
        <v>1.823878304784798</v>
      </c>
      <c r="AC351" s="18">
        <v>0.34685562955284582</v>
      </c>
      <c r="AD351" s="21">
        <v>0.35629099161071681</v>
      </c>
      <c r="AE351" s="21">
        <v>0.47527576309518749</v>
      </c>
      <c r="AF351" s="21">
        <v>1.161115227881303E-2</v>
      </c>
      <c r="AG351" s="21"/>
      <c r="AH351" s="21">
        <v>1.3279668157532549</v>
      </c>
    </row>
    <row r="352" spans="1:34">
      <c r="A352" s="13" t="s">
        <v>77</v>
      </c>
      <c r="B352" s="13" t="s">
        <v>76</v>
      </c>
      <c r="C352" s="13">
        <v>118</v>
      </c>
      <c r="E352" s="14">
        <v>45426</v>
      </c>
      <c r="Y352" s="92"/>
      <c r="AC352" s="18"/>
      <c r="AD352" s="21"/>
      <c r="AE352" s="21"/>
      <c r="AF352" s="21"/>
      <c r="AG352" s="21"/>
      <c r="AH352" s="21"/>
    </row>
    <row r="353" spans="1:34">
      <c r="A353" s="13" t="s">
        <v>78</v>
      </c>
      <c r="B353" s="13" t="s">
        <v>76</v>
      </c>
      <c r="C353" s="13">
        <v>118</v>
      </c>
      <c r="E353" s="14">
        <v>45426</v>
      </c>
      <c r="P353" s="18">
        <v>2.8799999999999999E-2</v>
      </c>
      <c r="Q353" s="18">
        <v>2.370487308</v>
      </c>
      <c r="R353" s="21" t="s">
        <v>50</v>
      </c>
      <c r="S353" s="21">
        <v>10.87824642</v>
      </c>
      <c r="T353" s="21">
        <v>1.475337291</v>
      </c>
      <c r="U353" s="21" t="s">
        <v>50</v>
      </c>
      <c r="V353" s="21">
        <v>5.7631656000000003E-2</v>
      </c>
      <c r="W353" s="18">
        <v>0.74368947904054039</v>
      </c>
      <c r="Y353" s="92">
        <v>2.5806896198384752</v>
      </c>
      <c r="Z353" s="20">
        <v>-4.1772569183653339</v>
      </c>
      <c r="AA353" s="10">
        <v>-6.2771425420925366</v>
      </c>
      <c r="AB353" s="17">
        <v>1.25994203180843</v>
      </c>
      <c r="AC353" s="18">
        <v>0.27100543177038389</v>
      </c>
      <c r="AD353" s="21">
        <v>0.401667883663473</v>
      </c>
      <c r="AE353" s="21">
        <v>1.9494382331712901</v>
      </c>
      <c r="AF353" s="21">
        <v>2.083461605353891E-2</v>
      </c>
      <c r="AG353" s="21"/>
      <c r="AH353" s="21">
        <v>2.1405365102055378</v>
      </c>
    </row>
    <row r="354" spans="1:34">
      <c r="A354" s="13" t="s">
        <v>75</v>
      </c>
      <c r="B354" s="13" t="s">
        <v>76</v>
      </c>
      <c r="C354" s="13">
        <v>119</v>
      </c>
      <c r="E354" s="14">
        <v>45433</v>
      </c>
      <c r="P354" s="18">
        <v>2.3891781000000001E-2</v>
      </c>
      <c r="Q354" s="18">
        <v>4.8604670509999996</v>
      </c>
      <c r="R354" s="21" t="s">
        <v>50</v>
      </c>
      <c r="S354" s="21">
        <v>8.7955296129999994</v>
      </c>
      <c r="T354" s="21">
        <v>0.87292903600000005</v>
      </c>
      <c r="U354" s="21" t="s">
        <v>50</v>
      </c>
      <c r="V354" s="21">
        <v>4.7882539999999996E-3</v>
      </c>
      <c r="W354" s="18">
        <v>1.2898811184345571</v>
      </c>
      <c r="Y354" s="92"/>
      <c r="Z354" s="20">
        <v>-3.7570904077408942</v>
      </c>
      <c r="AA354" s="10">
        <v>-9.7130209764442519</v>
      </c>
      <c r="AB354" s="17">
        <v>1.8510543033595539</v>
      </c>
      <c r="AC354" s="18">
        <v>0.42099328376168971</v>
      </c>
      <c r="AD354" s="21">
        <v>0.38423122197237669</v>
      </c>
      <c r="AE354" s="21">
        <v>0.5892114781087634</v>
      </c>
      <c r="AF354" s="21">
        <v>1.248750271910417E-2</v>
      </c>
      <c r="AG354" s="21"/>
      <c r="AH354" s="21">
        <v>1.49563663613131</v>
      </c>
    </row>
    <row r="355" spans="1:34">
      <c r="A355" s="13" t="s">
        <v>77</v>
      </c>
      <c r="B355" s="13" t="s">
        <v>76</v>
      </c>
      <c r="C355" s="13">
        <v>119</v>
      </c>
      <c r="E355" s="14">
        <v>45433</v>
      </c>
      <c r="Y355" s="92"/>
      <c r="AC355" s="18"/>
      <c r="AD355" s="21"/>
      <c r="AE355" s="21"/>
      <c r="AF355" s="21"/>
      <c r="AG355" s="21"/>
      <c r="AH355" s="21"/>
    </row>
    <row r="356" spans="1:34">
      <c r="A356" s="13" t="s">
        <v>78</v>
      </c>
      <c r="B356" s="13" t="s">
        <v>76</v>
      </c>
      <c r="C356" s="13">
        <v>119</v>
      </c>
      <c r="E356" s="14">
        <v>45433</v>
      </c>
      <c r="Y356" s="92"/>
      <c r="AC356" s="18"/>
      <c r="AD356" s="21"/>
      <c r="AE356" s="21"/>
      <c r="AF356" s="21"/>
      <c r="AG356" s="21"/>
      <c r="AH356" s="21"/>
    </row>
    <row r="357" spans="1:34">
      <c r="A357" s="13" t="s">
        <v>75</v>
      </c>
      <c r="B357" s="13" t="s">
        <v>76</v>
      </c>
      <c r="C357" s="13">
        <v>120</v>
      </c>
      <c r="E357" s="14">
        <v>45440</v>
      </c>
      <c r="H357" s="16">
        <v>17.899999999999999</v>
      </c>
      <c r="I357" s="16">
        <v>7.23</v>
      </c>
      <c r="J357" s="16">
        <v>41.42</v>
      </c>
      <c r="P357" s="18">
        <v>6.4856290999999996E-2</v>
      </c>
      <c r="Q357" s="18">
        <v>3.889873192</v>
      </c>
      <c r="R357" s="21" t="s">
        <v>50</v>
      </c>
      <c r="S357" s="21">
        <v>9.6260609240000008</v>
      </c>
      <c r="T357" s="21">
        <v>0.967669738</v>
      </c>
      <c r="U357" s="21" t="s">
        <v>50</v>
      </c>
      <c r="V357" s="21" t="s">
        <v>50</v>
      </c>
      <c r="W357" s="18">
        <v>1.0885733618961579</v>
      </c>
      <c r="Y357" s="92"/>
      <c r="Z357" s="20">
        <v>-5.0837634967489684</v>
      </c>
      <c r="AA357" s="10">
        <v>-22.61714178166843</v>
      </c>
      <c r="AB357" s="17">
        <v>1.686013647730614</v>
      </c>
      <c r="AC357" s="18">
        <v>0.35029010043338188</v>
      </c>
      <c r="AD357" s="21">
        <v>0.37039313247996702</v>
      </c>
      <c r="AE357" s="21">
        <v>0.47301923813250929</v>
      </c>
      <c r="AF357" s="21">
        <v>1.153713385424094E-2</v>
      </c>
      <c r="AG357" s="21"/>
      <c r="AH357" s="21">
        <v>1.113228506036759</v>
      </c>
    </row>
    <row r="358" spans="1:34">
      <c r="A358" s="13" t="s">
        <v>77</v>
      </c>
      <c r="B358" s="13" t="s">
        <v>76</v>
      </c>
      <c r="C358" s="13">
        <v>120</v>
      </c>
      <c r="E358" s="14">
        <v>45440</v>
      </c>
      <c r="Y358" s="92"/>
      <c r="AC358" s="18"/>
      <c r="AD358" s="21"/>
      <c r="AE358" s="21"/>
      <c r="AF358" s="21"/>
      <c r="AG358" s="21"/>
      <c r="AH358" s="21"/>
    </row>
    <row r="359" spans="1:34">
      <c r="A359" s="13" t="s">
        <v>78</v>
      </c>
      <c r="B359" s="13" t="s">
        <v>76</v>
      </c>
      <c r="C359" s="13">
        <v>120</v>
      </c>
      <c r="E359" s="14">
        <v>45440</v>
      </c>
      <c r="H359" s="16">
        <v>16.7</v>
      </c>
      <c r="I359" s="16">
        <v>8.44</v>
      </c>
      <c r="J359" s="16">
        <v>36</v>
      </c>
      <c r="P359" s="18" t="s">
        <v>50</v>
      </c>
      <c r="Q359" s="18">
        <v>2.6323210420000001</v>
      </c>
      <c r="R359" s="21" t="s">
        <v>50</v>
      </c>
      <c r="S359" s="21">
        <v>8.3531216320000006</v>
      </c>
      <c r="T359" s="21">
        <v>1.619042074</v>
      </c>
      <c r="U359" s="21" t="s">
        <v>50</v>
      </c>
      <c r="V359" s="21">
        <v>0.22768603000000001</v>
      </c>
      <c r="Y359" s="92"/>
      <c r="Z359" s="20">
        <v>-4.3138732943854734</v>
      </c>
      <c r="AA359" s="10">
        <v>-9.0930928902782338</v>
      </c>
      <c r="AB359" s="17">
        <v>1.212328159023409</v>
      </c>
      <c r="AC359" s="18">
        <v>0.15316682635493911</v>
      </c>
      <c r="AD359" s="21">
        <v>0.33977554927836412</v>
      </c>
      <c r="AE359" s="21">
        <v>1.3940766919551419</v>
      </c>
      <c r="AF359" s="21">
        <v>1.7129504505936911E-2</v>
      </c>
      <c r="AG359" s="21"/>
      <c r="AH359" s="21">
        <v>1.887049723319292</v>
      </c>
    </row>
    <row r="360" spans="1:34">
      <c r="A360" s="13" t="s">
        <v>75</v>
      </c>
      <c r="B360" s="13" t="s">
        <v>76</v>
      </c>
      <c r="C360" s="13">
        <v>121</v>
      </c>
      <c r="E360" s="14">
        <v>45447</v>
      </c>
      <c r="P360" s="18">
        <v>2.5771065999999999E-2</v>
      </c>
      <c r="Q360" s="18">
        <v>2.983338346</v>
      </c>
      <c r="R360" s="21" t="s">
        <v>50</v>
      </c>
      <c r="S360" s="21">
        <v>9.4925680180000001</v>
      </c>
      <c r="T360" s="21">
        <v>0.82893457699999995</v>
      </c>
      <c r="U360" s="21" t="s">
        <v>50</v>
      </c>
      <c r="V360" s="21">
        <v>1.2606671999999999E-2</v>
      </c>
      <c r="W360" s="18">
        <v>2.5373999999999999</v>
      </c>
      <c r="Y360" s="92">
        <v>1.9973378017713199</v>
      </c>
      <c r="Z360" s="20">
        <v>-6.7544679284952593</v>
      </c>
      <c r="AA360" s="10">
        <v>-36.98745261450631</v>
      </c>
      <c r="AB360" s="17">
        <v>1.565041812680755</v>
      </c>
      <c r="AC360" s="18">
        <v>0.26067444630890968</v>
      </c>
      <c r="AD360" s="21">
        <v>0.32070388756127399</v>
      </c>
      <c r="AE360" s="21">
        <v>0.43144102031628101</v>
      </c>
      <c r="AF360" s="21">
        <v>1.130953201461587E-2</v>
      </c>
      <c r="AG360" s="21"/>
      <c r="AH360" s="21">
        <v>1.279299129421708</v>
      </c>
    </row>
    <row r="361" spans="1:34">
      <c r="A361" s="13" t="s">
        <v>77</v>
      </c>
      <c r="B361" s="13" t="s">
        <v>76</v>
      </c>
      <c r="C361" s="13">
        <v>121</v>
      </c>
      <c r="E361" s="14">
        <v>45447</v>
      </c>
      <c r="Y361" s="92"/>
      <c r="AC361" s="18"/>
      <c r="AD361" s="21"/>
      <c r="AE361" s="21"/>
      <c r="AF361" s="21"/>
      <c r="AG361" s="21"/>
      <c r="AH361" s="21"/>
    </row>
    <row r="362" spans="1:34">
      <c r="A362" s="13" t="s">
        <v>78</v>
      </c>
      <c r="B362" s="13" t="s">
        <v>76</v>
      </c>
      <c r="C362" s="13">
        <v>121</v>
      </c>
      <c r="E362" s="14">
        <v>45447</v>
      </c>
      <c r="P362" s="18">
        <v>1.8668160999999999E-2</v>
      </c>
      <c r="Q362" s="18">
        <v>2.5314682309999998</v>
      </c>
      <c r="R362" s="21" t="s">
        <v>50</v>
      </c>
      <c r="S362" s="21">
        <v>8.630780348</v>
      </c>
      <c r="T362" s="21">
        <v>1.5462370510000001</v>
      </c>
      <c r="U362" s="21" t="s">
        <v>50</v>
      </c>
      <c r="V362" s="21">
        <v>1.6871264E-2</v>
      </c>
      <c r="W362" s="18">
        <v>1.6346000000000001</v>
      </c>
      <c r="Y362" s="92">
        <v>0.70207476463245511</v>
      </c>
      <c r="Z362" s="20">
        <v>-4.6564815498734804</v>
      </c>
      <c r="AA362" s="10">
        <v>-14.60753352821817</v>
      </c>
      <c r="AB362" s="17">
        <v>1.2671621891227169</v>
      </c>
      <c r="AC362" s="18">
        <v>0.1098315548589434</v>
      </c>
      <c r="AD362" s="21">
        <v>0.31807603766786968</v>
      </c>
      <c r="AE362" s="21">
        <v>1.2141413489537669</v>
      </c>
      <c r="AF362" s="21">
        <v>1.6249069836143319E-2</v>
      </c>
      <c r="AG362" s="21"/>
      <c r="AH362" s="21">
        <v>1.971735938670784</v>
      </c>
    </row>
    <row r="363" spans="1:34">
      <c r="A363" s="13" t="s">
        <v>75</v>
      </c>
      <c r="B363" s="13" t="s">
        <v>76</v>
      </c>
      <c r="C363" s="13">
        <v>122</v>
      </c>
      <c r="E363" s="14">
        <v>45454</v>
      </c>
      <c r="H363" s="16">
        <v>18.600000000000001</v>
      </c>
      <c r="I363" s="16">
        <v>4.87</v>
      </c>
      <c r="J363" s="16">
        <v>32.43</v>
      </c>
      <c r="P363" s="18">
        <v>4.3317199000000001E-2</v>
      </c>
      <c r="Q363" s="18">
        <v>1.7968611880000001</v>
      </c>
      <c r="R363" s="21" t="s">
        <v>50</v>
      </c>
      <c r="S363" s="21">
        <v>8.1345310889999993</v>
      </c>
      <c r="T363" s="21">
        <v>0.87431177500000001</v>
      </c>
      <c r="U363" s="21" t="s">
        <v>50</v>
      </c>
      <c r="V363" s="21">
        <v>4.1740834999999997E-2</v>
      </c>
      <c r="W363" s="18">
        <v>2.0506000000000002</v>
      </c>
      <c r="Y363" s="92">
        <v>2.0435856784044262</v>
      </c>
      <c r="Z363" s="20">
        <v>-7.5823489363048049</v>
      </c>
      <c r="AA363" s="10">
        <v>-44.809536915022143</v>
      </c>
      <c r="AB363" s="17">
        <v>2.161333720092649</v>
      </c>
      <c r="AC363" s="18">
        <v>0.226693372361952</v>
      </c>
      <c r="AD363" s="21">
        <v>0.41924776941783448</v>
      </c>
      <c r="AE363" s="21">
        <v>0.56048500568636783</v>
      </c>
      <c r="AF363" s="21">
        <v>1.2379007659758559E-2</v>
      </c>
      <c r="AG363" s="21"/>
      <c r="AH363" s="21">
        <v>1.2151092661842551</v>
      </c>
    </row>
    <row r="364" spans="1:34">
      <c r="A364" s="13" t="s">
        <v>77</v>
      </c>
      <c r="B364" s="13" t="s">
        <v>76</v>
      </c>
      <c r="C364" s="13">
        <v>122</v>
      </c>
      <c r="E364" s="14">
        <v>45454</v>
      </c>
      <c r="Y364" s="92"/>
      <c r="AC364" s="18"/>
      <c r="AD364" s="21"/>
      <c r="AE364" s="21"/>
      <c r="AF364" s="21"/>
      <c r="AG364" s="21"/>
      <c r="AH364" s="21"/>
    </row>
    <row r="365" spans="1:34">
      <c r="A365" s="13" t="s">
        <v>78</v>
      </c>
      <c r="B365" s="13" t="s">
        <v>76</v>
      </c>
      <c r="C365" s="13">
        <v>122</v>
      </c>
      <c r="E365" s="14">
        <v>45454</v>
      </c>
      <c r="H365" s="16">
        <v>12.9</v>
      </c>
      <c r="I365" s="16">
        <v>4.8899999999999997</v>
      </c>
      <c r="J365" s="16">
        <v>31.87</v>
      </c>
      <c r="P365" s="18">
        <v>4.0845678000000003E-2</v>
      </c>
      <c r="Q365" s="18">
        <v>2.2027133079999999</v>
      </c>
      <c r="R365" s="21" t="s">
        <v>50</v>
      </c>
      <c r="S365" s="21">
        <v>6.0358844899999999</v>
      </c>
      <c r="T365" s="21">
        <v>1.3657579950000001</v>
      </c>
      <c r="U365" s="21" t="s">
        <v>50</v>
      </c>
      <c r="V365" s="21">
        <v>4.5524363999999998E-2</v>
      </c>
      <c r="W365" s="18">
        <v>1.5573999999999999</v>
      </c>
      <c r="Y365" s="92">
        <v>1.8340686492085281</v>
      </c>
      <c r="Z365" s="20">
        <v>-5.5256320879391074</v>
      </c>
      <c r="AA365" s="10">
        <v>-24.446358948937249</v>
      </c>
      <c r="AB365" s="17">
        <v>1.961064382159772</v>
      </c>
      <c r="AC365" s="18">
        <v>0.129607581736779</v>
      </c>
      <c r="AD365" s="21">
        <v>0.43060042034901902</v>
      </c>
      <c r="AE365" s="21">
        <v>1.2273061767601141</v>
      </c>
      <c r="AF365" s="21">
        <v>1.6593873322651879E-2</v>
      </c>
      <c r="AG365" s="21"/>
      <c r="AH365" s="21">
        <v>1.7112238094747301</v>
      </c>
    </row>
    <row r="366" spans="1:34">
      <c r="A366" s="13" t="s">
        <v>75</v>
      </c>
      <c r="B366" s="13" t="s">
        <v>76</v>
      </c>
      <c r="C366" s="13">
        <v>123</v>
      </c>
      <c r="E366" s="14">
        <v>45461</v>
      </c>
      <c r="H366" s="16">
        <v>21.7</v>
      </c>
      <c r="I366" s="16">
        <v>4.97</v>
      </c>
      <c r="J366" s="16">
        <v>27.45</v>
      </c>
      <c r="P366" s="18">
        <v>3.8759596E-2</v>
      </c>
      <c r="Q366" s="18">
        <v>1.4809912810000001</v>
      </c>
      <c r="R366" s="21" t="s">
        <v>50</v>
      </c>
      <c r="S366" s="21">
        <v>6.9938977199999997</v>
      </c>
      <c r="T366" s="21">
        <v>0.69232850899999998</v>
      </c>
      <c r="U366" s="21" t="s">
        <v>50</v>
      </c>
      <c r="V366" s="21">
        <v>3.8714011999999999E-2</v>
      </c>
      <c r="W366" s="18">
        <v>2.2519999999999998</v>
      </c>
      <c r="Y366" s="92">
        <v>2.0122360847697358</v>
      </c>
      <c r="Z366" s="20">
        <v>-7.8363700104672516</v>
      </c>
      <c r="AA366" s="10">
        <v>-47.431781201934903</v>
      </c>
      <c r="AB366" s="17">
        <v>1.639331030399158</v>
      </c>
      <c r="AC366" s="18">
        <v>0.14736190080877259</v>
      </c>
      <c r="AD366" s="21">
        <v>0.30994555289115661</v>
      </c>
      <c r="AE366" s="21">
        <v>0.36236511918367098</v>
      </c>
      <c r="AF366" s="21">
        <v>1.0793222045343489E-2</v>
      </c>
      <c r="AG366" s="21"/>
      <c r="AH366" s="21">
        <v>1.3054266562882171</v>
      </c>
    </row>
    <row r="367" spans="1:34">
      <c r="A367" s="13" t="s">
        <v>77</v>
      </c>
      <c r="B367" s="13" t="s">
        <v>76</v>
      </c>
      <c r="C367" s="13">
        <v>123</v>
      </c>
      <c r="E367" s="14">
        <v>45461</v>
      </c>
      <c r="Y367" s="92"/>
      <c r="AC367" s="18"/>
      <c r="AD367" s="21"/>
      <c r="AE367" s="21"/>
      <c r="AF367" s="21"/>
      <c r="AG367" s="21"/>
      <c r="AH367" s="21"/>
    </row>
    <row r="368" spans="1:34">
      <c r="A368" s="13" t="s">
        <v>78</v>
      </c>
      <c r="B368" s="13" t="s">
        <v>76</v>
      </c>
      <c r="C368" s="13">
        <v>123</v>
      </c>
      <c r="E368" s="14">
        <v>45461</v>
      </c>
      <c r="Y368" s="92"/>
      <c r="AC368" s="18"/>
      <c r="AD368" s="21"/>
      <c r="AE368" s="21"/>
      <c r="AF368" s="21"/>
      <c r="AG368" s="21"/>
      <c r="AH368" s="21"/>
    </row>
    <row r="369" spans="1:34">
      <c r="A369" s="13" t="s">
        <v>75</v>
      </c>
      <c r="B369" s="13" t="s">
        <v>76</v>
      </c>
      <c r="C369" s="13">
        <v>124</v>
      </c>
      <c r="E369" s="14">
        <v>45467</v>
      </c>
      <c r="H369" s="16">
        <v>21.4</v>
      </c>
      <c r="I369" s="16">
        <v>4.75</v>
      </c>
      <c r="J369" s="16">
        <v>28.08</v>
      </c>
      <c r="P369" s="18">
        <v>0.109285249</v>
      </c>
      <c r="Q369" s="18">
        <v>1.8876263049999999</v>
      </c>
      <c r="R369" s="21" t="s">
        <v>50</v>
      </c>
      <c r="S369" s="21">
        <v>7.943458787</v>
      </c>
      <c r="T369" s="21">
        <v>0.64855160000000001</v>
      </c>
      <c r="U369" s="21" t="s">
        <v>50</v>
      </c>
      <c r="V369" s="21">
        <v>1.4888889000000001E-2</v>
      </c>
      <c r="W369" s="18">
        <v>2.1943999999999999</v>
      </c>
      <c r="Y369" s="92">
        <v>2.106716134418618</v>
      </c>
      <c r="Z369" s="20">
        <v>-8.0160997549886908</v>
      </c>
      <c r="AA369" s="10">
        <v>-50.266664619513648</v>
      </c>
      <c r="AB369" s="17">
        <v>1.45632124058542</v>
      </c>
      <c r="AC369" s="18">
        <v>0.1765106830617508</v>
      </c>
      <c r="AD369" s="21">
        <v>0.23310964724750941</v>
      </c>
      <c r="AE369" s="21">
        <v>0.43738425165647771</v>
      </c>
      <c r="AF369" s="21">
        <v>1.012399549029252E-2</v>
      </c>
      <c r="AG369" s="21"/>
      <c r="AH369" s="21">
        <v>1.3591701008469861</v>
      </c>
    </row>
    <row r="370" spans="1:34">
      <c r="A370" s="13" t="s">
        <v>77</v>
      </c>
      <c r="B370" s="13" t="s">
        <v>76</v>
      </c>
      <c r="C370" s="13">
        <v>124</v>
      </c>
      <c r="E370" s="14">
        <v>45467</v>
      </c>
      <c r="Y370" s="92"/>
      <c r="AC370" s="18"/>
      <c r="AD370" s="21"/>
      <c r="AE370" s="21"/>
      <c r="AF370" s="21"/>
      <c r="AG370" s="21"/>
      <c r="AH370" s="21"/>
    </row>
    <row r="371" spans="1:34">
      <c r="A371" s="13" t="s">
        <v>78</v>
      </c>
      <c r="B371" s="13" t="s">
        <v>76</v>
      </c>
      <c r="C371" s="13">
        <v>124</v>
      </c>
      <c r="E371" s="14">
        <v>45467</v>
      </c>
      <c r="H371" s="16">
        <v>20.3</v>
      </c>
      <c r="I371" s="16">
        <v>4.74</v>
      </c>
      <c r="J371" s="16">
        <v>31.73</v>
      </c>
      <c r="P371" s="18">
        <v>0.110814812</v>
      </c>
      <c r="Q371" s="18">
        <v>2.9959340839999999</v>
      </c>
      <c r="R371" s="21" t="s">
        <v>50</v>
      </c>
      <c r="S371" s="21">
        <v>7.03424607</v>
      </c>
      <c r="T371" s="21">
        <v>1.4242158789999999</v>
      </c>
      <c r="U371" s="21" t="s">
        <v>50</v>
      </c>
      <c r="V371" s="21">
        <v>2.2833333000000001E-2</v>
      </c>
      <c r="W371" s="18">
        <v>1.6531</v>
      </c>
      <c r="Y371" s="92">
        <v>1.8482188660598169</v>
      </c>
      <c r="Z371" s="20">
        <v>-6.5086543946397022</v>
      </c>
      <c r="AA371" s="10">
        <v>-35.188466400306538</v>
      </c>
      <c r="AB371" s="17">
        <v>1.790991228191448</v>
      </c>
      <c r="AC371" s="18">
        <v>8.8996631751923391E-2</v>
      </c>
      <c r="AD371" s="21">
        <v>0.3220009277830661</v>
      </c>
      <c r="AE371" s="21">
        <v>0.9871339963529715</v>
      </c>
      <c r="AF371" s="21">
        <v>1.438952552377133E-2</v>
      </c>
      <c r="AG371" s="21"/>
      <c r="AH371" s="21">
        <v>1.833011566208949</v>
      </c>
    </row>
    <row r="372" spans="1:34">
      <c r="A372" s="13" t="s">
        <v>75</v>
      </c>
      <c r="B372" s="13" t="s">
        <v>76</v>
      </c>
      <c r="C372" s="13">
        <v>125</v>
      </c>
      <c r="E372" s="14">
        <v>45477</v>
      </c>
      <c r="H372" s="16">
        <v>20</v>
      </c>
      <c r="I372" s="16">
        <v>4.8499999999999996</v>
      </c>
      <c r="J372" s="16">
        <v>25.18</v>
      </c>
      <c r="P372" s="18">
        <v>0.11062357</v>
      </c>
      <c r="Q372" s="18">
        <v>1.9428997729999999</v>
      </c>
      <c r="R372" s="21" t="s">
        <v>50</v>
      </c>
      <c r="S372" s="21">
        <v>6.8025969000000002</v>
      </c>
      <c r="T372" s="21">
        <v>0.61796877299999997</v>
      </c>
      <c r="U372" s="21" t="s">
        <v>50</v>
      </c>
      <c r="V372" s="21">
        <v>3.3666666999999997E-2</v>
      </c>
      <c r="W372" s="18">
        <v>2.2810999999999999</v>
      </c>
      <c r="Y372" s="92">
        <v>1.7857044566779121</v>
      </c>
      <c r="Z372" s="20">
        <v>-7.6869967092715976</v>
      </c>
      <c r="AA372" s="10">
        <v>-46.884990266530927</v>
      </c>
      <c r="AB372" s="17">
        <v>1.3870663146634099</v>
      </c>
      <c r="AC372" s="18">
        <v>0.14791467122377869</v>
      </c>
      <c r="AD372" s="21">
        <v>0.19086697932355079</v>
      </c>
      <c r="AE372" s="21">
        <v>0.32598475270568411</v>
      </c>
      <c r="AF372" s="21">
        <v>9.2892337136102655E-3</v>
      </c>
      <c r="AG372" s="21"/>
      <c r="AH372" s="21">
        <v>1.295342220307653</v>
      </c>
    </row>
    <row r="373" spans="1:34">
      <c r="A373" s="13" t="s">
        <v>77</v>
      </c>
      <c r="B373" s="13" t="s">
        <v>76</v>
      </c>
      <c r="C373" s="13">
        <v>125</v>
      </c>
      <c r="E373" s="14">
        <v>45477</v>
      </c>
      <c r="Y373" s="92"/>
      <c r="AC373" s="18"/>
      <c r="AD373" s="21"/>
      <c r="AE373" s="21"/>
      <c r="AF373" s="21"/>
      <c r="AG373" s="21"/>
      <c r="AH373" s="21"/>
    </row>
    <row r="374" spans="1:34">
      <c r="A374" s="13" t="s">
        <v>78</v>
      </c>
      <c r="B374" s="13" t="s">
        <v>76</v>
      </c>
      <c r="C374" s="13">
        <v>125</v>
      </c>
      <c r="E374" s="14">
        <v>45477</v>
      </c>
      <c r="H374" s="16">
        <v>20.5</v>
      </c>
      <c r="I374" s="16">
        <v>4.78</v>
      </c>
      <c r="J374" s="16">
        <v>29.56</v>
      </c>
      <c r="P374" s="18">
        <v>0.106515045</v>
      </c>
      <c r="Q374" s="18">
        <v>3.1590042239999998</v>
      </c>
      <c r="R374" s="21" t="s">
        <v>50</v>
      </c>
      <c r="S374" s="21">
        <v>5.6950634070000001</v>
      </c>
      <c r="T374" s="21">
        <v>1.4089831509999999</v>
      </c>
      <c r="U374" s="21" t="s">
        <v>50</v>
      </c>
      <c r="V374" s="21" t="s">
        <v>50</v>
      </c>
      <c r="W374" s="18">
        <v>1.3935999999999999</v>
      </c>
      <c r="Y374" s="92">
        <v>1.462148290667755</v>
      </c>
      <c r="Z374" s="20">
        <v>-6.5568692692619628</v>
      </c>
      <c r="AA374" s="10">
        <v>-35.17194985717132</v>
      </c>
      <c r="AB374" s="17">
        <v>1.710711269023925</v>
      </c>
      <c r="AC374" s="18">
        <v>6.7588538893248201E-2</v>
      </c>
      <c r="AD374" s="21">
        <v>0.2425240368869859</v>
      </c>
      <c r="AE374" s="21">
        <v>0.78653996240885526</v>
      </c>
      <c r="AF374" s="21">
        <v>1.2857861321566371E-2</v>
      </c>
      <c r="AG374" s="21"/>
      <c r="AH374" s="21">
        <v>1.610855438720707</v>
      </c>
    </row>
    <row r="375" spans="1:34">
      <c r="A375" s="13" t="s">
        <v>75</v>
      </c>
      <c r="B375" s="13" t="s">
        <v>76</v>
      </c>
      <c r="C375" s="13">
        <v>126</v>
      </c>
      <c r="E375" s="14">
        <v>45482</v>
      </c>
      <c r="P375" s="18" t="s">
        <v>50</v>
      </c>
      <c r="Q375" s="18">
        <v>2.1682800279999999</v>
      </c>
      <c r="R375" s="21" t="s">
        <v>50</v>
      </c>
      <c r="S375" s="21">
        <v>6.6273956729999997</v>
      </c>
      <c r="T375" s="21">
        <v>0.62560948000000005</v>
      </c>
      <c r="U375" s="21" t="s">
        <v>50</v>
      </c>
      <c r="V375" s="21" t="s">
        <v>50</v>
      </c>
      <c r="W375" s="18">
        <v>2.2801999999999998</v>
      </c>
      <c r="Y375" s="92">
        <v>1.6696085056041841</v>
      </c>
      <c r="Z375" s="20">
        <v>-7.3104093173356164</v>
      </c>
      <c r="AA375" s="10">
        <v>-43.50050458705708</v>
      </c>
      <c r="AB375" s="17">
        <v>1.3486070718502889</v>
      </c>
      <c r="AC375" s="18">
        <v>0.15013918403124751</v>
      </c>
      <c r="AD375" s="21">
        <v>0.1977745087733464</v>
      </c>
      <c r="AE375" s="21">
        <v>0.36367481273368979</v>
      </c>
      <c r="AF375" s="21">
        <v>9.4681068897283418E-3</v>
      </c>
      <c r="AG375" s="21"/>
      <c r="AH375" s="21">
        <v>1.3235090008432879</v>
      </c>
    </row>
    <row r="376" spans="1:34">
      <c r="A376" s="13" t="s">
        <v>77</v>
      </c>
      <c r="B376" s="13" t="s">
        <v>76</v>
      </c>
      <c r="C376" s="13">
        <v>126</v>
      </c>
      <c r="E376" s="14">
        <v>45482</v>
      </c>
      <c r="Y376" s="92"/>
      <c r="AC376" s="18"/>
      <c r="AD376" s="21"/>
      <c r="AE376" s="21"/>
      <c r="AF376" s="21"/>
      <c r="AG376" s="21"/>
      <c r="AH376" s="21"/>
    </row>
    <row r="377" spans="1:34">
      <c r="A377" s="13" t="s">
        <v>78</v>
      </c>
      <c r="B377" s="13" t="s">
        <v>76</v>
      </c>
      <c r="C377" s="13">
        <v>126</v>
      </c>
      <c r="E377" s="14">
        <v>45482</v>
      </c>
      <c r="H377" s="16">
        <v>22.9</v>
      </c>
      <c r="I377" s="16">
        <v>4.72</v>
      </c>
      <c r="J377" s="16">
        <v>30.06</v>
      </c>
      <c r="P377" s="18" t="s">
        <v>50</v>
      </c>
      <c r="Q377" s="18">
        <v>3.4758762929999998</v>
      </c>
      <c r="R377" s="21" t="s">
        <v>50</v>
      </c>
      <c r="S377" s="21">
        <v>5.7178899550000004</v>
      </c>
      <c r="T377" s="21">
        <v>1.402092179</v>
      </c>
      <c r="U377" s="21" t="s">
        <v>50</v>
      </c>
      <c r="V377" s="21">
        <v>0.230410956</v>
      </c>
      <c r="W377" s="18">
        <v>1.5044999999999999</v>
      </c>
      <c r="Y377" s="92">
        <v>1.4073996500921779</v>
      </c>
      <c r="Z377" s="20">
        <v>-6.6441674134643884</v>
      </c>
      <c r="AA377" s="10">
        <v>-35.523014252747522</v>
      </c>
      <c r="AB377" s="17">
        <v>1.753362263811133</v>
      </c>
      <c r="AC377" s="18">
        <v>6.3977159825291841E-2</v>
      </c>
      <c r="AD377" s="21">
        <v>0.231203794456326</v>
      </c>
      <c r="AE377" s="21">
        <v>0.77115327207447393</v>
      </c>
      <c r="AF377" s="21">
        <v>1.2441023303035439E-2</v>
      </c>
      <c r="AG377" s="21"/>
      <c r="AH377" s="21">
        <v>1.5967709445688461</v>
      </c>
    </row>
    <row r="378" spans="1:34">
      <c r="A378" s="13" t="s">
        <v>75</v>
      </c>
      <c r="B378" s="13" t="s">
        <v>76</v>
      </c>
      <c r="C378" s="13">
        <v>127</v>
      </c>
      <c r="E378" s="14">
        <v>45491</v>
      </c>
      <c r="W378" s="18">
        <v>3.5657999999999999</v>
      </c>
      <c r="Y378" s="92"/>
      <c r="Z378" s="20">
        <v>-6.8085363042220921</v>
      </c>
      <c r="AA378" s="10">
        <v>-39.33798430117114</v>
      </c>
      <c r="AB378" s="17">
        <v>1.1722941216253331</v>
      </c>
      <c r="AC378" s="18">
        <v>0.16705311879120749</v>
      </c>
      <c r="AD378" s="21">
        <v>0.17689439782162089</v>
      </c>
      <c r="AE378" s="21">
        <v>0.35547366359343302</v>
      </c>
      <c r="AF378" s="21">
        <v>9.4630694953244318E-3</v>
      </c>
      <c r="AG378" s="21"/>
      <c r="AH378" s="21">
        <v>1.185578031077295</v>
      </c>
    </row>
    <row r="379" spans="1:34">
      <c r="A379" s="13" t="s">
        <v>77</v>
      </c>
      <c r="B379" s="13" t="s">
        <v>76</v>
      </c>
      <c r="C379" s="13">
        <v>127</v>
      </c>
      <c r="E379" s="14">
        <v>45491</v>
      </c>
      <c r="Y379" s="92"/>
      <c r="AC379" s="18"/>
      <c r="AD379" s="21"/>
      <c r="AE379" s="21"/>
      <c r="AF379" s="21"/>
      <c r="AG379" s="21"/>
      <c r="AH379" s="21"/>
    </row>
    <row r="380" spans="1:34">
      <c r="A380" s="13" t="s">
        <v>78</v>
      </c>
      <c r="B380" s="13" t="s">
        <v>76</v>
      </c>
      <c r="C380" s="13">
        <v>127</v>
      </c>
      <c r="E380" s="14">
        <v>45491</v>
      </c>
      <c r="Y380" s="92"/>
      <c r="AC380" s="18"/>
      <c r="AD380" s="21"/>
      <c r="AE380" s="21"/>
      <c r="AF380" s="21"/>
      <c r="AG380" s="21"/>
      <c r="AH380" s="21"/>
    </row>
    <row r="381" spans="1:34">
      <c r="A381" s="13" t="s">
        <v>75</v>
      </c>
      <c r="B381" s="13" t="s">
        <v>76</v>
      </c>
      <c r="C381" s="13">
        <v>128</v>
      </c>
      <c r="E381" s="14">
        <v>45496</v>
      </c>
      <c r="Y381" s="92"/>
      <c r="AC381" s="18"/>
      <c r="AD381" s="21"/>
      <c r="AE381" s="21"/>
      <c r="AF381" s="21"/>
      <c r="AG381" s="21"/>
      <c r="AH381" s="21"/>
    </row>
    <row r="382" spans="1:34">
      <c r="A382" s="13" t="s">
        <v>77</v>
      </c>
      <c r="B382" s="13" t="s">
        <v>76</v>
      </c>
      <c r="C382" s="13">
        <v>128</v>
      </c>
      <c r="E382" s="14">
        <v>45496</v>
      </c>
      <c r="Y382" s="92"/>
      <c r="AC382" s="18"/>
      <c r="AD382" s="21"/>
      <c r="AE382" s="21"/>
      <c r="AF382" s="21"/>
      <c r="AG382" s="21"/>
      <c r="AH382" s="21"/>
    </row>
    <row r="383" spans="1:34">
      <c r="A383" s="13" t="s">
        <v>78</v>
      </c>
      <c r="B383" s="13" t="s">
        <v>76</v>
      </c>
      <c r="C383" s="13">
        <v>128</v>
      </c>
      <c r="E383" s="14">
        <v>45496</v>
      </c>
      <c r="Y383" s="92"/>
      <c r="AC383" s="18"/>
      <c r="AD383" s="21"/>
      <c r="AE383" s="21"/>
      <c r="AF383" s="21"/>
      <c r="AG383" s="21"/>
      <c r="AH383" s="21"/>
    </row>
    <row r="384" spans="1:34">
      <c r="A384" s="13" t="s">
        <v>75</v>
      </c>
      <c r="B384" s="13" t="s">
        <v>76</v>
      </c>
      <c r="C384" s="13">
        <v>129</v>
      </c>
      <c r="E384" s="14">
        <v>45503</v>
      </c>
      <c r="H384" s="16">
        <v>19</v>
      </c>
      <c r="I384" s="16">
        <v>4.87</v>
      </c>
      <c r="J384" s="16">
        <v>27.99</v>
      </c>
      <c r="P384" s="18">
        <v>8.5212302000000004E-2</v>
      </c>
      <c r="Q384" s="18">
        <v>1.6141059390000001</v>
      </c>
      <c r="R384" s="21" t="s">
        <v>50</v>
      </c>
      <c r="S384" s="21">
        <v>8.4724105420000004</v>
      </c>
      <c r="T384" s="21">
        <v>0.70700470699999995</v>
      </c>
      <c r="U384" s="21" t="s">
        <v>50</v>
      </c>
      <c r="V384" s="21">
        <v>3.0658909000000002E-2</v>
      </c>
      <c r="W384" s="18">
        <v>1.1026204576143519</v>
      </c>
      <c r="Y384" s="92"/>
      <c r="Z384" s="20">
        <v>-10.72343801786892</v>
      </c>
      <c r="AA384" s="10">
        <v>-69.950518462766439</v>
      </c>
      <c r="AB384" s="17">
        <v>1.133672243891849</v>
      </c>
      <c r="AC384" s="18">
        <v>0.1613419137524866</v>
      </c>
      <c r="AD384" s="21">
        <v>0.17680748255866069</v>
      </c>
      <c r="AE384" s="21">
        <v>0.46372187077094851</v>
      </c>
      <c r="AF384" s="21">
        <v>1.0278216834936651E-2</v>
      </c>
      <c r="AG384" s="21"/>
      <c r="AH384" s="21">
        <v>1.2631753957153811</v>
      </c>
    </row>
    <row r="385" spans="1:34">
      <c r="A385" s="13" t="s">
        <v>77</v>
      </c>
      <c r="B385" s="13" t="s">
        <v>76</v>
      </c>
      <c r="C385" s="13">
        <v>129</v>
      </c>
      <c r="E385" s="14">
        <v>45503</v>
      </c>
      <c r="Y385" s="92"/>
      <c r="AC385" s="18"/>
      <c r="AD385" s="21"/>
      <c r="AE385" s="21"/>
      <c r="AF385" s="21"/>
      <c r="AG385" s="21"/>
      <c r="AH385" s="21"/>
    </row>
    <row r="386" spans="1:34">
      <c r="A386" s="13" t="s">
        <v>78</v>
      </c>
      <c r="B386" s="13" t="s">
        <v>76</v>
      </c>
      <c r="C386" s="13">
        <v>129</v>
      </c>
      <c r="E386" s="14">
        <v>45503</v>
      </c>
      <c r="H386" s="16">
        <v>19.3</v>
      </c>
      <c r="I386" s="16">
        <v>4.67</v>
      </c>
      <c r="J386" s="16">
        <v>36.700000000000003</v>
      </c>
      <c r="P386" s="18">
        <v>8.4083484999999999E-2</v>
      </c>
      <c r="Q386" s="18">
        <v>3.2822489159999999</v>
      </c>
      <c r="R386" s="21" t="s">
        <v>50</v>
      </c>
      <c r="S386" s="21">
        <v>8.4832175870000004</v>
      </c>
      <c r="T386" s="21">
        <v>1.2605736000000001</v>
      </c>
      <c r="U386" s="21" t="s">
        <v>50</v>
      </c>
      <c r="V386" s="21" t="s">
        <v>50</v>
      </c>
      <c r="W386" s="18">
        <v>0.76639653847323652</v>
      </c>
      <c r="Y386" s="92"/>
      <c r="Z386" s="20">
        <v>-9.0614859002076891</v>
      </c>
      <c r="AA386" s="10">
        <v>-55.972954564825251</v>
      </c>
      <c r="AB386" s="17">
        <v>1.8656587702579039</v>
      </c>
      <c r="AC386" s="18">
        <v>8.2043406012951001E-2</v>
      </c>
      <c r="AD386" s="21">
        <v>0.2490520346672469</v>
      </c>
      <c r="AE386" s="21">
        <v>0.71398556354562093</v>
      </c>
      <c r="AF386" s="21">
        <v>1.3100106962386541E-2</v>
      </c>
      <c r="AG386" s="21"/>
      <c r="AH386" s="21">
        <v>1.6860850348361509</v>
      </c>
    </row>
    <row r="387" spans="1:34">
      <c r="A387" s="13" t="s">
        <v>75</v>
      </c>
      <c r="B387" s="13" t="s">
        <v>76</v>
      </c>
      <c r="C387" s="13">
        <v>130</v>
      </c>
      <c r="E387" s="14">
        <v>45510</v>
      </c>
      <c r="P387" s="18">
        <v>7.7049268000000004E-2</v>
      </c>
      <c r="Q387" s="18">
        <v>0.81859537500000001</v>
      </c>
      <c r="R387" s="21" t="s">
        <v>50</v>
      </c>
      <c r="S387" s="21">
        <v>6.4070770670000003</v>
      </c>
      <c r="T387" s="21">
        <v>0.55680615899999997</v>
      </c>
      <c r="U387" s="21" t="s">
        <v>50</v>
      </c>
      <c r="V387" s="21" t="s">
        <v>50</v>
      </c>
      <c r="W387" s="18">
        <v>1.2285331713007086</v>
      </c>
      <c r="Y387" s="92"/>
      <c r="Z387" s="20">
        <v>-20.71560551913058</v>
      </c>
      <c r="AA387" s="10">
        <v>-147.54875227012741</v>
      </c>
      <c r="AB387" s="17">
        <v>0.73166148295726074</v>
      </c>
      <c r="AC387" s="18">
        <v>0.10066032193200999</v>
      </c>
      <c r="AD387" s="21">
        <v>0.1336391135193036</v>
      </c>
      <c r="AE387" s="21">
        <v>0.3189241912285109</v>
      </c>
      <c r="AF387" s="21">
        <v>9.0416571211604478E-3</v>
      </c>
      <c r="AG387" s="21"/>
      <c r="AH387" s="21">
        <v>1.1793222674973021</v>
      </c>
    </row>
    <row r="388" spans="1:34">
      <c r="A388" s="13" t="s">
        <v>77</v>
      </c>
      <c r="B388" s="13" t="s">
        <v>76</v>
      </c>
      <c r="C388" s="13">
        <v>130</v>
      </c>
      <c r="E388" s="14">
        <v>45510</v>
      </c>
      <c r="Y388" s="92"/>
      <c r="AC388" s="18"/>
      <c r="AD388" s="21"/>
      <c r="AE388" s="21"/>
      <c r="AF388" s="21"/>
      <c r="AG388" s="21"/>
      <c r="AH388" s="21"/>
    </row>
    <row r="389" spans="1:34">
      <c r="A389" s="13" t="s">
        <v>78</v>
      </c>
      <c r="B389" s="13" t="s">
        <v>76</v>
      </c>
      <c r="C389" s="13">
        <v>130</v>
      </c>
      <c r="E389" s="14">
        <v>45510</v>
      </c>
      <c r="Y389" s="92"/>
      <c r="AC389" s="18"/>
      <c r="AD389" s="21"/>
      <c r="AE389" s="21"/>
      <c r="AF389" s="21"/>
      <c r="AG389" s="21"/>
      <c r="AH389" s="21"/>
    </row>
    <row r="390" spans="1:34">
      <c r="A390" s="13" t="s">
        <v>75</v>
      </c>
      <c r="B390" s="13" t="s">
        <v>76</v>
      </c>
      <c r="C390" s="13">
        <v>131</v>
      </c>
      <c r="E390" s="14">
        <v>45517</v>
      </c>
      <c r="H390" s="16">
        <v>17.399999999999999</v>
      </c>
      <c r="I390" s="16">
        <v>4.84</v>
      </c>
      <c r="J390" s="16">
        <v>21.41</v>
      </c>
      <c r="P390" s="18">
        <v>1.7106471000000002E-2</v>
      </c>
      <c r="Q390" s="18">
        <v>0.77839491900000002</v>
      </c>
      <c r="R390" s="21" t="s">
        <v>50</v>
      </c>
      <c r="S390" s="21">
        <v>6.7253652700000002</v>
      </c>
      <c r="T390" s="21">
        <v>0.49980538000000002</v>
      </c>
      <c r="U390" s="21" t="s">
        <v>50</v>
      </c>
      <c r="V390" s="21">
        <v>2.7085795999999999E-2</v>
      </c>
      <c r="W390" s="18">
        <v>1.0567808496796047</v>
      </c>
      <c r="Y390" s="92"/>
      <c r="Z390" s="20">
        <v>-17.357731713051539</v>
      </c>
      <c r="AA390" s="10">
        <v>-123.9216616072945</v>
      </c>
      <c r="AB390" s="17">
        <v>0.70698398283675856</v>
      </c>
      <c r="AC390" s="18">
        <v>9.6765858040382929E-2</v>
      </c>
      <c r="AD390" s="21">
        <v>0.13651312827323861</v>
      </c>
      <c r="AE390" s="21">
        <v>0.30560943317517592</v>
      </c>
      <c r="AF390" s="21">
        <v>8.9347144780703592E-3</v>
      </c>
      <c r="AG390" s="21"/>
      <c r="AH390" s="21">
        <v>1.1934182994712821</v>
      </c>
    </row>
    <row r="391" spans="1:34">
      <c r="A391" s="13" t="s">
        <v>77</v>
      </c>
      <c r="B391" s="13" t="s">
        <v>76</v>
      </c>
      <c r="C391" s="13">
        <v>131</v>
      </c>
      <c r="E391" s="14">
        <v>45517</v>
      </c>
      <c r="Y391" s="92"/>
      <c r="AC391" s="18"/>
      <c r="AD391" s="21"/>
      <c r="AE391" s="21"/>
      <c r="AF391" s="21"/>
      <c r="AG391" s="21"/>
      <c r="AH391" s="21"/>
    </row>
    <row r="392" spans="1:34">
      <c r="A392" s="13" t="s">
        <v>78</v>
      </c>
      <c r="B392" s="13" t="s">
        <v>76</v>
      </c>
      <c r="C392" s="13">
        <v>131</v>
      </c>
      <c r="E392" s="14">
        <v>45517</v>
      </c>
      <c r="Y392" s="92"/>
      <c r="AC392" s="18"/>
      <c r="AD392" s="21"/>
      <c r="AE392" s="21"/>
      <c r="AF392" s="21"/>
      <c r="AG392" s="21"/>
      <c r="AH392" s="21"/>
    </row>
    <row r="393" spans="1:34">
      <c r="A393" s="13" t="s">
        <v>75</v>
      </c>
      <c r="B393" s="13" t="s">
        <v>76</v>
      </c>
      <c r="C393" s="13">
        <v>132</v>
      </c>
      <c r="E393" s="14">
        <v>45524</v>
      </c>
      <c r="H393" s="16">
        <v>22.8</v>
      </c>
      <c r="I393" s="16">
        <v>4.7699999999999996</v>
      </c>
      <c r="J393" s="16">
        <v>24.84</v>
      </c>
      <c r="P393" s="18">
        <v>3.1199999999999999E-2</v>
      </c>
      <c r="Q393" s="18">
        <v>0.64269003099999999</v>
      </c>
      <c r="R393" s="21" t="s">
        <v>50</v>
      </c>
      <c r="S393" s="21">
        <v>7.9941834160000003</v>
      </c>
      <c r="T393" s="21">
        <v>0.51302899400000002</v>
      </c>
      <c r="U393" s="21" t="s">
        <v>50</v>
      </c>
      <c r="V393" s="21">
        <v>1.6735429E-2</v>
      </c>
      <c r="W393" s="18">
        <v>1.0257969756426615</v>
      </c>
      <c r="Y393" s="92">
        <v>2.1681100380196541</v>
      </c>
      <c r="Z393" s="20">
        <v>-10.599978717699789</v>
      </c>
      <c r="AA393" s="10">
        <v>-72.295164756344406</v>
      </c>
      <c r="AB393" s="17">
        <v>0.64609204196388959</v>
      </c>
      <c r="AC393" s="18">
        <v>0.13382152396679431</v>
      </c>
      <c r="AD393" s="21">
        <v>0.15325779358066649</v>
      </c>
      <c r="AE393" s="21">
        <v>0.40254200594388351</v>
      </c>
      <c r="AF393" s="21">
        <v>9.7894940803910785E-3</v>
      </c>
      <c r="AG393" s="21"/>
      <c r="AH393" s="21">
        <v>1.0501070229762799</v>
      </c>
    </row>
    <row r="394" spans="1:34">
      <c r="A394" s="13" t="s">
        <v>77</v>
      </c>
      <c r="B394" s="13" t="s">
        <v>76</v>
      </c>
      <c r="C394" s="13">
        <v>132</v>
      </c>
      <c r="E394" s="14">
        <v>45524</v>
      </c>
      <c r="Y394" s="92"/>
      <c r="AC394" s="18"/>
      <c r="AD394" s="21"/>
      <c r="AE394" s="21"/>
      <c r="AF394" s="21"/>
      <c r="AG394" s="21"/>
      <c r="AH394" s="21"/>
    </row>
    <row r="395" spans="1:34">
      <c r="A395" s="13" t="s">
        <v>78</v>
      </c>
      <c r="B395" s="13" t="s">
        <v>76</v>
      </c>
      <c r="C395" s="13">
        <v>132</v>
      </c>
      <c r="E395" s="14">
        <v>45524</v>
      </c>
      <c r="Y395" s="92"/>
      <c r="AC395" s="18"/>
      <c r="AD395" s="21"/>
      <c r="AE395" s="21"/>
      <c r="AF395" s="21"/>
      <c r="AG395" s="21"/>
      <c r="AH395" s="21"/>
    </row>
    <row r="396" spans="1:34">
      <c r="A396" s="13" t="s">
        <v>75</v>
      </c>
      <c r="B396" s="13" t="s">
        <v>76</v>
      </c>
      <c r="C396" s="13">
        <v>133</v>
      </c>
      <c r="E396" s="14">
        <v>45531</v>
      </c>
      <c r="H396" s="16">
        <v>19.100000000000001</v>
      </c>
      <c r="I396" s="16">
        <v>4.68</v>
      </c>
      <c r="J396" s="16">
        <v>25.65</v>
      </c>
      <c r="P396" s="18">
        <v>3.1613607000000002E-2</v>
      </c>
      <c r="Q396" s="18">
        <v>0.71961504099999996</v>
      </c>
      <c r="R396" s="21" t="s">
        <v>50</v>
      </c>
      <c r="S396" s="21">
        <v>9.6913595010000009</v>
      </c>
      <c r="T396" s="21">
        <v>0.525835999</v>
      </c>
      <c r="U396" s="21" t="s">
        <v>50</v>
      </c>
      <c r="V396" s="21">
        <v>2.2557385999999999E-2</v>
      </c>
      <c r="W396" s="18">
        <v>1.1285238968613587</v>
      </c>
      <c r="Y396" s="92">
        <v>2.2940432113105782</v>
      </c>
      <c r="Z396" s="20">
        <v>-8.7031617183558936</v>
      </c>
      <c r="AA396" s="10">
        <v>-56.037615074120573</v>
      </c>
      <c r="AB396" s="17">
        <v>0.60442934894094491</v>
      </c>
      <c r="AC396" s="18">
        <v>0.11893876251401431</v>
      </c>
      <c r="AD396" s="21">
        <v>0.14488052692254019</v>
      </c>
      <c r="AE396" s="21">
        <v>0.38461098737283139</v>
      </c>
      <c r="AF396" s="21">
        <v>9.7617771085970698E-3</v>
      </c>
      <c r="AG396" s="21"/>
      <c r="AH396" s="21">
        <v>1.1556901321709661</v>
      </c>
    </row>
    <row r="397" spans="1:34">
      <c r="A397" s="13" t="s">
        <v>77</v>
      </c>
      <c r="B397" s="13" t="s">
        <v>76</v>
      </c>
      <c r="C397" s="13">
        <v>133</v>
      </c>
      <c r="E397" s="14">
        <v>45531</v>
      </c>
      <c r="Y397" s="92"/>
      <c r="AC397" s="18"/>
      <c r="AD397" s="21"/>
      <c r="AE397" s="21"/>
      <c r="AF397" s="21"/>
      <c r="AG397" s="21"/>
      <c r="AH397" s="21"/>
    </row>
    <row r="398" spans="1:34">
      <c r="A398" s="13" t="s">
        <v>78</v>
      </c>
      <c r="B398" s="13" t="s">
        <v>76</v>
      </c>
      <c r="C398" s="13">
        <v>133</v>
      </c>
      <c r="E398" s="14">
        <v>45531</v>
      </c>
      <c r="Y398" s="92"/>
      <c r="AC398" s="18"/>
      <c r="AD398" s="21"/>
      <c r="AE398" s="21"/>
      <c r="AF398" s="21"/>
      <c r="AG398" s="21"/>
      <c r="AH398" s="21"/>
    </row>
    <row r="399" spans="1:34">
      <c r="A399" s="13" t="s">
        <v>75</v>
      </c>
      <c r="B399" s="13" t="s">
        <v>76</v>
      </c>
      <c r="C399" s="13">
        <v>134</v>
      </c>
      <c r="E399" s="14">
        <v>45538</v>
      </c>
      <c r="P399" s="18">
        <v>0.13865651600000001</v>
      </c>
      <c r="Q399" s="18">
        <v>0.63431632800000004</v>
      </c>
      <c r="R399" s="21" t="s">
        <v>50</v>
      </c>
      <c r="S399" s="21">
        <v>8.4551976910000004</v>
      </c>
      <c r="T399" s="21">
        <v>0.71910661200000003</v>
      </c>
      <c r="U399" s="21" t="s">
        <v>50</v>
      </c>
      <c r="V399" s="21" t="s">
        <v>50</v>
      </c>
      <c r="Y399" s="92">
        <v>2.2389548961667898</v>
      </c>
      <c r="Z399" s="20">
        <v>-8.4361535869250446</v>
      </c>
      <c r="AA399" s="10">
        <v>-53.78503972312614</v>
      </c>
      <c r="AB399" s="17">
        <v>0.61168621317258398</v>
      </c>
      <c r="AC399" s="18">
        <v>0.1378336086527642</v>
      </c>
      <c r="AD399" s="21">
        <v>0.1766629281620988</v>
      </c>
      <c r="AE399" s="21">
        <v>0.49972735608340002</v>
      </c>
      <c r="AF399" s="21">
        <v>1.043297587074294E-2</v>
      </c>
      <c r="AG399" s="21"/>
      <c r="AH399" s="21">
        <v>1.3652663689955911</v>
      </c>
    </row>
    <row r="400" spans="1:34">
      <c r="A400" s="13" t="s">
        <v>77</v>
      </c>
      <c r="B400" s="13" t="s">
        <v>76</v>
      </c>
      <c r="C400" s="13">
        <v>134</v>
      </c>
      <c r="E400" s="14">
        <v>45538</v>
      </c>
      <c r="Y400" s="92"/>
      <c r="AC400" s="18"/>
      <c r="AD400" s="21"/>
      <c r="AE400" s="21"/>
      <c r="AF400" s="21"/>
      <c r="AG400" s="21"/>
      <c r="AH400" s="21"/>
    </row>
    <row r="401" spans="1:34">
      <c r="A401" s="13" t="s">
        <v>78</v>
      </c>
      <c r="B401" s="13" t="s">
        <v>76</v>
      </c>
      <c r="C401" s="13">
        <v>134</v>
      </c>
      <c r="E401" s="14">
        <v>45538</v>
      </c>
      <c r="Y401" s="92"/>
      <c r="AC401" s="18"/>
      <c r="AD401" s="21"/>
      <c r="AE401" s="21"/>
      <c r="AF401" s="21"/>
      <c r="AG401" s="21"/>
      <c r="AH401" s="21"/>
    </row>
    <row r="402" spans="1:34">
      <c r="A402" s="13" t="s">
        <v>75</v>
      </c>
      <c r="B402" s="13" t="s">
        <v>76</v>
      </c>
      <c r="C402" s="13">
        <v>135</v>
      </c>
      <c r="E402" s="14">
        <v>45545</v>
      </c>
      <c r="Y402" s="92"/>
      <c r="Z402" s="20">
        <v>-8.140289583561179</v>
      </c>
      <c r="AA402" s="10">
        <v>-51.520516234544552</v>
      </c>
      <c r="AB402" s="17">
        <v>0.76248591591528747</v>
      </c>
      <c r="AC402" s="18">
        <v>0.12988435685722349</v>
      </c>
      <c r="AD402" s="21">
        <v>0.19809779443880429</v>
      </c>
      <c r="AE402" s="21">
        <v>0.54495236206226683</v>
      </c>
      <c r="AF402" s="21">
        <v>1.122572366295909E-2</v>
      </c>
      <c r="AG402" s="21"/>
      <c r="AH402" s="21">
        <v>2.0072186153510239</v>
      </c>
    </row>
    <row r="403" spans="1:34">
      <c r="A403" s="13" t="s">
        <v>77</v>
      </c>
      <c r="B403" s="13" t="s">
        <v>76</v>
      </c>
      <c r="C403" s="13">
        <v>135</v>
      </c>
      <c r="E403" s="14">
        <v>45545</v>
      </c>
      <c r="Y403" s="92"/>
      <c r="AC403" s="18"/>
      <c r="AD403" s="21"/>
      <c r="AE403" s="21"/>
      <c r="AF403" s="21"/>
      <c r="AG403" s="21"/>
      <c r="AH403" s="21"/>
    </row>
    <row r="404" spans="1:34">
      <c r="A404" s="13" t="s">
        <v>78</v>
      </c>
      <c r="B404" s="13" t="s">
        <v>76</v>
      </c>
      <c r="C404" s="13">
        <v>135</v>
      </c>
      <c r="E404" s="14">
        <v>45545</v>
      </c>
      <c r="Y404" s="92"/>
      <c r="AC404" s="18"/>
      <c r="AD404" s="21"/>
      <c r="AE404" s="21"/>
      <c r="AF404" s="21"/>
      <c r="AG404" s="21"/>
      <c r="AH404" s="21"/>
    </row>
    <row r="405" spans="1:34">
      <c r="A405" s="13" t="s">
        <v>75</v>
      </c>
      <c r="B405" s="13" t="s">
        <v>76</v>
      </c>
      <c r="C405" s="13">
        <v>136</v>
      </c>
      <c r="E405" s="14">
        <v>45553</v>
      </c>
      <c r="H405" s="16">
        <v>20.5</v>
      </c>
      <c r="I405" s="16">
        <v>4.4800000000000004</v>
      </c>
      <c r="J405" s="16">
        <v>35.46</v>
      </c>
      <c r="P405" s="18">
        <v>3.1092205000000001E-2</v>
      </c>
      <c r="Q405" s="18">
        <v>0.73437027600000004</v>
      </c>
      <c r="R405" s="21" t="s">
        <v>50</v>
      </c>
      <c r="S405" s="21">
        <v>12.88254736</v>
      </c>
      <c r="T405" s="21">
        <v>0.54041894300000004</v>
      </c>
      <c r="U405" s="21" t="s">
        <v>50</v>
      </c>
      <c r="V405" s="21">
        <v>2.3978916999999999E-2</v>
      </c>
      <c r="W405" s="18">
        <v>1.1552253091447411</v>
      </c>
      <c r="Y405" s="92">
        <v>2.9424669617534649</v>
      </c>
      <c r="Z405" s="20">
        <v>-8.1502807149342811</v>
      </c>
      <c r="AA405" s="10">
        <v>-51.702008305273246</v>
      </c>
      <c r="AB405" s="17">
        <v>0.96349740186529476</v>
      </c>
      <c r="AC405" s="18">
        <v>0.13267363753246966</v>
      </c>
      <c r="AD405" s="21">
        <v>0.35609011278853586</v>
      </c>
      <c r="AE405" s="21">
        <v>0.51743721283482202</v>
      </c>
      <c r="AF405" s="21">
        <v>1.0745266389170102E-2</v>
      </c>
      <c r="AG405" s="21"/>
      <c r="AH405" s="21">
        <v>1.8858319572388296</v>
      </c>
    </row>
    <row r="406" spans="1:34">
      <c r="A406" s="13" t="s">
        <v>77</v>
      </c>
      <c r="B406" s="13" t="s">
        <v>76</v>
      </c>
      <c r="C406" s="13">
        <v>136</v>
      </c>
      <c r="E406" s="14">
        <v>45553</v>
      </c>
      <c r="Y406" s="92"/>
      <c r="AC406" s="18"/>
      <c r="AD406" s="21"/>
      <c r="AE406" s="21"/>
      <c r="AF406" s="21"/>
      <c r="AG406" s="21"/>
      <c r="AH406" s="21"/>
    </row>
    <row r="407" spans="1:34">
      <c r="A407" s="13" t="s">
        <v>78</v>
      </c>
      <c r="B407" s="13" t="s">
        <v>76</v>
      </c>
      <c r="C407" s="13">
        <v>136</v>
      </c>
      <c r="E407" s="14">
        <v>45553</v>
      </c>
      <c r="Y407" s="92"/>
      <c r="AC407" s="18"/>
      <c r="AD407" s="21"/>
      <c r="AE407" s="21"/>
      <c r="AF407" s="21"/>
      <c r="AG407" s="21"/>
      <c r="AH407" s="21"/>
    </row>
    <row r="408" spans="1:34">
      <c r="A408" s="13" t="s">
        <v>75</v>
      </c>
      <c r="B408" s="13" t="s">
        <v>76</v>
      </c>
      <c r="C408" s="13">
        <v>137</v>
      </c>
      <c r="E408" s="14">
        <v>45559</v>
      </c>
      <c r="H408" s="16">
        <v>25.6</v>
      </c>
      <c r="I408" s="16">
        <v>4.5599999999999996</v>
      </c>
      <c r="J408" s="16">
        <v>34.51</v>
      </c>
      <c r="P408" s="18">
        <v>3.6799999999999999E-2</v>
      </c>
      <c r="Q408" s="18">
        <v>0.66330133899999999</v>
      </c>
      <c r="R408" s="21" t="s">
        <v>50</v>
      </c>
      <c r="S408" s="21">
        <v>11.005663650000001</v>
      </c>
      <c r="T408" s="21">
        <v>0.47581018400000002</v>
      </c>
      <c r="U408" s="21">
        <v>3.8041666000000002E-2</v>
      </c>
      <c r="V408" s="21" t="s">
        <v>50</v>
      </c>
      <c r="W408" s="18">
        <v>0.94271969663785082</v>
      </c>
      <c r="Y408" s="92">
        <v>2.8350112595237271</v>
      </c>
      <c r="Z408" s="20">
        <v>-8.3865871425576515</v>
      </c>
      <c r="AA408" s="10">
        <v>-53.382668381208028</v>
      </c>
      <c r="AB408" s="17">
        <v>0.61534897890292972</v>
      </c>
      <c r="AC408" s="18">
        <v>9.6423854599531816E-2</v>
      </c>
      <c r="AD408" s="21">
        <v>0.15181138409909864</v>
      </c>
      <c r="AE408" s="21">
        <v>0.32846469164656605</v>
      </c>
      <c r="AF408" s="21">
        <v>9.7105938092081033E-3</v>
      </c>
      <c r="AG408" s="21"/>
      <c r="AH408" s="21">
        <v>1.3889686420346747</v>
      </c>
    </row>
    <row r="409" spans="1:34">
      <c r="A409" s="13" t="s">
        <v>77</v>
      </c>
      <c r="B409" s="13" t="s">
        <v>76</v>
      </c>
      <c r="C409" s="13">
        <v>137</v>
      </c>
      <c r="E409" s="14">
        <v>45559</v>
      </c>
      <c r="H409" s="16">
        <v>25.2</v>
      </c>
      <c r="I409" s="16">
        <v>4.6399999999999997</v>
      </c>
      <c r="J409" s="16">
        <v>25.36</v>
      </c>
      <c r="P409" s="18">
        <v>2.98E-2</v>
      </c>
      <c r="Q409" s="18">
        <v>0.78920564999999998</v>
      </c>
      <c r="R409" s="21" t="s">
        <v>50</v>
      </c>
      <c r="S409" s="21">
        <v>5.5499034229999999</v>
      </c>
      <c r="T409" s="21">
        <v>1.2971066339999999</v>
      </c>
      <c r="U409" s="21">
        <v>9.1081431000000004E-2</v>
      </c>
      <c r="V409" s="21">
        <v>8.9875500000000004E-3</v>
      </c>
      <c r="W409" s="18">
        <v>0.9108343774400135</v>
      </c>
      <c r="Y409" s="92">
        <v>1.4159979834923171</v>
      </c>
      <c r="Z409" s="20">
        <v>-8.6366239130704532</v>
      </c>
      <c r="AA409" s="10">
        <v>-54.699266497742315</v>
      </c>
      <c r="AB409" s="17">
        <v>0.70213965286088798</v>
      </c>
      <c r="AC409" s="18">
        <v>0.16332804179500099</v>
      </c>
      <c r="AD409" s="21">
        <v>9.8382322357938673E-2</v>
      </c>
      <c r="AE409" s="21">
        <v>0.18009518745255779</v>
      </c>
      <c r="AF409" s="21">
        <v>8.789802075369944E-3</v>
      </c>
      <c r="AG409" s="21"/>
      <c r="AH409" s="21">
        <v>1.6450098595472731</v>
      </c>
    </row>
    <row r="410" spans="1:34">
      <c r="A410" s="13" t="s">
        <v>78</v>
      </c>
      <c r="B410" s="13" t="s">
        <v>76</v>
      </c>
      <c r="C410" s="13">
        <v>137</v>
      </c>
      <c r="E410" s="14">
        <v>45559</v>
      </c>
      <c r="Y410" s="92"/>
      <c r="AC410" s="18"/>
      <c r="AD410" s="21"/>
      <c r="AE410" s="21"/>
      <c r="AF410" s="21"/>
      <c r="AG410" s="21"/>
      <c r="AH410" s="21"/>
    </row>
    <row r="411" spans="1:34">
      <c r="A411" s="13" t="s">
        <v>75</v>
      </c>
      <c r="B411" s="13" t="s">
        <v>76</v>
      </c>
      <c r="C411" s="13">
        <v>138</v>
      </c>
      <c r="E411" s="14">
        <v>45566</v>
      </c>
      <c r="P411" s="18">
        <v>3.2199999999999999E-2</v>
      </c>
      <c r="Q411" s="18">
        <v>0.65553954299999995</v>
      </c>
      <c r="R411" s="21" t="s">
        <v>50</v>
      </c>
      <c r="S411" s="21">
        <v>8.7587506340000001</v>
      </c>
      <c r="T411" s="21">
        <v>0.84379433599999998</v>
      </c>
      <c r="U411" s="21" t="s">
        <v>50</v>
      </c>
      <c r="V411" s="21">
        <v>4.0982350000000004E-3</v>
      </c>
      <c r="Y411" s="92">
        <v>2.238565055398984</v>
      </c>
      <c r="Z411" s="20">
        <v>-13.114160994276594</v>
      </c>
      <c r="AA411" s="10">
        <v>-90.022308631103371</v>
      </c>
      <c r="AB411" s="17">
        <v>0.54456090085908726</v>
      </c>
      <c r="AC411" s="18">
        <v>9.273512772024893E-2</v>
      </c>
      <c r="AD411" s="21">
        <v>0.14644137529591728</v>
      </c>
      <c r="AE411" s="21">
        <v>0.32889699300346392</v>
      </c>
      <c r="AF411" s="21">
        <v>9.4303230007651857E-3</v>
      </c>
      <c r="AG411" s="21"/>
      <c r="AH411" s="21">
        <v>1.2057336298183632</v>
      </c>
    </row>
    <row r="412" spans="1:34">
      <c r="A412" s="13" t="s">
        <v>77</v>
      </c>
      <c r="B412" s="13" t="s">
        <v>76</v>
      </c>
      <c r="C412" s="13">
        <v>138</v>
      </c>
      <c r="E412" s="14">
        <v>45566</v>
      </c>
      <c r="H412" s="16">
        <v>18.600000000000001</v>
      </c>
      <c r="I412" s="16">
        <v>4.6399999999999997</v>
      </c>
      <c r="J412" s="16">
        <v>23.46</v>
      </c>
      <c r="P412" s="18">
        <v>3.0499999999999999E-2</v>
      </c>
      <c r="Q412" s="18">
        <v>0.93845113499999999</v>
      </c>
      <c r="R412" s="21" t="s">
        <v>50</v>
      </c>
      <c r="S412" s="21">
        <v>4.6601160640000003</v>
      </c>
      <c r="T412" s="21">
        <v>1.418329365</v>
      </c>
      <c r="U412" s="21" t="s">
        <v>50</v>
      </c>
      <c r="V412" s="21">
        <v>5.4951820000000004E-3</v>
      </c>
      <c r="W412" s="18">
        <v>0.79977154223990299</v>
      </c>
      <c r="Y412" s="92">
        <v>1.1655309863243311</v>
      </c>
      <c r="Z412" s="20">
        <v>-13.093204155129566</v>
      </c>
      <c r="AA412" s="10">
        <v>-88.926996266609279</v>
      </c>
      <c r="AB412" s="17">
        <v>0.63498528255547304</v>
      </c>
      <c r="AC412" s="18">
        <v>0.14987794014271685</v>
      </c>
      <c r="AD412" s="21">
        <v>0.10479802673889968</v>
      </c>
      <c r="AE412" s="21">
        <v>0.20944787067916099</v>
      </c>
      <c r="AF412" s="21">
        <v>8.9306868531819888E-3</v>
      </c>
      <c r="AG412" s="21"/>
      <c r="AH412" s="21">
        <v>1.3620987355400627</v>
      </c>
    </row>
    <row r="413" spans="1:34">
      <c r="A413" s="13" t="s">
        <v>78</v>
      </c>
      <c r="B413" s="13" t="s">
        <v>76</v>
      </c>
      <c r="C413" s="13">
        <v>138</v>
      </c>
      <c r="E413" s="14">
        <v>45566</v>
      </c>
      <c r="P413" s="18">
        <v>3.3500000000000002E-2</v>
      </c>
      <c r="Q413" s="18">
        <v>2.5500805660000001</v>
      </c>
      <c r="R413" s="21" t="s">
        <v>50</v>
      </c>
      <c r="S413" s="21">
        <v>8.2025808940000005</v>
      </c>
      <c r="T413" s="21">
        <v>1.0763627950000001</v>
      </c>
      <c r="U413" s="21">
        <v>3.1210787E-2</v>
      </c>
      <c r="V413" s="21">
        <v>6.1936559999999996E-3</v>
      </c>
      <c r="Y413" s="92">
        <v>2.0948298224237512</v>
      </c>
      <c r="Z413" s="20">
        <v>-11.302117057684535</v>
      </c>
      <c r="AA413" s="10">
        <v>-75.895454011846667</v>
      </c>
      <c r="AB413" s="17">
        <v>1.6279774008861776</v>
      </c>
      <c r="AC413" s="18">
        <v>7.5547922759850852E-2</v>
      </c>
      <c r="AD413" s="21">
        <v>0.19975851176209586</v>
      </c>
      <c r="AE413" s="21">
        <v>0.45861661608097248</v>
      </c>
      <c r="AF413" s="21">
        <v>1.0258516848397009E-2</v>
      </c>
      <c r="AG413" s="21"/>
      <c r="AH413" s="21">
        <v>2.2143395223483049</v>
      </c>
    </row>
    <row r="414" spans="1:34">
      <c r="A414" s="13" t="s">
        <v>75</v>
      </c>
      <c r="B414" s="13" t="s">
        <v>76</v>
      </c>
      <c r="C414" s="13">
        <v>139</v>
      </c>
      <c r="E414" s="14">
        <v>45573</v>
      </c>
      <c r="H414" s="16">
        <v>17.2</v>
      </c>
      <c r="I414" s="16">
        <v>4.6399999999999997</v>
      </c>
      <c r="J414" s="16">
        <v>31.94</v>
      </c>
      <c r="P414" s="18">
        <v>2.9632016000000001E-2</v>
      </c>
      <c r="Q414" s="18">
        <v>0.63271134699999998</v>
      </c>
      <c r="R414" s="21" t="s">
        <v>50</v>
      </c>
      <c r="S414" s="21">
        <v>7.0726894869999999</v>
      </c>
      <c r="T414" s="21">
        <v>0.27668758799999998</v>
      </c>
      <c r="U414" s="21" t="s">
        <v>50</v>
      </c>
      <c r="V414" s="21">
        <v>1.2606671999999999E-2</v>
      </c>
      <c r="W414" s="18">
        <v>0.9215432299709988</v>
      </c>
      <c r="Y414" s="92">
        <v>2.455751004186618</v>
      </c>
      <c r="Z414" s="20">
        <v>-9.4105816622589273</v>
      </c>
      <c r="AA414" s="10">
        <v>-58.941908396748424</v>
      </c>
      <c r="AB414" s="17">
        <v>0.55871542879062264</v>
      </c>
      <c r="AC414" s="18">
        <v>0.10951287375329458</v>
      </c>
      <c r="AD414" s="21">
        <v>0.13909778357506772</v>
      </c>
      <c r="AE414" s="21">
        <v>0.33677857029931946</v>
      </c>
      <c r="AF414" s="21">
        <v>9.598551124752849E-3</v>
      </c>
      <c r="AG414" s="21"/>
      <c r="AH414" s="21">
        <v>1.1627035779114008</v>
      </c>
    </row>
    <row r="415" spans="1:34">
      <c r="A415" s="13" t="s">
        <v>77</v>
      </c>
      <c r="B415" s="13" t="s">
        <v>76</v>
      </c>
      <c r="C415" s="13">
        <v>139</v>
      </c>
      <c r="E415" s="14">
        <v>45573</v>
      </c>
      <c r="Y415" s="92"/>
      <c r="AC415" s="18"/>
      <c r="AD415" s="21"/>
      <c r="AE415" s="21"/>
      <c r="AF415" s="21"/>
      <c r="AG415" s="21"/>
      <c r="AH415" s="21"/>
    </row>
    <row r="416" spans="1:34">
      <c r="A416" s="13" t="s">
        <v>78</v>
      </c>
      <c r="B416" s="13" t="s">
        <v>76</v>
      </c>
      <c r="C416" s="13">
        <v>139</v>
      </c>
      <c r="E416" s="14">
        <v>45573</v>
      </c>
      <c r="H416" s="16">
        <v>16.2</v>
      </c>
      <c r="I416" s="16">
        <v>4.5999999999999996</v>
      </c>
      <c r="J416" s="16">
        <v>32.44</v>
      </c>
      <c r="P416" s="18">
        <v>2.2847454999999999E-2</v>
      </c>
      <c r="Q416" s="18">
        <v>2.293296405</v>
      </c>
      <c r="R416" s="21" t="s">
        <v>50</v>
      </c>
      <c r="S416" s="21">
        <v>8.4095382619999999</v>
      </c>
      <c r="T416" s="21">
        <v>1.3295666390000001</v>
      </c>
      <c r="U416" s="21" t="s">
        <v>50</v>
      </c>
      <c r="V416" s="21">
        <v>3.3667229999999999E-3</v>
      </c>
      <c r="W416" s="18">
        <v>1.162696666174837</v>
      </c>
      <c r="Y416" s="92">
        <v>1.799825119517183</v>
      </c>
      <c r="Z416" s="20">
        <v>-12.233612425288587</v>
      </c>
      <c r="AA416" s="10">
        <v>-83.186767433466173</v>
      </c>
      <c r="AB416" s="17">
        <v>1.428436354694786</v>
      </c>
      <c r="AC416" s="18">
        <v>6.9320773419119602E-2</v>
      </c>
      <c r="AD416" s="21">
        <v>0.19077028344802816</v>
      </c>
      <c r="AE416" s="21">
        <v>0.37715032459377584</v>
      </c>
      <c r="AF416" s="21">
        <v>9.8486354113849744E-3</v>
      </c>
      <c r="AG416" s="21"/>
      <c r="AH416" s="21">
        <v>1.8613844166263012</v>
      </c>
    </row>
    <row r="417" spans="1:34">
      <c r="A417" s="13" t="s">
        <v>75</v>
      </c>
      <c r="B417" s="13" t="s">
        <v>76</v>
      </c>
      <c r="C417" s="13">
        <v>140</v>
      </c>
      <c r="E417" s="14">
        <v>45580</v>
      </c>
      <c r="H417" s="16">
        <v>19.5</v>
      </c>
      <c r="I417" s="16">
        <v>4.58</v>
      </c>
      <c r="J417" s="16">
        <v>29.91</v>
      </c>
      <c r="P417" s="18">
        <v>4.5880651000000001E-2</v>
      </c>
      <c r="Q417" s="18">
        <v>1.0145826570000001</v>
      </c>
      <c r="R417" s="21" t="s">
        <v>50</v>
      </c>
      <c r="S417" s="21">
        <v>9.4636891540000008</v>
      </c>
      <c r="T417" s="21">
        <v>0.52127734599999997</v>
      </c>
      <c r="U417" s="21" t="s">
        <v>50</v>
      </c>
      <c r="V417" s="21">
        <v>2.3268151000000001E-2</v>
      </c>
      <c r="Y417" s="92">
        <v>1.9536088264745359</v>
      </c>
      <c r="Z417" s="20">
        <v>-10.390494554788869</v>
      </c>
      <c r="AA417" s="10">
        <v>-65.920225801745929</v>
      </c>
      <c r="AB417" s="17">
        <v>0.55176161791070066</v>
      </c>
      <c r="AC417" s="18">
        <v>7.0573928936453131E-2</v>
      </c>
      <c r="AD417" s="21">
        <v>0.14374450472397496</v>
      </c>
      <c r="AE417" s="21">
        <v>0.26264987553168789</v>
      </c>
      <c r="AF417" s="21">
        <v>9.0143424381570175E-3</v>
      </c>
      <c r="AG417" s="21"/>
      <c r="AH417" s="21">
        <v>1.04779169717795</v>
      </c>
    </row>
    <row r="418" spans="1:34">
      <c r="A418" s="13" t="s">
        <v>77</v>
      </c>
      <c r="B418" s="13" t="s">
        <v>76</v>
      </c>
      <c r="C418" s="13">
        <v>140</v>
      </c>
      <c r="E418" s="14">
        <v>45580</v>
      </c>
      <c r="Y418" s="92"/>
      <c r="AC418" s="18"/>
      <c r="AD418" s="21"/>
      <c r="AE418" s="21"/>
      <c r="AF418" s="21"/>
      <c r="AG418" s="21"/>
      <c r="AH418" s="21"/>
    </row>
    <row r="419" spans="1:34">
      <c r="A419" s="13" t="s">
        <v>78</v>
      </c>
      <c r="B419" s="13" t="s">
        <v>76</v>
      </c>
      <c r="C419" s="13">
        <v>140</v>
      </c>
      <c r="E419" s="14">
        <v>45580</v>
      </c>
      <c r="Y419" s="92"/>
      <c r="AC419" s="18"/>
      <c r="AD419" s="21"/>
      <c r="AE419" s="21"/>
      <c r="AF419" s="21"/>
      <c r="AG419" s="21"/>
      <c r="AH419" s="21"/>
    </row>
    <row r="420" spans="1:34">
      <c r="A420" s="13" t="s">
        <v>75</v>
      </c>
      <c r="B420" s="13" t="s">
        <v>76</v>
      </c>
      <c r="C420" s="13">
        <v>141</v>
      </c>
      <c r="E420" s="14">
        <v>45587</v>
      </c>
      <c r="H420" s="16">
        <v>22.9</v>
      </c>
      <c r="I420" s="16">
        <v>4.57</v>
      </c>
      <c r="J420" s="16">
        <v>26.65</v>
      </c>
      <c r="P420" s="18">
        <v>1.8263834999999999E-2</v>
      </c>
      <c r="Q420" s="18">
        <v>0.80594798899999998</v>
      </c>
      <c r="R420" s="21" t="s">
        <v>50</v>
      </c>
      <c r="S420" s="21">
        <v>6.9284501409999999</v>
      </c>
      <c r="T420" s="21">
        <v>0.405242247</v>
      </c>
      <c r="U420" s="21" t="s">
        <v>50</v>
      </c>
      <c r="V420" s="21">
        <v>1.9386427000000001E-2</v>
      </c>
      <c r="W420" s="18">
        <v>0.91965030308143603</v>
      </c>
      <c r="Y420" s="92">
        <v>1.771537484093038</v>
      </c>
      <c r="Z420" s="20">
        <v>-8.6145830994847898</v>
      </c>
      <c r="AA420" s="10">
        <v>-52.010488286139328</v>
      </c>
      <c r="AB420" s="17">
        <v>0.57398577151875108</v>
      </c>
      <c r="AC420" s="18">
        <v>8.4727513243381722E-2</v>
      </c>
      <c r="AD420" s="21">
        <v>0.13598820090691885</v>
      </c>
      <c r="AE420" s="21">
        <v>0.23659389109953555</v>
      </c>
      <c r="AF420" s="21">
        <v>8.9027469669006425E-3</v>
      </c>
      <c r="AG420" s="21"/>
      <c r="AH420" s="21">
        <v>1.1105346781318426</v>
      </c>
    </row>
    <row r="421" spans="1:34">
      <c r="A421" s="13" t="s">
        <v>77</v>
      </c>
      <c r="B421" s="13" t="s">
        <v>76</v>
      </c>
      <c r="C421" s="13">
        <v>141</v>
      </c>
      <c r="E421" s="14">
        <v>45587</v>
      </c>
      <c r="Y421" s="92"/>
      <c r="AC421" s="18"/>
      <c r="AD421" s="21"/>
      <c r="AE421" s="21"/>
      <c r="AF421" s="21"/>
      <c r="AG421" s="21"/>
      <c r="AH421" s="21"/>
    </row>
    <row r="422" spans="1:34">
      <c r="A422" s="13" t="s">
        <v>78</v>
      </c>
      <c r="B422" s="13" t="s">
        <v>76</v>
      </c>
      <c r="C422" s="13">
        <v>141</v>
      </c>
      <c r="E422" s="14">
        <v>45587</v>
      </c>
      <c r="H422" s="16">
        <v>22.9</v>
      </c>
      <c r="I422" s="16">
        <v>4.6100000000000003</v>
      </c>
      <c r="J422" s="16">
        <v>28.94</v>
      </c>
      <c r="P422" s="18">
        <v>1.7772062000000002E-2</v>
      </c>
      <c r="Q422" s="18">
        <v>1.520553566</v>
      </c>
      <c r="R422" s="21" t="s">
        <v>50</v>
      </c>
      <c r="S422" s="21">
        <v>5.7050598519999998</v>
      </c>
      <c r="T422" s="21">
        <v>1.1419024520000001</v>
      </c>
      <c r="U422" s="21" t="s">
        <v>50</v>
      </c>
      <c r="V422" s="21">
        <v>1.6584376000000001E-2</v>
      </c>
      <c r="W422" s="18">
        <v>0.76037136584837139</v>
      </c>
      <c r="Y422" s="92">
        <v>1.4381809107029671</v>
      </c>
      <c r="Z422" s="20">
        <v>-10.471792637686818</v>
      </c>
      <c r="AA422" s="10">
        <v>-67.22014932471987</v>
      </c>
      <c r="AB422" s="17">
        <v>1.1715721244812305</v>
      </c>
      <c r="AC422" s="18">
        <v>4.311169822843091E-2</v>
      </c>
      <c r="AD422" s="21">
        <v>0.15510337227104137</v>
      </c>
      <c r="AE422" s="21">
        <v>0.28925757163686905</v>
      </c>
      <c r="AF422" s="21">
        <v>9.2469987156948256E-3</v>
      </c>
      <c r="AG422" s="21"/>
      <c r="AH422" s="21">
        <v>1.8182330612925903</v>
      </c>
    </row>
    <row r="423" spans="1:34">
      <c r="A423" s="13" t="s">
        <v>75</v>
      </c>
      <c r="B423" s="13" t="s">
        <v>76</v>
      </c>
      <c r="C423" s="13">
        <v>142</v>
      </c>
      <c r="E423" s="14">
        <v>45594</v>
      </c>
      <c r="H423" s="16">
        <v>21</v>
      </c>
      <c r="I423" s="16">
        <v>4.6399999999999997</v>
      </c>
      <c r="J423" s="16">
        <v>27.21</v>
      </c>
      <c r="P423" s="18">
        <v>1.6661479999999999E-2</v>
      </c>
      <c r="Q423" s="18">
        <v>1.4619934059999999</v>
      </c>
      <c r="R423" s="21" t="s">
        <v>50</v>
      </c>
      <c r="S423" s="21">
        <v>6.9793172070000002</v>
      </c>
      <c r="T423" s="21">
        <v>0.36471810500000001</v>
      </c>
      <c r="U423" s="21" t="s">
        <v>50</v>
      </c>
      <c r="V423" s="21">
        <v>2.2942417E-2</v>
      </c>
      <c r="W423" s="18">
        <v>1.0419971582144121</v>
      </c>
      <c r="Y423" s="92">
        <v>1.6841576455459319</v>
      </c>
      <c r="Z423" s="20">
        <v>-5.5017698365255487</v>
      </c>
      <c r="AA423" s="10">
        <v>-25.561803800531482</v>
      </c>
      <c r="AB423" s="17">
        <v>0.63129923099115848</v>
      </c>
      <c r="AC423" s="18">
        <v>0.10141267827660667</v>
      </c>
      <c r="AD423" s="21">
        <v>0.14394491036074919</v>
      </c>
      <c r="AE423" s="21">
        <v>0.24565256282020595</v>
      </c>
      <c r="AF423" s="21">
        <v>9.0357503224794272E-3</v>
      </c>
      <c r="AG423" s="21"/>
      <c r="AH423" s="21">
        <v>1.1054667260355304</v>
      </c>
    </row>
    <row r="424" spans="1:34">
      <c r="A424" s="13" t="s">
        <v>77</v>
      </c>
      <c r="B424" s="13" t="s">
        <v>76</v>
      </c>
      <c r="C424" s="13">
        <v>142</v>
      </c>
      <c r="E424" s="14">
        <v>45594</v>
      </c>
      <c r="Y424" s="92"/>
      <c r="AC424" s="18"/>
      <c r="AD424" s="21"/>
      <c r="AE424" s="21"/>
      <c r="AF424" s="21"/>
      <c r="AG424" s="21"/>
      <c r="AH424" s="21"/>
    </row>
    <row r="425" spans="1:34">
      <c r="A425" s="13" t="s">
        <v>78</v>
      </c>
      <c r="B425" s="13" t="s">
        <v>76</v>
      </c>
      <c r="C425" s="13">
        <v>142</v>
      </c>
      <c r="E425" s="14">
        <v>45594</v>
      </c>
      <c r="H425" s="16">
        <v>21.5</v>
      </c>
      <c r="I425" s="16">
        <v>4.53</v>
      </c>
      <c r="J425" s="16">
        <v>23.06</v>
      </c>
      <c r="P425" s="18">
        <v>1.8879304E-2</v>
      </c>
      <c r="Q425" s="18">
        <v>1.266405502</v>
      </c>
      <c r="R425" s="21" t="s">
        <v>50</v>
      </c>
      <c r="S425" s="21">
        <v>4.605261831</v>
      </c>
      <c r="T425" s="21">
        <v>1.0660808589999999</v>
      </c>
      <c r="U425" s="21" t="s">
        <v>50</v>
      </c>
      <c r="V425" s="21">
        <v>2.1597114000000001E-2</v>
      </c>
      <c r="W425" s="18">
        <v>0.66853146213993608</v>
      </c>
      <c r="Y425" s="92">
        <v>1.105588683187003</v>
      </c>
      <c r="Z425" s="20">
        <v>-10.229343688244491</v>
      </c>
      <c r="AA425" s="10">
        <v>-64.412564633999537</v>
      </c>
      <c r="AB425" s="17">
        <v>0.95469092506616071</v>
      </c>
      <c r="AC425" s="18">
        <v>3.32960806268668E-2</v>
      </c>
      <c r="AD425" s="21">
        <v>0.16079097859179492</v>
      </c>
      <c r="AE425" s="21">
        <v>0.23732047117057833</v>
      </c>
      <c r="AF425" s="21">
        <v>8.8140509206466773E-3</v>
      </c>
      <c r="AG425" s="21"/>
      <c r="AH425" s="21">
        <v>1.6275942215501042</v>
      </c>
    </row>
    <row r="426" spans="1:34">
      <c r="A426" s="13" t="s">
        <v>75</v>
      </c>
      <c r="B426" s="13" t="s">
        <v>76</v>
      </c>
      <c r="C426" s="13">
        <v>143</v>
      </c>
      <c r="E426" s="14">
        <v>45601</v>
      </c>
      <c r="H426" s="16">
        <v>19.3</v>
      </c>
      <c r="I426" s="16">
        <v>4.66</v>
      </c>
      <c r="J426" s="16">
        <v>12.9</v>
      </c>
      <c r="P426" s="18">
        <v>1.1768696E-2</v>
      </c>
      <c r="Q426" s="18">
        <v>1.331879679</v>
      </c>
      <c r="R426" s="21" t="s">
        <v>50</v>
      </c>
      <c r="S426" s="21">
        <v>5.8955110629999998</v>
      </c>
      <c r="T426" s="21">
        <v>0.43432172499999999</v>
      </c>
      <c r="U426" s="21" t="s">
        <v>50</v>
      </c>
      <c r="V426" s="21">
        <v>3.5984700000000001E-2</v>
      </c>
      <c r="W426" s="18">
        <v>0.8103955402549593</v>
      </c>
      <c r="Y426" s="92">
        <v>1.4155211403829031</v>
      </c>
      <c r="Z426" s="20">
        <v>-7.6820037574420947</v>
      </c>
      <c r="AA426" s="10">
        <v>-44.265834352098381</v>
      </c>
      <c r="AB426" s="17">
        <v>0.91268850856429706</v>
      </c>
      <c r="AC426" s="18">
        <v>0.10344303962825685</v>
      </c>
      <c r="AD426" s="21">
        <v>0.13995029164697503</v>
      </c>
      <c r="AE426" s="21">
        <v>0.23117517981928115</v>
      </c>
      <c r="AF426" s="21">
        <v>8.6999827347870318E-3</v>
      </c>
      <c r="AG426" s="21"/>
      <c r="AH426" s="21">
        <v>0.98872940691086342</v>
      </c>
    </row>
    <row r="427" spans="1:34">
      <c r="A427" s="13" t="s">
        <v>179</v>
      </c>
      <c r="B427" s="13" t="s">
        <v>76</v>
      </c>
      <c r="C427" s="13">
        <v>143</v>
      </c>
      <c r="E427" s="14">
        <v>45601</v>
      </c>
      <c r="Y427" s="92"/>
      <c r="AC427" s="18"/>
      <c r="AD427" s="21"/>
      <c r="AE427" s="21"/>
      <c r="AF427" s="21"/>
      <c r="AG427" s="21"/>
      <c r="AH427" s="21"/>
    </row>
    <row r="428" spans="1:34">
      <c r="A428" s="13" t="s">
        <v>78</v>
      </c>
      <c r="B428" s="13" t="s">
        <v>76</v>
      </c>
      <c r="C428" s="13">
        <v>143</v>
      </c>
      <c r="E428" s="14">
        <v>45601</v>
      </c>
      <c r="H428" s="16">
        <v>19.5</v>
      </c>
      <c r="I428" s="16">
        <v>4.7</v>
      </c>
      <c r="J428" s="16">
        <v>12.81</v>
      </c>
      <c r="P428" s="18">
        <v>1.2817416E-2</v>
      </c>
      <c r="Q428" s="18">
        <v>1.529521863</v>
      </c>
      <c r="R428" s="21" t="s">
        <v>50</v>
      </c>
      <c r="S428" s="21">
        <v>5.1030935189999997</v>
      </c>
      <c r="T428" s="21">
        <v>1.0451867379999999</v>
      </c>
      <c r="U428" s="21" t="s">
        <v>50</v>
      </c>
      <c r="V428" s="21">
        <v>2.815933E-2</v>
      </c>
      <c r="W428" s="18">
        <v>0.84925610300188403</v>
      </c>
      <c r="Y428" s="92">
        <v>1.293981444674059</v>
      </c>
      <c r="Z428" s="20">
        <v>-9.9084872544072535</v>
      </c>
      <c r="AA428" s="10">
        <v>-62.184769456866483</v>
      </c>
      <c r="AB428" s="17">
        <v>1.0636350225323832</v>
      </c>
      <c r="AC428" s="18">
        <v>5.3283952728466158E-2</v>
      </c>
      <c r="AD428" s="21">
        <v>0.16828689610130385</v>
      </c>
      <c r="AE428" s="21">
        <v>0.35340283549248247</v>
      </c>
      <c r="AF428" s="21">
        <v>9.2910678003548172E-3</v>
      </c>
      <c r="AG428" s="21"/>
      <c r="AH428" s="21">
        <v>1.9325426872333689</v>
      </c>
    </row>
    <row r="429" spans="1:34">
      <c r="A429" s="13" t="s">
        <v>75</v>
      </c>
      <c r="B429" s="13" t="s">
        <v>76</v>
      </c>
      <c r="C429" s="13">
        <v>144</v>
      </c>
      <c r="E429" s="14">
        <v>45608</v>
      </c>
      <c r="H429" s="16">
        <v>22.5</v>
      </c>
      <c r="I429" s="16">
        <v>4.8099999999999996</v>
      </c>
      <c r="J429" s="16">
        <v>28.31</v>
      </c>
      <c r="P429" s="18">
        <v>4.7600000000000003E-2</v>
      </c>
      <c r="Q429" s="18">
        <v>2.9007361989999998</v>
      </c>
      <c r="R429" s="21" t="s">
        <v>50</v>
      </c>
      <c r="S429" s="21">
        <v>6.1909408790000002</v>
      </c>
      <c r="T429" s="21">
        <v>0.73756579300000003</v>
      </c>
      <c r="U429" s="21">
        <v>4.4364104000000001E-2</v>
      </c>
      <c r="V429" s="21" t="s">
        <v>50</v>
      </c>
      <c r="W429" s="18">
        <v>0.69648922674383573</v>
      </c>
      <c r="Y429" s="92">
        <v>1.450169257709288</v>
      </c>
      <c r="Z429" s="20">
        <v>-10.009904451617992</v>
      </c>
      <c r="AA429" s="10">
        <v>-64.885554872218165</v>
      </c>
      <c r="AB429" s="17">
        <v>1.449631185044828</v>
      </c>
      <c r="AC429" s="18">
        <v>0.16360632591350244</v>
      </c>
      <c r="AD429" s="21">
        <v>0.10510058243517138</v>
      </c>
      <c r="AE429" s="21">
        <v>0.28421113147510529</v>
      </c>
      <c r="AF429" s="21">
        <v>1.1620087573465162E-2</v>
      </c>
      <c r="AG429" s="21"/>
      <c r="AH429" s="21">
        <v>0.71198334050988699</v>
      </c>
    </row>
    <row r="430" spans="1:34">
      <c r="A430" s="13" t="s">
        <v>77</v>
      </c>
      <c r="B430" s="13" t="s">
        <v>76</v>
      </c>
      <c r="C430" s="13">
        <v>144</v>
      </c>
      <c r="E430" s="14">
        <v>45608</v>
      </c>
      <c r="Y430" s="92"/>
      <c r="AC430" s="18"/>
      <c r="AD430" s="21"/>
      <c r="AE430" s="21"/>
      <c r="AF430" s="21"/>
      <c r="AG430" s="21"/>
      <c r="AH430" s="21"/>
    </row>
    <row r="431" spans="1:34">
      <c r="A431" s="13" t="s">
        <v>78</v>
      </c>
      <c r="B431" s="13" t="s">
        <v>76</v>
      </c>
      <c r="C431" s="13">
        <v>144</v>
      </c>
      <c r="E431" s="14">
        <v>45608</v>
      </c>
      <c r="H431" s="16">
        <v>21.9</v>
      </c>
      <c r="I431" s="16">
        <v>4.6500000000000004</v>
      </c>
      <c r="J431" s="16">
        <v>27.18</v>
      </c>
      <c r="P431" s="18">
        <v>5.1799999999999999E-2</v>
      </c>
      <c r="Q431" s="18">
        <v>2.5703490009999999</v>
      </c>
      <c r="R431" s="21" t="s">
        <v>50</v>
      </c>
      <c r="S431" s="21">
        <v>4.9143187770000001</v>
      </c>
      <c r="T431" s="21">
        <v>1.1816223640000001</v>
      </c>
      <c r="U431" s="21" t="s">
        <v>50</v>
      </c>
      <c r="V431" s="21" t="s">
        <v>50</v>
      </c>
      <c r="W431" s="18">
        <v>0.56882405636867017</v>
      </c>
      <c r="Y431" s="92">
        <v>1.154543097780669</v>
      </c>
      <c r="Z431" s="20">
        <v>-11.47894735490118</v>
      </c>
      <c r="AA431" s="10">
        <v>-76.499011870006086</v>
      </c>
      <c r="AB431" s="17">
        <v>1.1444440771354798</v>
      </c>
      <c r="AC431" s="18">
        <v>3.2340315195962414E-2</v>
      </c>
      <c r="AD431" s="21">
        <v>0.14725348418181153</v>
      </c>
      <c r="AE431" s="21">
        <v>0.26464289415970288</v>
      </c>
      <c r="AF431" s="21">
        <v>1.2252139870638527E-2</v>
      </c>
      <c r="AG431" s="21"/>
      <c r="AH431" s="21">
        <v>1.4402895075357542</v>
      </c>
    </row>
    <row r="432" spans="1:34">
      <c r="A432" s="13" t="s">
        <v>75</v>
      </c>
      <c r="B432" s="13" t="s">
        <v>76</v>
      </c>
      <c r="C432" s="13">
        <v>145</v>
      </c>
      <c r="E432" s="14">
        <v>45615</v>
      </c>
      <c r="H432" s="16">
        <v>23.7</v>
      </c>
      <c r="I432" s="16">
        <v>5.23</v>
      </c>
      <c r="J432" s="16">
        <v>22.87</v>
      </c>
      <c r="P432" s="18">
        <v>3.85E-2</v>
      </c>
      <c r="Q432" s="18">
        <v>1.535455298</v>
      </c>
      <c r="R432" s="21" t="s">
        <v>50</v>
      </c>
      <c r="S432" s="21">
        <v>4.8539907250000001</v>
      </c>
      <c r="T432" s="21">
        <v>0.83950685700000005</v>
      </c>
      <c r="U432" s="21" t="s">
        <v>50</v>
      </c>
      <c r="V432" s="21" t="s">
        <v>50</v>
      </c>
      <c r="W432" s="18">
        <v>0.72437769777798477</v>
      </c>
      <c r="Y432" s="92">
        <v>1.189753740176613</v>
      </c>
      <c r="Z432" s="20">
        <v>-6.6247787594443732</v>
      </c>
      <c r="AA432" s="10">
        <v>-35.502571160532483</v>
      </c>
      <c r="AB432" s="17">
        <v>1.2108250186370524</v>
      </c>
      <c r="AC432" s="18">
        <v>7.2463735032487861E-2</v>
      </c>
      <c r="AD432" s="21">
        <v>0.1251913787691139</v>
      </c>
      <c r="AE432" s="21">
        <v>0.17281542306503284</v>
      </c>
      <c r="AF432" s="21">
        <v>1.1013762544566623E-2</v>
      </c>
      <c r="AG432" s="21"/>
      <c r="AH432" s="21">
        <v>0.68188625970108674</v>
      </c>
    </row>
    <row r="433" spans="1:34">
      <c r="A433" s="13" t="s">
        <v>77</v>
      </c>
      <c r="B433" s="13" t="s">
        <v>76</v>
      </c>
      <c r="C433" s="13">
        <v>145</v>
      </c>
      <c r="E433" s="14">
        <v>45615</v>
      </c>
      <c r="Y433" s="92"/>
      <c r="AC433" s="18"/>
      <c r="AD433" s="21"/>
      <c r="AE433" s="21"/>
      <c r="AF433" s="21"/>
      <c r="AG433" s="21"/>
      <c r="AH433" s="21"/>
    </row>
    <row r="434" spans="1:34">
      <c r="A434" s="13" t="s">
        <v>78</v>
      </c>
      <c r="B434" s="13" t="s">
        <v>76</v>
      </c>
      <c r="C434" s="13">
        <v>145</v>
      </c>
      <c r="E434" s="14">
        <v>45615</v>
      </c>
      <c r="H434" s="16">
        <v>23.5</v>
      </c>
      <c r="I434" s="16">
        <v>4.58</v>
      </c>
      <c r="J434" s="16">
        <v>28.39</v>
      </c>
      <c r="P434" s="18">
        <v>5.0900000000000001E-2</v>
      </c>
      <c r="Q434" s="18">
        <v>2.6837280780000001</v>
      </c>
      <c r="R434" s="21" t="s">
        <v>50</v>
      </c>
      <c r="S434" s="21">
        <v>4.9081748510000001</v>
      </c>
      <c r="T434" s="21">
        <v>1.1809107329999999</v>
      </c>
      <c r="U434" s="21" t="s">
        <v>50</v>
      </c>
      <c r="V434" s="21">
        <v>5.4903352000000002E-2</v>
      </c>
      <c r="W434" s="18">
        <v>0.62363749898914977</v>
      </c>
      <c r="Y434" s="92">
        <v>1.1677179149192689</v>
      </c>
      <c r="Z434" s="20">
        <v>-10.06107375020258</v>
      </c>
      <c r="AA434" s="10">
        <v>-65.526070796437693</v>
      </c>
      <c r="AB434" s="17">
        <v>1.1594892204491061</v>
      </c>
      <c r="AC434" s="18">
        <v>3.9263537970363666E-2</v>
      </c>
      <c r="AD434" s="21">
        <v>0.12457525408023461</v>
      </c>
      <c r="AE434" s="21">
        <v>0.27548728475025158</v>
      </c>
      <c r="AF434" s="21">
        <v>1.1978304585845347E-2</v>
      </c>
      <c r="AG434" s="21"/>
      <c r="AH434" s="21">
        <v>1.3664996105336702</v>
      </c>
    </row>
    <row r="435" spans="1:34">
      <c r="A435" s="13" t="s">
        <v>75</v>
      </c>
      <c r="B435" s="13" t="s">
        <v>76</v>
      </c>
      <c r="C435" s="13">
        <v>146</v>
      </c>
      <c r="E435" s="14">
        <v>45622</v>
      </c>
      <c r="P435" s="18">
        <v>4.3535969999999998E-3</v>
      </c>
      <c r="Q435" s="18">
        <v>0.89028665600000001</v>
      </c>
      <c r="R435" s="21" t="s">
        <v>50</v>
      </c>
      <c r="S435" s="21">
        <v>5.0197422170000001</v>
      </c>
      <c r="T435" s="21">
        <v>0.81478157299999998</v>
      </c>
      <c r="U435" s="21" t="s">
        <v>50</v>
      </c>
      <c r="V435" s="21">
        <v>4.4462184000000002E-2</v>
      </c>
      <c r="W435" s="18">
        <v>0.63939447350239265</v>
      </c>
      <c r="Y435" s="92">
        <v>1.7371304115016111</v>
      </c>
      <c r="Z435" s="20">
        <v>-6.0038324063503259</v>
      </c>
      <c r="AA435" s="10">
        <v>-28.451079343096538</v>
      </c>
      <c r="AB435" s="17">
        <v>1.0350130248032263</v>
      </c>
      <c r="AC435" s="18">
        <v>7.0960852262002175E-2</v>
      </c>
      <c r="AD435" s="21">
        <v>8.4001212443531079E-2</v>
      </c>
      <c r="AE435" s="21">
        <v>0.1637293283907284</v>
      </c>
      <c r="AF435" s="21">
        <v>1.0825536568077302E-2</v>
      </c>
      <c r="AG435" s="21"/>
      <c r="AH435" s="21">
        <v>0.63285167931429831</v>
      </c>
    </row>
    <row r="436" spans="1:34">
      <c r="A436" s="13" t="s">
        <v>77</v>
      </c>
      <c r="B436" s="13" t="s">
        <v>76</v>
      </c>
      <c r="C436" s="13">
        <v>146</v>
      </c>
      <c r="E436" s="14">
        <v>45622</v>
      </c>
      <c r="Y436" s="92"/>
      <c r="AC436" s="18"/>
      <c r="AD436" s="21"/>
      <c r="AE436" s="21"/>
      <c r="AF436" s="21"/>
      <c r="AG436" s="21"/>
      <c r="AH436" s="21"/>
    </row>
    <row r="437" spans="1:34">
      <c r="A437" s="13" t="s">
        <v>78</v>
      </c>
      <c r="B437" s="13" t="s">
        <v>76</v>
      </c>
      <c r="C437" s="13">
        <v>146</v>
      </c>
      <c r="E437" s="14">
        <v>45622</v>
      </c>
      <c r="H437" s="16">
        <v>20.399999999999999</v>
      </c>
      <c r="I437" s="16">
        <v>4.3</v>
      </c>
      <c r="J437" s="16">
        <v>29.05</v>
      </c>
      <c r="P437" s="18">
        <v>1.428538E-2</v>
      </c>
      <c r="Q437" s="18">
        <v>2.6751629210000001</v>
      </c>
      <c r="R437" s="21" t="s">
        <v>50</v>
      </c>
      <c r="S437" s="21">
        <v>4.7908519150000002</v>
      </c>
      <c r="T437" s="21">
        <v>0.90929673700000002</v>
      </c>
      <c r="U437" s="21" t="s">
        <v>50</v>
      </c>
      <c r="V437" s="21">
        <v>2.5550874000000001E-2</v>
      </c>
      <c r="W437" s="18">
        <v>0.57462665958871195</v>
      </c>
      <c r="Y437" s="92">
        <v>1.626845672161191</v>
      </c>
      <c r="Z437" s="20">
        <v>-7.8811924827983617</v>
      </c>
      <c r="AA437" s="10">
        <v>-47.298397275632908</v>
      </c>
      <c r="AB437" s="17">
        <v>1.2121628311403614</v>
      </c>
      <c r="AC437" s="18">
        <v>5.9860883194657377E-2</v>
      </c>
      <c r="AD437" s="21">
        <v>0.12235420516835475</v>
      </c>
      <c r="AE437" s="21">
        <v>0.23491223260040878</v>
      </c>
      <c r="AF437" s="21">
        <v>1.1996085953181315E-2</v>
      </c>
      <c r="AG437" s="21"/>
      <c r="AH437" s="21">
        <v>1.3374484819863521</v>
      </c>
    </row>
    <row r="438" spans="1:34">
      <c r="A438" s="13" t="s">
        <v>75</v>
      </c>
      <c r="B438" s="13" t="s">
        <v>76</v>
      </c>
      <c r="C438" s="13">
        <v>147</v>
      </c>
      <c r="E438" s="14">
        <v>45629</v>
      </c>
      <c r="H438" s="16">
        <v>4.8600000000000003</v>
      </c>
      <c r="I438" s="16">
        <v>16.899999999999999</v>
      </c>
      <c r="J438" s="16">
        <v>11.07</v>
      </c>
      <c r="W438" s="18">
        <v>0.65107580153111289</v>
      </c>
      <c r="Y438" s="92">
        <v>1.6737689919551799</v>
      </c>
      <c r="Z438" s="20">
        <v>-5.1356830229320893</v>
      </c>
      <c r="AA438" s="10">
        <v>-14.992033191868394</v>
      </c>
      <c r="AB438" s="17">
        <v>1.0426167404673823</v>
      </c>
      <c r="AC438" s="18">
        <v>9.3139301894092391E-2</v>
      </c>
      <c r="AD438" s="21">
        <v>0.14414804314942711</v>
      </c>
      <c r="AE438" s="21">
        <v>0.22869571117206108</v>
      </c>
      <c r="AF438" s="21">
        <v>1.1368264406851224E-2</v>
      </c>
      <c r="AG438" s="21"/>
      <c r="AH438" s="21">
        <v>0.64920526960625413</v>
      </c>
    </row>
    <row r="439" spans="1:34">
      <c r="A439" s="13" t="s">
        <v>77</v>
      </c>
      <c r="B439" s="13" t="s">
        <v>76</v>
      </c>
      <c r="C439" s="13">
        <v>147</v>
      </c>
      <c r="E439" s="14">
        <v>45629</v>
      </c>
      <c r="Y439" s="92"/>
      <c r="AC439" s="18"/>
      <c r="AD439" s="21"/>
      <c r="AE439" s="21"/>
      <c r="AF439" s="21"/>
      <c r="AG439" s="21"/>
      <c r="AH439" s="21"/>
    </row>
    <row r="440" spans="1:34">
      <c r="A440" s="13" t="s">
        <v>78</v>
      </c>
      <c r="B440" s="13" t="s">
        <v>76</v>
      </c>
      <c r="C440" s="13">
        <v>147</v>
      </c>
      <c r="E440" s="14">
        <v>45629</v>
      </c>
      <c r="Y440" s="92"/>
      <c r="Z440" s="20">
        <v>-7.052111550326468</v>
      </c>
      <c r="AA440" s="10">
        <v>-39.303581524931346</v>
      </c>
      <c r="AB440" s="17">
        <v>1.2344584646390817</v>
      </c>
      <c r="AC440" s="18">
        <v>0.14506240715880619</v>
      </c>
      <c r="AD440" s="21">
        <v>0.18748377615395359</v>
      </c>
      <c r="AE440" s="21">
        <v>0.62933916349585939</v>
      </c>
      <c r="AF440" s="21">
        <v>1.3119156406272748E-2</v>
      </c>
      <c r="AG440" s="21"/>
      <c r="AH440" s="21">
        <v>1.6005273555757402</v>
      </c>
    </row>
    <row r="441" spans="1:34">
      <c r="A441" s="13" t="s">
        <v>75</v>
      </c>
      <c r="B441" s="13" t="s">
        <v>76</v>
      </c>
      <c r="C441" s="13">
        <v>148</v>
      </c>
      <c r="E441" s="14">
        <v>45636</v>
      </c>
      <c r="H441" s="16">
        <v>18.2</v>
      </c>
      <c r="I441" s="16">
        <v>4.78</v>
      </c>
      <c r="J441" s="16">
        <v>23.43</v>
      </c>
      <c r="P441" s="18">
        <v>3.1530054000000002E-2</v>
      </c>
      <c r="Q441" s="18">
        <v>1.2568853630000001</v>
      </c>
      <c r="R441" s="21" t="s">
        <v>50</v>
      </c>
      <c r="S441" s="21">
        <v>5.575708251</v>
      </c>
      <c r="T441" s="21">
        <v>0.865790061</v>
      </c>
      <c r="U441" s="21" t="s">
        <v>50</v>
      </c>
      <c r="V441" s="21">
        <v>2.2290303000000001E-2</v>
      </c>
      <c r="W441" s="18">
        <v>0.66876066069611395</v>
      </c>
      <c r="Y441" s="92">
        <v>1.926938730556748</v>
      </c>
      <c r="Z441" s="20">
        <v>-4.7415411284291853</v>
      </c>
      <c r="AA441" s="10">
        <v>-9.6612436088875544</v>
      </c>
      <c r="AB441" s="17">
        <v>0.9302454673189029</v>
      </c>
      <c r="AC441" s="18">
        <v>0.11883009584154576</v>
      </c>
      <c r="AD441" s="21">
        <v>7.29801896144264E-2</v>
      </c>
      <c r="AE441" s="21">
        <v>0.22519394226252074</v>
      </c>
      <c r="AF441" s="21">
        <v>1.1147785851763996E-2</v>
      </c>
      <c r="AG441" s="21"/>
      <c r="AH441" s="21">
        <v>0.66330662034523191</v>
      </c>
    </row>
    <row r="442" spans="1:34">
      <c r="A442" s="13" t="s">
        <v>77</v>
      </c>
      <c r="B442" s="13" t="s">
        <v>76</v>
      </c>
      <c r="C442" s="13">
        <v>148</v>
      </c>
      <c r="E442" s="14">
        <v>45636</v>
      </c>
      <c r="Y442" s="92"/>
      <c r="AC442" s="18"/>
      <c r="AD442" s="21"/>
      <c r="AE442" s="21"/>
      <c r="AF442" s="21"/>
      <c r="AG442" s="21"/>
      <c r="AH442" s="21"/>
    </row>
    <row r="443" spans="1:34">
      <c r="A443" s="13" t="s">
        <v>78</v>
      </c>
      <c r="B443" s="13" t="s">
        <v>76</v>
      </c>
      <c r="C443" s="13">
        <v>148</v>
      </c>
      <c r="E443" s="14">
        <v>45636</v>
      </c>
      <c r="H443" s="16">
        <v>19.899999999999999</v>
      </c>
      <c r="I443" s="16">
        <v>4.6399999999999997</v>
      </c>
      <c r="J443" s="16">
        <v>33.44</v>
      </c>
      <c r="P443" s="18">
        <v>1.4704745999999999E-2</v>
      </c>
      <c r="Q443" s="18">
        <v>2.1597374060000001</v>
      </c>
      <c r="R443" s="21" t="s">
        <v>50</v>
      </c>
      <c r="S443" s="21">
        <v>5.6409862659999996</v>
      </c>
      <c r="T443" s="21">
        <v>0.84773376199999995</v>
      </c>
      <c r="U443" s="21" t="s">
        <v>50</v>
      </c>
      <c r="V443" s="21">
        <v>2.7507216000000001E-2</v>
      </c>
      <c r="W443" s="18">
        <v>0.57906745922171321</v>
      </c>
      <c r="Y443" s="92">
        <v>1.946292892127004</v>
      </c>
      <c r="Z443" s="20">
        <v>-6.5027330675500519</v>
      </c>
      <c r="AA443" s="10">
        <v>-34.24412160429349</v>
      </c>
      <c r="AB443" s="17">
        <v>1.1949015517490675</v>
      </c>
      <c r="AC443" s="18">
        <v>6.8534409914118799E-2</v>
      </c>
      <c r="AD443" s="21">
        <v>0.14625494726690391</v>
      </c>
      <c r="AE443" s="21">
        <v>0.27617372155502656</v>
      </c>
      <c r="AF443" s="21">
        <v>1.2374074084870967E-2</v>
      </c>
      <c r="AG443" s="21"/>
      <c r="AH443" s="21">
        <v>1.3479370654485172</v>
      </c>
    </row>
    <row r="444" spans="1:34">
      <c r="A444" s="13" t="s">
        <v>75</v>
      </c>
      <c r="B444" s="13" t="s">
        <v>76</v>
      </c>
      <c r="C444" s="13">
        <v>149</v>
      </c>
      <c r="E444" s="14">
        <v>45643</v>
      </c>
      <c r="H444" s="76">
        <v>18.3</v>
      </c>
      <c r="I444" s="76">
        <v>4.76</v>
      </c>
      <c r="J444" s="76">
        <v>26.78</v>
      </c>
      <c r="P444" s="18">
        <v>3.4209470999999998E-2</v>
      </c>
      <c r="Q444" s="18">
        <v>2.3193625280000001</v>
      </c>
      <c r="R444" s="21" t="s">
        <v>50</v>
      </c>
      <c r="S444" s="21">
        <v>5.2111632500000002</v>
      </c>
      <c r="T444" s="21">
        <v>0.90406990799999998</v>
      </c>
      <c r="U444" s="21" t="s">
        <v>50</v>
      </c>
      <c r="V444" s="21">
        <v>3.0786989000000001E-2</v>
      </c>
      <c r="W444" s="18">
        <v>1.0072970804389032</v>
      </c>
      <c r="Y444" s="92">
        <v>1.8387110751245179</v>
      </c>
      <c r="Z444" s="20">
        <v>-4.1714183354157743</v>
      </c>
      <c r="AA444" s="10">
        <v>-3.4740377020170419</v>
      </c>
      <c r="AB444" s="17">
        <v>1.0519563918312818</v>
      </c>
      <c r="AC444" s="18">
        <v>0.14681405642397327</v>
      </c>
      <c r="AD444" s="21">
        <v>0.13684027940632096</v>
      </c>
      <c r="AE444" s="21">
        <v>0.31276886393337966</v>
      </c>
      <c r="AF444" s="21">
        <v>1.1816733632210502E-2</v>
      </c>
      <c r="AG444" s="21"/>
      <c r="AH444" s="21">
        <v>0.62599548193760879</v>
      </c>
    </row>
    <row r="445" spans="1:34">
      <c r="A445" s="13" t="s">
        <v>77</v>
      </c>
      <c r="B445" s="13" t="s">
        <v>76</v>
      </c>
      <c r="C445" s="13">
        <v>149</v>
      </c>
      <c r="E445" s="14">
        <v>45643</v>
      </c>
      <c r="H445" s="76">
        <v>18.5</v>
      </c>
      <c r="I445" s="76">
        <v>4.7</v>
      </c>
      <c r="J445" s="76">
        <v>26.87</v>
      </c>
      <c r="P445" s="18">
        <v>1.8094546999999999E-2</v>
      </c>
      <c r="Q445" s="18">
        <v>1.9060222229999999</v>
      </c>
      <c r="R445" s="21" t="s">
        <v>50</v>
      </c>
      <c r="S445" s="21">
        <v>4.8068466780000003</v>
      </c>
      <c r="T445" s="21">
        <v>0.94731937899999996</v>
      </c>
      <c r="U445" s="21" t="s">
        <v>50</v>
      </c>
      <c r="V445" s="21">
        <v>1.8062545999999999E-2</v>
      </c>
      <c r="W445" s="18">
        <v>0.69321364536529007</v>
      </c>
      <c r="Y445" s="92">
        <v>1.6229775349243249</v>
      </c>
      <c r="Z445" s="20">
        <v>-6.0166247309964715</v>
      </c>
      <c r="AA445" s="10">
        <v>-28.05657354148056</v>
      </c>
      <c r="AB445" s="17">
        <v>1.047534786960189</v>
      </c>
      <c r="AC445" s="18">
        <v>4.7918253257970375E-2</v>
      </c>
      <c r="AD445" s="21">
        <v>0.12046823321404884</v>
      </c>
      <c r="AE445" s="21">
        <v>0.2203459417450635</v>
      </c>
      <c r="AF445" s="21">
        <v>1.1718778385451302E-2</v>
      </c>
      <c r="AG445" s="21"/>
      <c r="AH445" s="21">
        <v>1.23205151301674</v>
      </c>
    </row>
    <row r="446" spans="1:34">
      <c r="A446" s="13" t="s">
        <v>78</v>
      </c>
      <c r="B446" s="13" t="s">
        <v>76</v>
      </c>
      <c r="C446" s="13">
        <v>149</v>
      </c>
      <c r="E446" s="14">
        <v>45643</v>
      </c>
      <c r="P446" s="18">
        <v>2.5172940000000002E-3</v>
      </c>
      <c r="Q446" s="18">
        <v>0.66493273500000005</v>
      </c>
      <c r="R446" s="21" t="s">
        <v>50</v>
      </c>
      <c r="S446" s="21">
        <v>1.9274509799999999</v>
      </c>
      <c r="T446" s="21">
        <v>0.324967059</v>
      </c>
      <c r="U446" s="21" t="s">
        <v>50</v>
      </c>
      <c r="V446" s="21">
        <v>2.1597114000000001E-2</v>
      </c>
      <c r="W446" s="18">
        <v>0.57904912452794755</v>
      </c>
      <c r="Y446" s="92">
        <v>1.6885370813000931</v>
      </c>
      <c r="Z446" s="20">
        <v>-6.0598420439902112</v>
      </c>
      <c r="AA446" s="10">
        <v>-28.466134204563232</v>
      </c>
      <c r="AB446" s="17">
        <v>0.9510154398570434</v>
      </c>
      <c r="AC446" s="18">
        <v>4.2727178925682258E-2</v>
      </c>
      <c r="AD446" s="21">
        <v>0.10346903269705426</v>
      </c>
      <c r="AE446" s="21">
        <v>0.19009746025468283</v>
      </c>
      <c r="AF446" s="21">
        <v>1.1539787997979079E-2</v>
      </c>
      <c r="AG446" s="21"/>
      <c r="AH446" s="21">
        <v>1.1945647953226199</v>
      </c>
    </row>
    <row r="447" spans="1:34">
      <c r="A447" s="13" t="s">
        <v>75</v>
      </c>
      <c r="B447" s="13" t="s">
        <v>76</v>
      </c>
      <c r="C447" s="13">
        <v>150</v>
      </c>
      <c r="E447" s="14">
        <v>45650</v>
      </c>
      <c r="H447" s="16">
        <v>17.5</v>
      </c>
      <c r="I447" s="16">
        <v>4.74</v>
      </c>
      <c r="J447" s="16">
        <v>23.65</v>
      </c>
      <c r="P447" s="18">
        <v>1.3306769E-2</v>
      </c>
      <c r="Q447" s="18">
        <v>2.4276344870000002</v>
      </c>
      <c r="R447" s="21" t="s">
        <v>50</v>
      </c>
      <c r="S447" s="21">
        <v>5.8669218809999997</v>
      </c>
      <c r="T447" s="21">
        <v>1.024569318</v>
      </c>
      <c r="U447" s="21" t="s">
        <v>50</v>
      </c>
      <c r="V447" s="21">
        <v>2.6855101999999999E-2</v>
      </c>
      <c r="W447" s="18">
        <v>0.76314901491181864</v>
      </c>
      <c r="Y447" s="92">
        <v>1.8914966052624329</v>
      </c>
      <c r="Z447" s="20">
        <v>-4.1897424761251205</v>
      </c>
      <c r="AA447" s="10">
        <v>-2.6429409178668202</v>
      </c>
      <c r="AB447" s="17">
        <v>1.03256303428119</v>
      </c>
      <c r="AC447" s="18">
        <v>0.14185391947917669</v>
      </c>
      <c r="AD447" s="21">
        <v>7.8832304797052929E-2</v>
      </c>
      <c r="AE447" s="21">
        <v>0.28670444232016223</v>
      </c>
      <c r="AF447" s="21">
        <v>1.153097621019341E-2</v>
      </c>
      <c r="AG447" s="21"/>
      <c r="AH447" s="21">
        <v>0.58544700225581847</v>
      </c>
    </row>
    <row r="448" spans="1:34">
      <c r="A448" s="13" t="s">
        <v>77</v>
      </c>
      <c r="B448" s="13" t="s">
        <v>76</v>
      </c>
      <c r="C448" s="13">
        <v>150</v>
      </c>
      <c r="E448" s="14">
        <v>45650</v>
      </c>
      <c r="Y448" s="92"/>
      <c r="AC448" s="18"/>
      <c r="AD448" s="21"/>
      <c r="AE448" s="21"/>
      <c r="AF448" s="21"/>
      <c r="AG448" s="21"/>
      <c r="AH448" s="21"/>
    </row>
    <row r="449" spans="1:34">
      <c r="A449" s="13" t="s">
        <v>78</v>
      </c>
      <c r="B449" s="13" t="s">
        <v>76</v>
      </c>
      <c r="C449" s="13">
        <v>150</v>
      </c>
      <c r="E449" s="14">
        <v>45650</v>
      </c>
      <c r="H449" s="16">
        <v>17.100000000000001</v>
      </c>
      <c r="I449" s="16">
        <v>4.76</v>
      </c>
      <c r="J449" s="16">
        <v>23.32</v>
      </c>
      <c r="P449" s="18">
        <v>1.4425171000000001E-2</v>
      </c>
      <c r="Q449" s="18">
        <v>1.627235247</v>
      </c>
      <c r="R449" s="21" t="s">
        <v>50</v>
      </c>
      <c r="S449" s="21">
        <v>4.5409810820000001</v>
      </c>
      <c r="T449" s="21">
        <v>1.103925499</v>
      </c>
      <c r="U449" s="21" t="s">
        <v>50</v>
      </c>
      <c r="V449" s="21">
        <v>2.815933E-2</v>
      </c>
      <c r="W449" s="18">
        <v>0.646997074514851</v>
      </c>
      <c r="Y449" s="92">
        <v>1.459639843147708</v>
      </c>
      <c r="Z449" s="20">
        <v>-5.6321635146041666</v>
      </c>
      <c r="AA449" s="10">
        <v>-22.612872497499481</v>
      </c>
      <c r="AB449" s="17">
        <v>0.98373267120732799</v>
      </c>
      <c r="AC449" s="18">
        <v>3.9181110836930322E-2</v>
      </c>
      <c r="AD449" s="21">
        <v>0.11091934826310715</v>
      </c>
      <c r="AE449" s="21">
        <v>0.19030967874160085</v>
      </c>
      <c r="AF449" s="21">
        <v>1.1403464075235095E-2</v>
      </c>
      <c r="AG449" s="21"/>
      <c r="AH449" s="21">
        <v>1.2080098547615465</v>
      </c>
    </row>
    <row r="450" spans="1:34">
      <c r="A450" s="13" t="s">
        <v>75</v>
      </c>
      <c r="B450" s="13" t="s">
        <v>76</v>
      </c>
      <c r="C450" s="13">
        <v>151</v>
      </c>
      <c r="E450" s="14">
        <v>45657</v>
      </c>
      <c r="H450" s="16">
        <v>15.4</v>
      </c>
      <c r="I450" s="16">
        <v>4.76</v>
      </c>
      <c r="J450" s="16">
        <v>29.1</v>
      </c>
      <c r="W450" s="18">
        <v>0.61078636363293037</v>
      </c>
      <c r="Y450" s="92">
        <v>1.661659494</v>
      </c>
      <c r="Z450" s="20">
        <v>-4.5441244426737839</v>
      </c>
      <c r="AA450" s="10">
        <v>-3.1318817595920843</v>
      </c>
      <c r="AB450" s="17">
        <v>1.3301669262551998</v>
      </c>
      <c r="AC450" s="18">
        <v>0.14375105773714891</v>
      </c>
      <c r="AD450" s="21">
        <v>0.1100601048091993</v>
      </c>
      <c r="AE450" s="21">
        <v>0.26473965106237191</v>
      </c>
      <c r="AF450" s="21">
        <v>1.1435975205769095E-2</v>
      </c>
      <c r="AG450" s="21"/>
      <c r="AH450" s="21">
        <v>0.508795031551732</v>
      </c>
    </row>
    <row r="451" spans="1:34">
      <c r="A451" s="13" t="s">
        <v>77</v>
      </c>
      <c r="B451" s="13" t="s">
        <v>76</v>
      </c>
      <c r="C451" s="13">
        <v>151</v>
      </c>
      <c r="E451" s="14">
        <v>45657</v>
      </c>
      <c r="Y451" s="92"/>
      <c r="AC451" s="18"/>
      <c r="AD451" s="21"/>
      <c r="AE451" s="21"/>
      <c r="AF451" s="21"/>
      <c r="AG451" s="21"/>
      <c r="AH451" s="21"/>
    </row>
    <row r="452" spans="1:34">
      <c r="A452" s="13" t="s">
        <v>78</v>
      </c>
      <c r="B452" s="13" t="s">
        <v>76</v>
      </c>
      <c r="C452" s="13">
        <v>151</v>
      </c>
      <c r="E452" s="14">
        <v>45657</v>
      </c>
      <c r="H452" s="16">
        <v>17.3</v>
      </c>
      <c r="I452" s="16">
        <v>4.7300000000000004</v>
      </c>
      <c r="J452" s="16">
        <v>23.2</v>
      </c>
      <c r="Y452" s="92">
        <v>1.5643174049999999</v>
      </c>
      <c r="Z452" s="20">
        <v>-5.3628332200271815</v>
      </c>
      <c r="AA452" s="10">
        <v>-18.874134514621964</v>
      </c>
      <c r="AB452" s="17">
        <v>0.93600101753937093</v>
      </c>
      <c r="AC452" s="18">
        <v>2.6412240584451987E-2</v>
      </c>
      <c r="AD452" s="21">
        <v>0.11690406976405737</v>
      </c>
      <c r="AE452" s="21">
        <v>0.16238228948499481</v>
      </c>
      <c r="AF452" s="21">
        <v>1.1129297522135323E-2</v>
      </c>
      <c r="AG452" s="21"/>
      <c r="AH452" s="21">
        <v>1.2922330129340152</v>
      </c>
    </row>
    <row r="453" spans="1:34">
      <c r="A453" s="13" t="s">
        <v>75</v>
      </c>
      <c r="B453" s="13" t="s">
        <v>76</v>
      </c>
      <c r="C453" s="13">
        <v>152</v>
      </c>
      <c r="E453" s="14">
        <v>45664</v>
      </c>
      <c r="H453" s="76">
        <v>15.4</v>
      </c>
      <c r="I453" s="76">
        <v>4.7699999999999996</v>
      </c>
      <c r="J453" s="76">
        <v>26.67</v>
      </c>
      <c r="P453" s="18">
        <v>1.4291300999999999E-2</v>
      </c>
      <c r="Q453" s="18">
        <v>2.4384968809999998</v>
      </c>
      <c r="R453" s="21" t="s">
        <v>50</v>
      </c>
      <c r="S453" s="21">
        <v>4.8551791880000001</v>
      </c>
      <c r="T453" s="21">
        <v>1.003713195</v>
      </c>
      <c r="U453" s="21">
        <v>7.0937211E-2</v>
      </c>
      <c r="V453" s="21">
        <v>3.0786989000000001E-2</v>
      </c>
      <c r="W453" s="18">
        <v>0.74599370371360574</v>
      </c>
      <c r="Y453" s="92"/>
      <c r="Z453" s="20">
        <v>-5.124619390805691</v>
      </c>
      <c r="AA453" s="10">
        <v>-8.2094759451784576</v>
      </c>
      <c r="AB453" s="17">
        <v>1.2220365270304012</v>
      </c>
      <c r="AC453" s="18">
        <v>0.10681303824062066</v>
      </c>
      <c r="AD453" s="21">
        <v>7.9935370749582624E-2</v>
      </c>
      <c r="AE453" s="21">
        <v>0.2123239221255237</v>
      </c>
      <c r="AF453" s="21">
        <v>1.1009482793317102E-2</v>
      </c>
      <c r="AG453" s="21"/>
      <c r="AH453" s="21">
        <v>0.53887107524080724</v>
      </c>
    </row>
    <row r="454" spans="1:34">
      <c r="A454" s="13" t="s">
        <v>77</v>
      </c>
      <c r="B454" s="13" t="s">
        <v>76</v>
      </c>
      <c r="C454" s="13">
        <v>152</v>
      </c>
      <c r="E454" s="14">
        <v>45664</v>
      </c>
      <c r="H454" s="76"/>
      <c r="I454" s="76"/>
      <c r="J454" s="76"/>
      <c r="Y454" s="92"/>
      <c r="AC454" s="18"/>
      <c r="AD454" s="21"/>
      <c r="AE454" s="21"/>
      <c r="AF454" s="21"/>
      <c r="AG454" s="21"/>
      <c r="AH454" s="21"/>
    </row>
    <row r="455" spans="1:34">
      <c r="A455" s="13" t="s">
        <v>78</v>
      </c>
      <c r="B455" s="13" t="s">
        <v>76</v>
      </c>
      <c r="C455" s="13">
        <v>152</v>
      </c>
      <c r="E455" s="14">
        <v>45664</v>
      </c>
      <c r="H455" s="76">
        <v>21.69</v>
      </c>
      <c r="I455" s="76">
        <v>4.7300000000000004</v>
      </c>
      <c r="J455" s="76">
        <v>15.5</v>
      </c>
      <c r="P455" s="18" t="s">
        <v>50</v>
      </c>
      <c r="Q455" s="18">
        <v>5.6747660999999998E-2</v>
      </c>
      <c r="R455" s="21" t="s">
        <v>50</v>
      </c>
      <c r="S455" s="21">
        <v>0.14051149800000001</v>
      </c>
      <c r="T455" s="21">
        <v>3.7777199999999997E-2</v>
      </c>
      <c r="U455" s="21" t="s">
        <v>50</v>
      </c>
      <c r="V455" s="21">
        <v>2.9373162000000001E-2</v>
      </c>
      <c r="W455" s="18">
        <v>0.68464882391090165</v>
      </c>
      <c r="Y455" s="92"/>
      <c r="Z455" s="20">
        <v>-4.6048449976881685</v>
      </c>
      <c r="AA455" s="10">
        <v>-10.736883579178826</v>
      </c>
      <c r="AB455" s="17">
        <v>1.0260743152230474</v>
      </c>
      <c r="AC455" s="18">
        <v>2.1823195441033116E-2</v>
      </c>
      <c r="AD455" s="21">
        <v>0.14491111592949024</v>
      </c>
      <c r="AE455" s="21">
        <v>0.17234506909618694</v>
      </c>
      <c r="AF455" s="21">
        <v>1.1237771372698015E-2</v>
      </c>
      <c r="AG455" s="21"/>
      <c r="AH455" s="21">
        <v>1.1229823086155795</v>
      </c>
    </row>
    <row r="456" spans="1:34">
      <c r="A456" s="13" t="s">
        <v>75</v>
      </c>
      <c r="B456" s="13" t="s">
        <v>76</v>
      </c>
      <c r="C456" s="13">
        <v>153</v>
      </c>
      <c r="E456" s="14">
        <v>45671</v>
      </c>
      <c r="H456" s="16">
        <v>14.2</v>
      </c>
      <c r="I456" s="16">
        <v>4.7300000000000004</v>
      </c>
      <c r="J456" s="16">
        <v>24.56</v>
      </c>
      <c r="P456" s="18">
        <v>6.6240955000000004E-2</v>
      </c>
      <c r="Q456" s="18">
        <v>1.9958380849999999</v>
      </c>
      <c r="R456" s="21" t="s">
        <v>50</v>
      </c>
      <c r="S456" s="21">
        <v>4.7933193269999999</v>
      </c>
      <c r="T456" s="21">
        <v>1.1239597059999999</v>
      </c>
      <c r="U456" s="21" t="s">
        <v>50</v>
      </c>
      <c r="V456" s="21">
        <v>1.8769460000000002E-2</v>
      </c>
      <c r="W456" s="18">
        <v>0.99633565281392744</v>
      </c>
      <c r="Y456" s="92"/>
      <c r="Z456" s="20">
        <v>-4.7525397774283258</v>
      </c>
      <c r="AA456" s="10">
        <v>-5.541026317433202</v>
      </c>
      <c r="AB456" s="17">
        <v>1.6759892107152725</v>
      </c>
      <c r="AC456" s="18">
        <v>9.8088113072212962E-2</v>
      </c>
      <c r="AD456" s="21">
        <v>0.15764425959134884</v>
      </c>
      <c r="AE456" s="21">
        <v>0.33786073042402692</v>
      </c>
      <c r="AF456" s="21">
        <v>1.1825371282660348E-2</v>
      </c>
      <c r="AG456" s="21"/>
      <c r="AH456" s="21">
        <v>0.54574025884156419</v>
      </c>
    </row>
    <row r="457" spans="1:34">
      <c r="A457" s="13" t="s">
        <v>77</v>
      </c>
      <c r="B457" s="13" t="s">
        <v>76</v>
      </c>
      <c r="C457" s="13">
        <v>153</v>
      </c>
      <c r="E457" s="14">
        <v>45671</v>
      </c>
      <c r="Y457" s="92"/>
      <c r="AC457" s="18"/>
      <c r="AD457" s="21"/>
      <c r="AE457" s="21"/>
      <c r="AF457" s="21"/>
      <c r="AG457" s="21"/>
      <c r="AH457" s="21"/>
    </row>
    <row r="458" spans="1:34">
      <c r="A458" s="13" t="s">
        <v>78</v>
      </c>
      <c r="B458" s="13" t="s">
        <v>76</v>
      </c>
      <c r="C458" s="13">
        <v>153</v>
      </c>
      <c r="E458" s="14">
        <v>45671</v>
      </c>
      <c r="Y458" s="92"/>
      <c r="AC458" s="18"/>
      <c r="AD458" s="21"/>
      <c r="AE458" s="21"/>
      <c r="AF458" s="21"/>
      <c r="AG458" s="21"/>
      <c r="AH458" s="21"/>
    </row>
    <row r="459" spans="1:34">
      <c r="A459" s="13" t="s">
        <v>75</v>
      </c>
      <c r="B459" s="13" t="s">
        <v>76</v>
      </c>
      <c r="C459" s="13">
        <v>154</v>
      </c>
      <c r="E459" s="14">
        <v>45678</v>
      </c>
      <c r="H459" s="16">
        <v>17.2</v>
      </c>
      <c r="I459" s="16">
        <v>4.7699999999999996</v>
      </c>
      <c r="J459" s="16">
        <v>24.84</v>
      </c>
      <c r="P459" s="18">
        <v>3.1614576999999998E-2</v>
      </c>
      <c r="Q459" s="18">
        <v>1.9647909429999999</v>
      </c>
      <c r="R459" s="21" t="s">
        <v>50</v>
      </c>
      <c r="S459" s="21">
        <v>5.1246422520000001</v>
      </c>
      <c r="T459" s="21">
        <v>1.140951429</v>
      </c>
      <c r="U459" s="21" t="s">
        <v>50</v>
      </c>
      <c r="V459" s="21">
        <v>3.6442295999999999E-2</v>
      </c>
      <c r="W459" s="18">
        <v>0.81430839809057687</v>
      </c>
      <c r="Y459" s="92">
        <v>1.7846495336995221</v>
      </c>
      <c r="Z459" s="20">
        <v>-4.4233615537150053</v>
      </c>
      <c r="AA459" s="10">
        <v>-2.7721314399220809</v>
      </c>
      <c r="AB459" s="17">
        <v>1.3312671064639683</v>
      </c>
      <c r="AC459" s="18">
        <v>9.8962305094646749E-2</v>
      </c>
      <c r="AD459" s="21">
        <v>0.10298910300085544</v>
      </c>
      <c r="AE459" s="21">
        <v>0.2466617080121605</v>
      </c>
      <c r="AF459" s="21">
        <v>1.124454506163633E-2</v>
      </c>
      <c r="AG459" s="21"/>
      <c r="AH459" s="21">
        <v>0.53581809549653503</v>
      </c>
    </row>
    <row r="460" spans="1:34">
      <c r="A460" s="13" t="s">
        <v>77</v>
      </c>
      <c r="B460" s="13" t="s">
        <v>76</v>
      </c>
      <c r="C460" s="13">
        <v>154</v>
      </c>
      <c r="E460" s="14">
        <v>45678</v>
      </c>
      <c r="Y460" s="92"/>
      <c r="AC460" s="18"/>
      <c r="AD460" s="21"/>
      <c r="AE460" s="21"/>
      <c r="AF460" s="21"/>
      <c r="AG460" s="21"/>
      <c r="AH460" s="21"/>
    </row>
    <row r="461" spans="1:34">
      <c r="A461" s="13" t="s">
        <v>78</v>
      </c>
      <c r="B461" s="13" t="s">
        <v>76</v>
      </c>
      <c r="C461" s="13">
        <v>154</v>
      </c>
      <c r="E461" s="14">
        <v>45678</v>
      </c>
      <c r="H461" s="16">
        <v>17.5</v>
      </c>
      <c r="I461" s="16">
        <v>4.8099999999999996</v>
      </c>
      <c r="J461" s="16">
        <v>20.260000000000002</v>
      </c>
      <c r="P461" s="18">
        <v>1.4593157000000001E-2</v>
      </c>
      <c r="Q461" s="18">
        <v>1.271868803</v>
      </c>
      <c r="R461" s="21" t="s">
        <v>50</v>
      </c>
      <c r="S461" s="21">
        <v>4.0115459209999997</v>
      </c>
      <c r="T461" s="21">
        <v>1.1074535889999999</v>
      </c>
      <c r="U461" s="21" t="s">
        <v>50</v>
      </c>
      <c r="V461" s="21">
        <v>2.7252420999999999E-2</v>
      </c>
      <c r="W461" s="18">
        <v>0.6493393232099296</v>
      </c>
      <c r="Y461" s="92">
        <v>1.4218674673563261</v>
      </c>
      <c r="Z461" s="20">
        <v>-4.1763908017438487</v>
      </c>
      <c r="AA461" s="10">
        <v>-4.3573608114736366</v>
      </c>
      <c r="AB461" s="17">
        <v>0.93863567068221287</v>
      </c>
      <c r="AC461" s="18">
        <v>1.897639324948653E-2</v>
      </c>
      <c r="AD461" s="21">
        <v>8.7532696872198779E-2</v>
      </c>
      <c r="AE461" s="21">
        <v>0.13296277981132776</v>
      </c>
      <c r="AF461" s="21">
        <v>1.0843357263540153E-2</v>
      </c>
      <c r="AG461" s="21"/>
      <c r="AH461" s="21">
        <v>1.1845012115765412</v>
      </c>
    </row>
    <row r="462" spans="1:34">
      <c r="A462" s="13" t="s">
        <v>75</v>
      </c>
      <c r="B462" s="13" t="s">
        <v>76</v>
      </c>
      <c r="C462" s="13">
        <v>155</v>
      </c>
      <c r="E462" s="14">
        <v>45692</v>
      </c>
      <c r="H462" s="16">
        <v>8.1999999999999993</v>
      </c>
      <c r="I462" s="16">
        <v>4.7300000000000004</v>
      </c>
      <c r="J462" s="16">
        <v>26.13</v>
      </c>
      <c r="Y462" s="92"/>
      <c r="AC462" s="18"/>
      <c r="AD462" s="21"/>
      <c r="AE462" s="21"/>
      <c r="AF462" s="21"/>
      <c r="AG462" s="21"/>
      <c r="AH462" s="21"/>
    </row>
    <row r="463" spans="1:34">
      <c r="A463" s="13" t="s">
        <v>77</v>
      </c>
      <c r="B463" s="13" t="s">
        <v>76</v>
      </c>
      <c r="C463" s="13">
        <v>155</v>
      </c>
      <c r="E463" s="14">
        <v>45692</v>
      </c>
      <c r="Y463" s="92"/>
      <c r="AC463" s="18"/>
      <c r="AD463" s="21"/>
      <c r="AE463" s="21"/>
      <c r="AF463" s="21"/>
      <c r="AG463" s="21"/>
      <c r="AH463" s="21"/>
    </row>
    <row r="464" spans="1:34">
      <c r="A464" s="13" t="s">
        <v>78</v>
      </c>
      <c r="B464" s="13" t="s">
        <v>76</v>
      </c>
      <c r="C464" s="13">
        <v>155</v>
      </c>
      <c r="E464" s="14">
        <v>45692</v>
      </c>
      <c r="Y464" s="92"/>
      <c r="AC464" s="18"/>
      <c r="AD464" s="21"/>
      <c r="AE464" s="21"/>
      <c r="AF464" s="21"/>
      <c r="AG464" s="21"/>
      <c r="AH464" s="21"/>
    </row>
    <row r="465" spans="1:34">
      <c r="A465" s="13" t="s">
        <v>75</v>
      </c>
      <c r="B465" s="13" t="s">
        <v>76</v>
      </c>
      <c r="C465" s="13">
        <v>156</v>
      </c>
      <c r="E465" s="14">
        <v>45699</v>
      </c>
      <c r="H465" s="16">
        <v>16.5</v>
      </c>
      <c r="I465" s="16">
        <v>4.6399999999999997</v>
      </c>
      <c r="J465" s="16">
        <v>30.21</v>
      </c>
      <c r="P465" s="18">
        <v>2.9000000000000001E-2</v>
      </c>
      <c r="Q465" s="18">
        <v>3.4507584210000002</v>
      </c>
      <c r="R465" s="21" t="s">
        <v>50</v>
      </c>
      <c r="S465" s="21">
        <v>4.9046107839999999</v>
      </c>
      <c r="T465" s="21">
        <v>0.99692582900000004</v>
      </c>
      <c r="U465" s="21" t="s">
        <v>50</v>
      </c>
      <c r="V465" s="21" t="s">
        <v>50</v>
      </c>
      <c r="W465" s="18">
        <v>0.63486598440784403</v>
      </c>
      <c r="Y465" s="92">
        <v>1.677033787447703</v>
      </c>
      <c r="Z465" s="20">
        <v>-3.7200696662259114</v>
      </c>
      <c r="AA465" s="10">
        <v>0.17496817450840219</v>
      </c>
      <c r="AB465" s="17">
        <v>1.5913511535343423</v>
      </c>
      <c r="AC465" s="18">
        <v>0.11134462823118042</v>
      </c>
      <c r="AD465" s="21">
        <v>0.11428918490191339</v>
      </c>
      <c r="AE465" s="21">
        <v>0.2632233676563337</v>
      </c>
      <c r="AF465" s="21">
        <v>1.1343001705705964E-2</v>
      </c>
      <c r="AG465" s="21"/>
      <c r="AH465" s="21">
        <v>0.49789083428477754</v>
      </c>
    </row>
    <row r="466" spans="1:34">
      <c r="A466" s="13" t="s">
        <v>77</v>
      </c>
      <c r="B466" s="13" t="s">
        <v>76</v>
      </c>
      <c r="C466" s="13">
        <v>156</v>
      </c>
      <c r="E466" s="14">
        <v>45699</v>
      </c>
      <c r="Y466" s="92"/>
      <c r="AC466" s="18"/>
      <c r="AD466" s="21"/>
      <c r="AE466" s="21"/>
      <c r="AF466" s="21"/>
      <c r="AG466" s="21"/>
      <c r="AH466" s="21"/>
    </row>
    <row r="467" spans="1:34">
      <c r="A467" s="13" t="s">
        <v>78</v>
      </c>
      <c r="B467" s="13" t="s">
        <v>76</v>
      </c>
      <c r="C467" s="13">
        <v>156</v>
      </c>
      <c r="E467" s="14">
        <v>45699</v>
      </c>
      <c r="H467" s="16">
        <v>16.600000000000001</v>
      </c>
      <c r="I467" s="16">
        <v>4.6900000000000004</v>
      </c>
      <c r="J467" s="16">
        <v>21.44</v>
      </c>
      <c r="P467" s="18">
        <v>2.92E-2</v>
      </c>
      <c r="Q467" s="18">
        <v>1.3398919250000001</v>
      </c>
      <c r="R467" s="21" t="s">
        <v>50</v>
      </c>
      <c r="S467" s="21">
        <v>3.9310972670000002</v>
      </c>
      <c r="T467" s="21">
        <v>1.206224449</v>
      </c>
      <c r="U467" s="21" t="s">
        <v>50</v>
      </c>
      <c r="V467" s="21" t="s">
        <v>50</v>
      </c>
      <c r="W467" s="18">
        <v>0.50240400977459676</v>
      </c>
      <c r="Y467" s="92">
        <v>1.3187358744968729</v>
      </c>
      <c r="Z467" s="20">
        <v>-4.2376980688057992</v>
      </c>
      <c r="AA467" s="10">
        <v>-2.5067201296166441</v>
      </c>
      <c r="AB467" s="17">
        <v>0.91316673113934899</v>
      </c>
      <c r="AC467" s="18" t="s">
        <v>51</v>
      </c>
      <c r="AD467" s="21">
        <v>9.4877077627146006E-2</v>
      </c>
      <c r="AE467" s="21">
        <v>6.6894897637840109E-2</v>
      </c>
      <c r="AF467" s="21">
        <v>1.0514066291805294E-2</v>
      </c>
      <c r="AG467" s="21"/>
      <c r="AH467" s="21">
        <v>1.1432418143222545</v>
      </c>
    </row>
    <row r="468" spans="1:34">
      <c r="A468" s="13" t="s">
        <v>75</v>
      </c>
      <c r="B468" s="13" t="s">
        <v>76</v>
      </c>
      <c r="C468" s="13">
        <v>157</v>
      </c>
      <c r="E468" s="14">
        <v>45706</v>
      </c>
      <c r="H468" s="16">
        <v>17.7</v>
      </c>
      <c r="I468" s="16">
        <v>4.62</v>
      </c>
      <c r="J468" s="16">
        <v>27.48</v>
      </c>
      <c r="P468" s="18">
        <v>2.87E-2</v>
      </c>
      <c r="Q468" s="18">
        <v>2.7936639539999999</v>
      </c>
      <c r="R468" s="21" t="s">
        <v>50</v>
      </c>
      <c r="S468" s="21">
        <v>4.7824002969999997</v>
      </c>
      <c r="T468" s="21">
        <v>1.0443435839999999</v>
      </c>
      <c r="U468" s="21" t="s">
        <v>50</v>
      </c>
      <c r="V468" s="21">
        <v>9.3076359999999993E-3</v>
      </c>
      <c r="W468" s="18">
        <v>0.80022013548237214</v>
      </c>
      <c r="Y468" s="92">
        <v>1.2475879965400227</v>
      </c>
      <c r="Z468" s="20">
        <v>-4.2066960985301529</v>
      </c>
      <c r="AA468" s="10">
        <v>-5.1866849836747768</v>
      </c>
      <c r="AB468" s="17">
        <v>1.5543298674539774</v>
      </c>
      <c r="AC468" s="18">
        <v>8.4737996686193556E-2</v>
      </c>
      <c r="AD468" s="21">
        <v>0.14668785129952275</v>
      </c>
      <c r="AE468" s="21">
        <v>0.22743018010156246</v>
      </c>
      <c r="AF468" s="21">
        <v>1.1203038812958558E-2</v>
      </c>
      <c r="AG468" s="21"/>
      <c r="AH468" s="21">
        <v>0.51464799059930999</v>
      </c>
    </row>
    <row r="469" spans="1:34">
      <c r="A469" s="13" t="s">
        <v>77</v>
      </c>
      <c r="B469" s="13" t="s">
        <v>76</v>
      </c>
      <c r="C469" s="13">
        <v>157</v>
      </c>
      <c r="E469" s="14">
        <v>45706</v>
      </c>
      <c r="Y469" s="92"/>
      <c r="AC469" s="18"/>
      <c r="AD469" s="21"/>
      <c r="AE469" s="21"/>
      <c r="AF469" s="21"/>
      <c r="AG469" s="21"/>
      <c r="AH469" s="21"/>
    </row>
    <row r="470" spans="1:34">
      <c r="A470" s="13" t="s">
        <v>78</v>
      </c>
      <c r="B470" s="13" t="s">
        <v>76</v>
      </c>
      <c r="C470" s="13">
        <v>157</v>
      </c>
      <c r="E470" s="14">
        <v>45706</v>
      </c>
      <c r="H470" s="16">
        <v>19.100000000000001</v>
      </c>
      <c r="I470" s="16">
        <v>4.71</v>
      </c>
      <c r="J470" s="16">
        <v>20.65</v>
      </c>
      <c r="P470" s="18">
        <v>2.8199999999999999E-2</v>
      </c>
      <c r="Q470" s="18">
        <v>1.384381621</v>
      </c>
      <c r="R470" s="21" t="s">
        <v>50</v>
      </c>
      <c r="S470" s="21">
        <v>3.6059481029999998</v>
      </c>
      <c r="T470" s="21">
        <v>1.0761717930000001</v>
      </c>
      <c r="U470" s="21" t="s">
        <v>50</v>
      </c>
      <c r="V470" s="21" t="s">
        <v>50</v>
      </c>
      <c r="W470" s="18">
        <v>0.57362603320049355</v>
      </c>
      <c r="Y470" s="92">
        <v>0.9315323707498836</v>
      </c>
      <c r="Z470" s="20">
        <v>-4.2937802846976982</v>
      </c>
      <c r="AA470" s="10">
        <v>-2.8500313829467938</v>
      </c>
      <c r="AB470" s="17">
        <v>0.95156961335087564</v>
      </c>
      <c r="AC470" s="18" t="s">
        <v>51</v>
      </c>
      <c r="AD470" s="21">
        <v>0.10191549915301795</v>
      </c>
      <c r="AE470" s="21">
        <v>5.4341549869687762E-2</v>
      </c>
      <c r="AF470" s="21">
        <v>1.0406731606288671E-2</v>
      </c>
      <c r="AG470" s="21"/>
      <c r="AH470" s="21">
        <v>1.1405131368956185</v>
      </c>
    </row>
    <row r="471" spans="1:34">
      <c r="A471" s="13" t="s">
        <v>75</v>
      </c>
      <c r="B471" s="13" t="s">
        <v>76</v>
      </c>
      <c r="C471" s="13">
        <v>158</v>
      </c>
      <c r="E471" s="14">
        <v>45713</v>
      </c>
      <c r="Y471" s="92"/>
      <c r="AC471" s="18"/>
      <c r="AD471" s="21"/>
      <c r="AE471" s="21"/>
      <c r="AF471" s="21"/>
      <c r="AG471" s="21"/>
      <c r="AH471" s="21"/>
    </row>
    <row r="472" spans="1:34">
      <c r="A472" s="13" t="s">
        <v>77</v>
      </c>
      <c r="B472" s="13" t="s">
        <v>76</v>
      </c>
      <c r="C472" s="13">
        <v>158</v>
      </c>
      <c r="E472" s="14">
        <v>45713</v>
      </c>
      <c r="H472" s="16">
        <v>14.3</v>
      </c>
      <c r="I472" s="16">
        <v>5.01</v>
      </c>
      <c r="J472" s="16">
        <v>22.74</v>
      </c>
      <c r="P472" s="18">
        <v>4.1799999999999997E-2</v>
      </c>
      <c r="Q472" s="18">
        <v>1.9805457390000001</v>
      </c>
      <c r="R472" s="21" t="s">
        <v>50</v>
      </c>
      <c r="S472" s="21">
        <v>4.4179290269999996</v>
      </c>
      <c r="T472" s="21">
        <v>1.396670914</v>
      </c>
      <c r="U472" s="21" t="s">
        <v>50</v>
      </c>
      <c r="V472" s="21" t="s">
        <v>50</v>
      </c>
      <c r="W472" s="18">
        <v>0.72943871727225507</v>
      </c>
      <c r="Y472" s="92">
        <v>1.1844104764458749</v>
      </c>
      <c r="Z472" s="20">
        <v>-6.1720120119593114</v>
      </c>
      <c r="AA472" s="10">
        <v>-23.095054629023984</v>
      </c>
      <c r="AB472" s="17">
        <v>1.4107755635629826</v>
      </c>
      <c r="AC472" s="18">
        <v>5.6422354334152734E-2</v>
      </c>
      <c r="AD472" s="21">
        <v>6.0816423723069682E-2</v>
      </c>
      <c r="AE472" s="21">
        <v>0.16577734905709091</v>
      </c>
      <c r="AF472" s="21">
        <v>1.0648601155111017E-2</v>
      </c>
      <c r="AG472" s="21"/>
      <c r="AH472" s="21">
        <v>0.51239512369347384</v>
      </c>
    </row>
    <row r="473" spans="1:34">
      <c r="A473" s="13" t="s">
        <v>78</v>
      </c>
      <c r="B473" s="13" t="s">
        <v>76</v>
      </c>
      <c r="C473" s="13">
        <v>158</v>
      </c>
      <c r="E473" s="14">
        <v>45713</v>
      </c>
      <c r="H473" s="16">
        <v>14.5</v>
      </c>
      <c r="I473" s="16">
        <v>4.82</v>
      </c>
      <c r="J473" s="16">
        <v>20.7</v>
      </c>
      <c r="W473" s="18">
        <v>0.5246162604928174</v>
      </c>
      <c r="Y473" s="92">
        <v>0.8212657548940735</v>
      </c>
      <c r="Z473" s="20">
        <v>-4.3014436930804418</v>
      </c>
      <c r="AA473" s="10">
        <v>-2.9399954764399343</v>
      </c>
      <c r="AB473" s="17">
        <v>1.0127325679270398</v>
      </c>
      <c r="AC473" s="18" t="s">
        <v>51</v>
      </c>
      <c r="AD473" s="21">
        <v>7.8121386465269463E-2</v>
      </c>
      <c r="AE473" s="21">
        <v>0.12130251843725551</v>
      </c>
      <c r="AF473" s="21">
        <v>1.0315579435640883E-2</v>
      </c>
      <c r="AG473" s="21"/>
      <c r="AH473" s="21">
        <v>1.0080895142171966</v>
      </c>
    </row>
    <row r="474" spans="1:34">
      <c r="A474" s="13" t="s">
        <v>75</v>
      </c>
      <c r="B474" s="13" t="s">
        <v>76</v>
      </c>
      <c r="C474" s="13">
        <v>159</v>
      </c>
      <c r="E474" s="14">
        <v>45720</v>
      </c>
      <c r="H474" s="16">
        <v>15.7</v>
      </c>
      <c r="I474" s="16">
        <v>5.0999999999999996</v>
      </c>
      <c r="J474" s="16">
        <v>23.75</v>
      </c>
      <c r="P474" s="18">
        <v>2.6200000000000001E-2</v>
      </c>
      <c r="Q474" s="18">
        <v>1.49598081</v>
      </c>
      <c r="R474" s="21" t="s">
        <v>50</v>
      </c>
      <c r="S474" s="21">
        <v>4.6227569989999999</v>
      </c>
      <c r="T474" s="21">
        <v>1.2722859639999999</v>
      </c>
      <c r="U474" s="21" t="s">
        <v>50</v>
      </c>
      <c r="V474" s="21">
        <v>5.6768360000000002E-3</v>
      </c>
      <c r="W474" s="18">
        <v>0.79058970231368775</v>
      </c>
      <c r="Y474" s="92">
        <v>1.2514525788862074</v>
      </c>
      <c r="Z474" s="20">
        <v>-5.72141146838434</v>
      </c>
      <c r="AA474" s="10">
        <v>-18.464188468320174</v>
      </c>
      <c r="AB474" s="17">
        <v>1.3706451797492578</v>
      </c>
      <c r="AC474" s="18">
        <v>0.11641572806430485</v>
      </c>
      <c r="AD474" s="21">
        <v>0.10813711807896144</v>
      </c>
      <c r="AE474" s="21">
        <v>0.17287081944844832</v>
      </c>
      <c r="AF474" s="21">
        <v>7.5707198937760925E-4</v>
      </c>
      <c r="AG474" s="21"/>
      <c r="AH474" s="21">
        <v>0.54361579035396157</v>
      </c>
    </row>
    <row r="475" spans="1:34">
      <c r="A475" s="13" t="s">
        <v>77</v>
      </c>
      <c r="B475" s="13" t="s">
        <v>76</v>
      </c>
      <c r="C475" s="13">
        <v>159</v>
      </c>
      <c r="E475" s="14">
        <v>45720</v>
      </c>
      <c r="Y475" s="92"/>
      <c r="AC475" s="18"/>
      <c r="AD475" s="21"/>
      <c r="AE475" s="21"/>
      <c r="AF475" s="21"/>
      <c r="AG475" s="21"/>
      <c r="AH475" s="21"/>
    </row>
    <row r="476" spans="1:34">
      <c r="A476" s="13" t="s">
        <v>78</v>
      </c>
      <c r="B476" s="13" t="s">
        <v>76</v>
      </c>
      <c r="C476" s="13">
        <v>159</v>
      </c>
      <c r="E476" s="14">
        <v>45720</v>
      </c>
      <c r="H476" s="16">
        <v>18.399999999999999</v>
      </c>
      <c r="I476" s="16">
        <v>4.71</v>
      </c>
      <c r="J476" s="16">
        <v>24.08</v>
      </c>
      <c r="P476" s="18">
        <v>3.2800000000000003E-2</v>
      </c>
      <c r="Q476" s="18">
        <v>2.152906883</v>
      </c>
      <c r="R476" s="21" t="s">
        <v>50</v>
      </c>
      <c r="S476" s="21">
        <v>2.3823252949999998</v>
      </c>
      <c r="T476" s="21">
        <v>1.2175244249999999</v>
      </c>
      <c r="U476" s="21" t="s">
        <v>50</v>
      </c>
      <c r="V476" s="21">
        <v>1.2212275999999999E-2</v>
      </c>
      <c r="W476" s="18">
        <v>0.58808463089410534</v>
      </c>
      <c r="Y476" s="92">
        <v>0.68718155001340842</v>
      </c>
      <c r="Z476" s="20">
        <v>-5.061926095290068</v>
      </c>
      <c r="AA476" s="10">
        <v>-13.165003985070005</v>
      </c>
      <c r="AB476" s="17">
        <v>1.235346449214848</v>
      </c>
      <c r="AC476" s="18">
        <v>6.3443723957996828E-2</v>
      </c>
      <c r="AD476" s="21">
        <v>0.1317076264102777</v>
      </c>
      <c r="AE476" s="21">
        <v>8.1333863825012523E-2</v>
      </c>
      <c r="AF476" s="21">
        <v>3.0077036863829248E-4</v>
      </c>
      <c r="AG476" s="21"/>
      <c r="AH476" s="21">
        <v>0.96980879738738468</v>
      </c>
    </row>
    <row r="477" spans="1:34">
      <c r="A477" s="13" t="s">
        <v>75</v>
      </c>
      <c r="B477" s="13" t="s">
        <v>76</v>
      </c>
      <c r="C477" s="13">
        <v>160</v>
      </c>
      <c r="E477" s="14">
        <v>45727</v>
      </c>
      <c r="W477" s="18">
        <v>0.87693551629390554</v>
      </c>
      <c r="Y477" s="92">
        <v>1.4022973093769553</v>
      </c>
      <c r="Z477" s="20">
        <v>-5.5622138353043962</v>
      </c>
      <c r="AA477" s="10">
        <v>-18.194817127366175</v>
      </c>
      <c r="AB477" s="17">
        <v>1.4781389159446612</v>
      </c>
      <c r="AC477" s="18">
        <v>0.12874156178006713</v>
      </c>
      <c r="AD477" s="21">
        <v>0.13833106214350313</v>
      </c>
      <c r="AE477" s="21">
        <v>0.24102266073767864</v>
      </c>
      <c r="AF477" s="21">
        <v>1.2844489688076755E-3</v>
      </c>
      <c r="AG477" s="21"/>
      <c r="AH477" s="21">
        <v>0.55791293671463993</v>
      </c>
    </row>
    <row r="478" spans="1:34">
      <c r="A478" s="13" t="s">
        <v>77</v>
      </c>
      <c r="B478" s="13" t="s">
        <v>76</v>
      </c>
      <c r="C478" s="13">
        <v>160</v>
      </c>
      <c r="E478" s="14">
        <v>45727</v>
      </c>
      <c r="Y478" s="92"/>
      <c r="AC478" s="18"/>
      <c r="AD478" s="21"/>
      <c r="AE478" s="21"/>
      <c r="AF478" s="21"/>
      <c r="AG478" s="21"/>
      <c r="AH478" s="21"/>
    </row>
    <row r="479" spans="1:34">
      <c r="A479" s="13" t="s">
        <v>78</v>
      </c>
      <c r="B479" s="13" t="s">
        <v>76</v>
      </c>
      <c r="C479" s="13">
        <v>160</v>
      </c>
      <c r="E479" s="14">
        <v>45727</v>
      </c>
      <c r="H479" s="16">
        <v>19</v>
      </c>
      <c r="I479" s="16">
        <v>4.6900000000000004</v>
      </c>
      <c r="J479" s="16">
        <v>22.93</v>
      </c>
      <c r="W479" s="18">
        <v>0.53100925702693946</v>
      </c>
      <c r="Y479" s="92">
        <v>0.63131313131313127</v>
      </c>
      <c r="Z479" s="20">
        <v>-5.8038471400211256</v>
      </c>
      <c r="AA479" s="10">
        <v>-20.95454641972615</v>
      </c>
      <c r="AB479" s="17">
        <v>1.3690808076384848</v>
      </c>
      <c r="AC479" s="18">
        <v>6.9380039138888155E-2</v>
      </c>
      <c r="AD479" s="21">
        <v>0.13217684323503928</v>
      </c>
      <c r="AE479" s="21">
        <v>9.1846565923116505E-2</v>
      </c>
      <c r="AF479" s="21">
        <v>4.5644282902195421E-4</v>
      </c>
      <c r="AG479" s="21"/>
      <c r="AH479" s="21">
        <v>0.9607491321667182</v>
      </c>
    </row>
    <row r="480" spans="1:34">
      <c r="A480" s="13" t="s">
        <v>75</v>
      </c>
      <c r="B480" s="13" t="s">
        <v>76</v>
      </c>
      <c r="C480" s="13">
        <v>161</v>
      </c>
      <c r="E480" s="14">
        <v>45734</v>
      </c>
      <c r="H480" s="16">
        <v>16.7</v>
      </c>
      <c r="I480" s="16">
        <v>4.8099999999999996</v>
      </c>
      <c r="J480" s="16">
        <v>12.74</v>
      </c>
      <c r="P480" s="18">
        <v>3.3300000000000003E-2</v>
      </c>
      <c r="Q480" s="18">
        <v>1.098426382</v>
      </c>
      <c r="R480" s="21" t="s">
        <v>50</v>
      </c>
      <c r="S480" s="21">
        <v>5.7410341789999997</v>
      </c>
      <c r="T480" s="21">
        <v>1.284923171</v>
      </c>
      <c r="U480" s="21" t="s">
        <v>50</v>
      </c>
      <c r="V480" s="21">
        <v>1.6569236000000001E-2</v>
      </c>
      <c r="W480" s="99">
        <v>0.77602665025052875</v>
      </c>
      <c r="Y480" s="92">
        <v>1.5252078305175656</v>
      </c>
      <c r="Z480" s="20">
        <v>-5.9179888392105173</v>
      </c>
      <c r="AA480" s="10">
        <v>-24.349554182439448</v>
      </c>
      <c r="AB480" s="18" t="s">
        <v>51</v>
      </c>
      <c r="AC480" s="18">
        <v>0.14350208343061974</v>
      </c>
      <c r="AD480" s="21">
        <v>0.29086050250758955</v>
      </c>
      <c r="AE480" s="21">
        <v>0.2691507254928604</v>
      </c>
      <c r="AF480" s="21">
        <v>1.7454840069160388E-3</v>
      </c>
      <c r="AG480" s="21"/>
      <c r="AH480" s="21">
        <v>0.66075850870409647</v>
      </c>
    </row>
    <row r="481" spans="1:34">
      <c r="A481" s="13" t="s">
        <v>77</v>
      </c>
      <c r="B481" s="13" t="s">
        <v>76</v>
      </c>
      <c r="C481" s="13">
        <v>161</v>
      </c>
      <c r="E481" s="14">
        <v>45734</v>
      </c>
      <c r="W481" s="99"/>
      <c r="Y481" s="92"/>
      <c r="AC481" s="18"/>
      <c r="AD481" s="21"/>
      <c r="AE481" s="21"/>
      <c r="AF481" s="21"/>
      <c r="AG481" s="21"/>
      <c r="AH481" s="21"/>
    </row>
    <row r="482" spans="1:34">
      <c r="A482" s="13" t="s">
        <v>78</v>
      </c>
      <c r="B482" s="13" t="s">
        <v>76</v>
      </c>
      <c r="C482" s="13">
        <v>161</v>
      </c>
      <c r="E482" s="14">
        <v>45734</v>
      </c>
      <c r="H482" s="16">
        <v>17.399999999999999</v>
      </c>
      <c r="I482" s="16">
        <v>4.74</v>
      </c>
      <c r="J482" s="16">
        <v>15.88</v>
      </c>
      <c r="P482" s="18">
        <v>3.9199999999999999E-2</v>
      </c>
      <c r="Q482" s="18">
        <v>2.5339248740000002</v>
      </c>
      <c r="R482" s="21" t="s">
        <v>50</v>
      </c>
      <c r="S482" s="21">
        <v>2.7293440179999999</v>
      </c>
      <c r="T482" s="21">
        <v>1.18019736</v>
      </c>
      <c r="U482" s="21" t="s">
        <v>50</v>
      </c>
      <c r="V482" s="21" t="s">
        <v>50</v>
      </c>
      <c r="W482" s="99">
        <v>0.56479020328584895</v>
      </c>
      <c r="Y482" s="92">
        <v>0.73187628497363022</v>
      </c>
      <c r="Z482" s="20">
        <v>-6.2417240679055803</v>
      </c>
      <c r="AA482" s="10">
        <v>-25.324532471926879</v>
      </c>
      <c r="AB482" s="17">
        <v>1.4492352544299942</v>
      </c>
      <c r="AC482" s="18">
        <v>7.5087241122904311E-2</v>
      </c>
      <c r="AD482" s="21">
        <v>0.15483945080978054</v>
      </c>
      <c r="AE482" s="21">
        <v>9.356288864129178E-2</v>
      </c>
      <c r="AF482" s="21">
        <v>5.2189393488360071E-4</v>
      </c>
      <c r="AG482" s="21"/>
      <c r="AH482" s="21">
        <v>1.0107673941571844</v>
      </c>
    </row>
    <row r="483" spans="1:34">
      <c r="A483" s="13" t="s">
        <v>75</v>
      </c>
      <c r="B483" s="13" t="s">
        <v>76</v>
      </c>
      <c r="C483" s="13">
        <v>162</v>
      </c>
      <c r="E483" s="14">
        <v>45741</v>
      </c>
      <c r="H483" s="16">
        <v>16.100000000000001</v>
      </c>
      <c r="I483" s="16">
        <v>4.84</v>
      </c>
      <c r="J483" s="16">
        <v>24.62</v>
      </c>
      <c r="P483" s="18">
        <v>2.64E-2</v>
      </c>
      <c r="Q483" s="18">
        <v>0.99732825599999997</v>
      </c>
      <c r="R483" s="21" t="s">
        <v>50</v>
      </c>
      <c r="S483" s="21">
        <v>6.595818178</v>
      </c>
      <c r="T483" s="21">
        <v>1.272051942</v>
      </c>
      <c r="U483" s="21" t="s">
        <v>50</v>
      </c>
      <c r="V483" s="21">
        <v>1.9473877000000001E-2</v>
      </c>
      <c r="W483" s="18">
        <v>0.88712489331390632</v>
      </c>
      <c r="Y483" s="92">
        <v>1.4036416770909719</v>
      </c>
      <c r="Z483" s="20">
        <v>-5.8839465780487687</v>
      </c>
      <c r="AA483" s="10">
        <v>-26.914553207385627</v>
      </c>
      <c r="AB483" s="17">
        <v>1.3153198193828348</v>
      </c>
      <c r="AC483" s="18">
        <v>0.13910737481332197</v>
      </c>
      <c r="AD483" s="21">
        <v>0.10824620491818637</v>
      </c>
      <c r="AE483" s="21">
        <v>0.17850324674481283</v>
      </c>
      <c r="AF483" s="21">
        <v>8.3592901432972871E-4</v>
      </c>
      <c r="AG483" s="21"/>
      <c r="AH483" s="21">
        <v>0.53273245973507355</v>
      </c>
    </row>
    <row r="484" spans="1:34">
      <c r="A484" s="13" t="s">
        <v>77</v>
      </c>
      <c r="B484" s="13" t="s">
        <v>76</v>
      </c>
      <c r="C484" s="13">
        <v>162</v>
      </c>
      <c r="E484" s="14">
        <v>45741</v>
      </c>
      <c r="AC484" s="18"/>
      <c r="AD484" s="21"/>
      <c r="AE484" s="21"/>
      <c r="AF484" s="21"/>
      <c r="AG484" s="21"/>
      <c r="AH484" s="21"/>
    </row>
    <row r="485" spans="1:34">
      <c r="A485" s="13" t="s">
        <v>78</v>
      </c>
      <c r="B485" s="13" t="s">
        <v>76</v>
      </c>
      <c r="C485" s="13">
        <v>162</v>
      </c>
      <c r="E485" s="14">
        <v>45741</v>
      </c>
      <c r="H485" s="16">
        <v>13.5</v>
      </c>
      <c r="I485" s="16">
        <v>4.82</v>
      </c>
      <c r="J485" s="16">
        <v>23.63</v>
      </c>
      <c r="P485" s="18">
        <v>2.9399999999999999E-2</v>
      </c>
      <c r="Q485" s="18">
        <v>2.4421210040000001</v>
      </c>
      <c r="R485" s="21" t="s">
        <v>50</v>
      </c>
      <c r="S485" s="21">
        <v>3.243744183</v>
      </c>
      <c r="T485" s="21">
        <v>1.1890903500000001</v>
      </c>
      <c r="U485" s="21">
        <v>3.1017092999999999E-2</v>
      </c>
      <c r="V485" s="21" t="s">
        <v>50</v>
      </c>
      <c r="W485" s="18">
        <v>0.58615112348432685</v>
      </c>
      <c r="Y485" s="92">
        <v>0.75702023034119825</v>
      </c>
      <c r="Z485" s="20">
        <v>-6.4169415885910519</v>
      </c>
      <c r="AA485" s="10">
        <v>-27.49675358099925</v>
      </c>
      <c r="AB485" s="17">
        <v>1.381945661766947</v>
      </c>
      <c r="AC485" s="18">
        <v>8.5082814645405527E-2</v>
      </c>
      <c r="AD485" s="21">
        <v>0.11504981867473313</v>
      </c>
      <c r="AE485" s="21">
        <v>0.10283449257116427</v>
      </c>
      <c r="AF485" s="21">
        <v>4.0124265149872531E-4</v>
      </c>
      <c r="AG485" s="21"/>
      <c r="AH485" s="21">
        <v>0.96557202821747978</v>
      </c>
    </row>
    <row r="486" spans="1:34">
      <c r="A486" s="13" t="s">
        <v>75</v>
      </c>
      <c r="B486" s="13" t="s">
        <v>76</v>
      </c>
      <c r="C486" s="13">
        <v>163</v>
      </c>
      <c r="E486" s="14">
        <v>45748</v>
      </c>
      <c r="H486" s="16">
        <v>13.8</v>
      </c>
      <c r="I486" s="16">
        <v>4.9400000000000004</v>
      </c>
      <c r="J486" s="16">
        <v>25.89</v>
      </c>
      <c r="P486" s="18">
        <v>3.5519330000000002E-2</v>
      </c>
      <c r="Q486" s="18">
        <v>1.0758487919999999</v>
      </c>
      <c r="R486" s="21" t="s">
        <v>50</v>
      </c>
      <c r="S486" s="21">
        <v>7.2408219159999998</v>
      </c>
      <c r="T486" s="21">
        <v>1.3092472500000001</v>
      </c>
      <c r="U486" s="21" t="s">
        <v>50</v>
      </c>
      <c r="V486" s="21">
        <v>3.2042807999999999E-2</v>
      </c>
      <c r="W486" s="18">
        <v>0.8612974023738913</v>
      </c>
      <c r="Y486" s="92">
        <v>1.6296963292067463</v>
      </c>
      <c r="Z486" s="20">
        <v>-5.7370976083314202</v>
      </c>
      <c r="AA486" s="10">
        <v>-25.665227505374848</v>
      </c>
      <c r="AB486" s="17">
        <v>1.3719533164572693</v>
      </c>
      <c r="AC486" s="18">
        <v>0.1502078797295435</v>
      </c>
      <c r="AD486" s="21">
        <v>0.11970546569815879</v>
      </c>
      <c r="AE486" s="21">
        <v>0.23168213668714746</v>
      </c>
      <c r="AF486" s="21">
        <v>1.4010526457790692E-3</v>
      </c>
      <c r="AG486" s="21"/>
      <c r="AH486" s="21">
        <v>0.6363514788081448</v>
      </c>
    </row>
    <row r="487" spans="1:34">
      <c r="A487" s="13" t="s">
        <v>77</v>
      </c>
      <c r="B487" s="13" t="s">
        <v>76</v>
      </c>
      <c r="C487" s="13">
        <v>163</v>
      </c>
      <c r="E487" s="14">
        <v>45748</v>
      </c>
      <c r="Y487" s="92"/>
      <c r="AC487" s="18"/>
      <c r="AD487" s="21"/>
      <c r="AE487" s="21"/>
      <c r="AF487" s="21"/>
      <c r="AG487" s="21"/>
      <c r="AH487" s="21"/>
    </row>
    <row r="488" spans="1:34">
      <c r="A488" s="13" t="s">
        <v>78</v>
      </c>
      <c r="B488" s="13" t="s">
        <v>76</v>
      </c>
      <c r="C488" s="13">
        <v>163</v>
      </c>
      <c r="E488" s="14">
        <v>45748</v>
      </c>
      <c r="W488" s="18">
        <v>0.66608502937736669</v>
      </c>
      <c r="Y488" s="92"/>
      <c r="AC488" s="18"/>
      <c r="AD488" s="21"/>
      <c r="AE488" s="21"/>
      <c r="AF488" s="21"/>
      <c r="AG488" s="21"/>
      <c r="AH488" s="21"/>
    </row>
    <row r="489" spans="1:34">
      <c r="A489" s="13" t="s">
        <v>75</v>
      </c>
      <c r="B489" s="13" t="s">
        <v>76</v>
      </c>
      <c r="C489" s="13">
        <v>164</v>
      </c>
      <c r="E489" s="14">
        <v>45755</v>
      </c>
      <c r="P489" s="18">
        <v>3.7383557999999997E-2</v>
      </c>
      <c r="Q489" s="18">
        <v>1.1521357350000001</v>
      </c>
      <c r="R489" s="21" t="s">
        <v>50</v>
      </c>
      <c r="S489" s="21">
        <v>5.63806473</v>
      </c>
      <c r="T489" s="21">
        <v>1.4546148729999999</v>
      </c>
      <c r="U489" s="21" t="s">
        <v>50</v>
      </c>
      <c r="V489" s="21">
        <v>4.8659176999999998E-2</v>
      </c>
      <c r="W489" s="18">
        <v>1.0104816031551023</v>
      </c>
      <c r="Y489" s="92">
        <v>1.244408191742592</v>
      </c>
      <c r="Z489" s="20">
        <v>-5.6613368898636081</v>
      </c>
      <c r="AA489" s="10">
        <v>-18.725266356658587</v>
      </c>
      <c r="AB489" s="17">
        <v>1.1430071642076935</v>
      </c>
      <c r="AC489" s="18">
        <v>0.13690345016489328</v>
      </c>
      <c r="AD489" s="21">
        <v>0.11428838904077544</v>
      </c>
      <c r="AE489" s="21">
        <v>0.22057027118498437</v>
      </c>
      <c r="AF489" s="21">
        <v>1.2052273672436995E-3</v>
      </c>
      <c r="AG489" s="21"/>
      <c r="AH489" s="21">
        <v>0.51630693113114912</v>
      </c>
    </row>
    <row r="490" spans="1:34">
      <c r="A490" s="13" t="s">
        <v>77</v>
      </c>
      <c r="B490" s="13" t="s">
        <v>76</v>
      </c>
      <c r="C490" s="13">
        <v>164</v>
      </c>
      <c r="E490" s="14">
        <v>45755</v>
      </c>
      <c r="Y490" s="92"/>
      <c r="AC490" s="18"/>
      <c r="AD490" s="21"/>
      <c r="AE490" s="21"/>
      <c r="AF490" s="21"/>
      <c r="AG490" s="21"/>
      <c r="AH490" s="21"/>
    </row>
    <row r="491" spans="1:34">
      <c r="A491" s="13" t="s">
        <v>78</v>
      </c>
      <c r="B491" s="13" t="s">
        <v>76</v>
      </c>
      <c r="C491" s="13">
        <v>164</v>
      </c>
      <c r="E491" s="14">
        <v>45755</v>
      </c>
      <c r="W491" s="18">
        <v>1.0388338264220731</v>
      </c>
      <c r="Y491" s="92"/>
      <c r="AC491" s="18"/>
      <c r="AD491" s="21"/>
      <c r="AE491" s="21"/>
      <c r="AF491" s="21"/>
      <c r="AG491" s="21"/>
      <c r="AH491" s="21"/>
    </row>
    <row r="492" spans="1:34">
      <c r="A492" s="13" t="s">
        <v>75</v>
      </c>
      <c r="B492" s="13" t="s">
        <v>76</v>
      </c>
      <c r="C492" s="13">
        <v>165</v>
      </c>
      <c r="E492" s="14">
        <v>45762</v>
      </c>
      <c r="P492" s="18">
        <v>3.2240500999999998E-2</v>
      </c>
      <c r="Q492" s="18">
        <v>0.98690635299999996</v>
      </c>
      <c r="R492" s="21" t="s">
        <v>50</v>
      </c>
      <c r="S492" s="21">
        <v>6.6484855070000002</v>
      </c>
      <c r="T492" s="21">
        <v>1.24571532</v>
      </c>
      <c r="U492" s="21" t="s">
        <v>50</v>
      </c>
      <c r="V492" s="21" t="s">
        <v>50</v>
      </c>
      <c r="W492" s="18">
        <v>1.0318907991704818</v>
      </c>
      <c r="Y492" s="92">
        <v>1.5508400552128716</v>
      </c>
      <c r="Z492" s="20">
        <v>-5.7597924491059205</v>
      </c>
      <c r="AA492" s="10">
        <v>-20.887535322592271</v>
      </c>
      <c r="AB492" s="17">
        <v>1.2259512425405905</v>
      </c>
      <c r="AC492" s="18">
        <v>0.15080267422415328</v>
      </c>
      <c r="AD492" s="21">
        <v>0.19857742229180586</v>
      </c>
      <c r="AE492" s="21">
        <v>0.25924332630648933</v>
      </c>
      <c r="AF492" s="21">
        <v>1.7769326173472507E-3</v>
      </c>
      <c r="AG492" s="21"/>
      <c r="AH492" s="21">
        <v>0.61787898410302156</v>
      </c>
    </row>
    <row r="493" spans="1:34">
      <c r="A493" s="13" t="s">
        <v>77</v>
      </c>
      <c r="B493" s="13" t="s">
        <v>76</v>
      </c>
      <c r="C493" s="13">
        <v>165</v>
      </c>
      <c r="E493" s="14">
        <v>45762</v>
      </c>
      <c r="AC493" s="18"/>
      <c r="AD493" s="21"/>
      <c r="AE493" s="21"/>
      <c r="AF493" s="21"/>
      <c r="AG493" s="21"/>
      <c r="AH493" s="21"/>
    </row>
    <row r="494" spans="1:34">
      <c r="A494" s="13" t="s">
        <v>78</v>
      </c>
      <c r="B494" s="13" t="s">
        <v>76</v>
      </c>
      <c r="C494" s="13">
        <v>165</v>
      </c>
      <c r="E494" s="14">
        <v>45762</v>
      </c>
      <c r="H494" s="16">
        <v>17.899999999999999</v>
      </c>
      <c r="I494" s="16">
        <v>4.76</v>
      </c>
      <c r="J494" s="16">
        <v>14.49</v>
      </c>
      <c r="P494" s="18">
        <v>3.5262184000000002E-2</v>
      </c>
      <c r="Q494" s="18">
        <v>2.6083317880000001</v>
      </c>
      <c r="R494" s="21" t="s">
        <v>50</v>
      </c>
      <c r="S494" s="21">
        <v>4.6557909869999996</v>
      </c>
      <c r="T494" s="21">
        <v>1.1761365610000001</v>
      </c>
      <c r="U494" s="21" t="s">
        <v>50</v>
      </c>
      <c r="V494" s="21">
        <v>3.2042807999999999E-2</v>
      </c>
      <c r="Y494" s="92">
        <v>1.0882165811154727</v>
      </c>
      <c r="Z494" s="20">
        <v>-5.9106463907246498</v>
      </c>
      <c r="AA494" s="10">
        <v>-25.332494186437831</v>
      </c>
      <c r="AB494" s="17">
        <v>1.4634130722251508</v>
      </c>
      <c r="AC494" s="18">
        <v>9.6609429246723513E-2</v>
      </c>
      <c r="AD494" s="21">
        <v>0.14005790357768183</v>
      </c>
      <c r="AE494" s="21">
        <v>9.4385208718621993E-2</v>
      </c>
      <c r="AF494" s="21">
        <v>7.8861464969217927E-4</v>
      </c>
      <c r="AG494" s="21"/>
      <c r="AH494" s="21">
        <v>1.1341503691650217</v>
      </c>
    </row>
    <row r="495" spans="1:34">
      <c r="A495" s="13" t="s">
        <v>75</v>
      </c>
      <c r="B495" s="13" t="s">
        <v>76</v>
      </c>
      <c r="C495" s="13">
        <v>166</v>
      </c>
      <c r="E495" s="14">
        <v>45769</v>
      </c>
      <c r="P495" s="18">
        <v>4.3929535999999998E-2</v>
      </c>
      <c r="Q495" s="18">
        <v>0.99224866300000003</v>
      </c>
      <c r="R495" s="21" t="s">
        <v>50</v>
      </c>
      <c r="S495" s="21">
        <v>8.4040376339999998</v>
      </c>
      <c r="T495" s="21">
        <v>1.1537291160000001</v>
      </c>
      <c r="U495" s="21" t="s">
        <v>50</v>
      </c>
      <c r="V495" s="21">
        <v>8.1170053000000006E-2</v>
      </c>
      <c r="W495" s="18">
        <v>1.405948976268153</v>
      </c>
      <c r="Y495" s="92">
        <v>2.0187206142431955</v>
      </c>
      <c r="Z495" s="20">
        <v>-5.7070603190710543</v>
      </c>
      <c r="AA495" s="10">
        <v>-20.908434823183534</v>
      </c>
      <c r="AB495" s="17">
        <v>1.3686491183719953</v>
      </c>
      <c r="AC495" s="18">
        <v>0.16947751377607748</v>
      </c>
      <c r="AD495" s="21">
        <v>0.17528155989977035</v>
      </c>
      <c r="AE495" s="21">
        <v>0.31205455245982416</v>
      </c>
      <c r="AF495" s="21">
        <v>2.5255700649060736E-3</v>
      </c>
      <c r="AG495" s="21"/>
      <c r="AH495" s="21">
        <v>0.76922019357453775</v>
      </c>
    </row>
    <row r="496" spans="1:34">
      <c r="A496" s="13" t="s">
        <v>77</v>
      </c>
      <c r="B496" s="13" t="s">
        <v>76</v>
      </c>
      <c r="C496" s="13">
        <v>166</v>
      </c>
      <c r="E496" s="14">
        <v>45769</v>
      </c>
      <c r="AC496" s="18"/>
      <c r="AD496" s="21"/>
      <c r="AE496" s="21"/>
      <c r="AF496" s="21"/>
      <c r="AG496" s="21"/>
      <c r="AH496" s="21"/>
    </row>
    <row r="497" spans="1:34">
      <c r="A497" s="13" t="s">
        <v>78</v>
      </c>
      <c r="B497" s="13" t="s">
        <v>76</v>
      </c>
      <c r="C497" s="13">
        <v>166</v>
      </c>
      <c r="E497" s="14">
        <v>45769</v>
      </c>
      <c r="P497" s="18">
        <v>3.5139511999999998E-2</v>
      </c>
      <c r="Q497" s="18">
        <v>2.504691443</v>
      </c>
      <c r="R497" s="21" t="s">
        <v>50</v>
      </c>
      <c r="S497" s="21">
        <v>4.3978932320000004</v>
      </c>
      <c r="T497" s="21">
        <v>1.1066511969999999</v>
      </c>
      <c r="U497" s="21" t="s">
        <v>50</v>
      </c>
      <c r="V497" s="21">
        <v>6.2870403000000005E-2</v>
      </c>
      <c r="Y497" s="92">
        <v>1.0409028167191476</v>
      </c>
      <c r="Z497" s="20">
        <v>-5.7594587014474712</v>
      </c>
      <c r="AA497" s="10">
        <v>-23.915309003487746</v>
      </c>
      <c r="AB497" s="17">
        <v>1.4722342358802243</v>
      </c>
      <c r="AC497" s="18">
        <v>0.10410270664755948</v>
      </c>
      <c r="AD497" s="21">
        <v>0.1474352421167841</v>
      </c>
      <c r="AE497" s="21">
        <v>0.12921590814421521</v>
      </c>
      <c r="AF497" s="21">
        <v>1.006432375649724E-3</v>
      </c>
      <c r="AG497" s="21"/>
      <c r="AH497" s="21">
        <v>1.1370068923439314</v>
      </c>
    </row>
    <row r="498" spans="1:34">
      <c r="A498" s="13" t="s">
        <v>75</v>
      </c>
      <c r="B498" s="13" t="s">
        <v>76</v>
      </c>
      <c r="C498" s="13">
        <v>167</v>
      </c>
      <c r="E498" s="14">
        <v>45776</v>
      </c>
      <c r="H498" s="16">
        <v>16.3</v>
      </c>
      <c r="I498" s="16">
        <v>4.6500000000000004</v>
      </c>
      <c r="J498" s="16">
        <v>31.56</v>
      </c>
      <c r="W498" s="18">
        <v>1.0865086224047407</v>
      </c>
      <c r="Y498" s="92">
        <v>2.2830692606673324</v>
      </c>
      <c r="Z498" s="20">
        <v>-5.4984680325407318</v>
      </c>
      <c r="AA498" s="10">
        <v>-20.348460902579657</v>
      </c>
      <c r="AB498" s="17">
        <v>1.4343390986490827</v>
      </c>
      <c r="AC498" s="18">
        <v>0.18290679253152428</v>
      </c>
      <c r="AD498" s="21">
        <v>0.19185833983005196</v>
      </c>
      <c r="AE498" s="21">
        <v>0.28168446664549579</v>
      </c>
      <c r="AF498" s="21">
        <v>2.5123214952365489E-3</v>
      </c>
      <c r="AG498" s="21"/>
      <c r="AH498" s="21">
        <v>0.8296432499170594</v>
      </c>
    </row>
    <row r="499" spans="1:34">
      <c r="A499" s="13" t="s">
        <v>77</v>
      </c>
      <c r="B499" s="13" t="s">
        <v>76</v>
      </c>
      <c r="C499" s="13">
        <v>167</v>
      </c>
      <c r="E499" s="14">
        <v>45776</v>
      </c>
      <c r="Y499" s="92"/>
      <c r="AC499" s="18"/>
      <c r="AD499" s="21"/>
      <c r="AE499" s="21"/>
      <c r="AF499" s="21"/>
      <c r="AG499" s="21"/>
      <c r="AH499" s="21"/>
    </row>
    <row r="500" spans="1:34">
      <c r="A500" s="13" t="s">
        <v>78</v>
      </c>
      <c r="B500" s="13" t="s">
        <v>76</v>
      </c>
      <c r="C500" s="13">
        <v>167</v>
      </c>
      <c r="E500" s="14">
        <v>45776</v>
      </c>
      <c r="Y500" s="92"/>
      <c r="AC500" s="18"/>
      <c r="AD500" s="21"/>
      <c r="AE500" s="21"/>
      <c r="AF500" s="21"/>
      <c r="AG500" s="21"/>
      <c r="AH500" s="21"/>
    </row>
    <row r="501" spans="1:34">
      <c r="A501" s="13" t="s">
        <v>75</v>
      </c>
      <c r="B501" s="13" t="s">
        <v>76</v>
      </c>
      <c r="C501" s="13">
        <v>168</v>
      </c>
      <c r="E501" s="14">
        <v>45783</v>
      </c>
      <c r="P501" s="18">
        <v>4.4334858999999997E-2</v>
      </c>
      <c r="Q501" s="18">
        <v>1.136874988</v>
      </c>
      <c r="R501" s="21" t="s">
        <v>50</v>
      </c>
      <c r="S501" s="21">
        <v>11.533407690000001</v>
      </c>
      <c r="T501" s="21">
        <v>1.1032221840000001</v>
      </c>
      <c r="U501" s="21">
        <v>0.14207378900000001</v>
      </c>
      <c r="V501" s="21">
        <v>4.6682251000000001E-2</v>
      </c>
      <c r="Y501" s="92">
        <v>2.6351071512010704</v>
      </c>
      <c r="Z501" s="20">
        <v>-5.4737707058155403</v>
      </c>
      <c r="AA501" s="10">
        <v>-20.59162493326842</v>
      </c>
      <c r="AB501" s="17">
        <v>1.6098753673891864</v>
      </c>
      <c r="AC501" s="18">
        <v>0.18503472664764392</v>
      </c>
      <c r="AD501" s="21">
        <v>0.18754775723804828</v>
      </c>
      <c r="AE501" s="21">
        <v>0.43147734083084877</v>
      </c>
      <c r="AF501" s="21">
        <v>3.675990248977413E-3</v>
      </c>
      <c r="AG501" s="21"/>
      <c r="AH501" s="21">
        <v>0.81567047527441361</v>
      </c>
    </row>
    <row r="502" spans="1:34">
      <c r="A502" s="13" t="s">
        <v>77</v>
      </c>
      <c r="B502" s="13" t="s">
        <v>76</v>
      </c>
      <c r="C502" s="13">
        <v>168</v>
      </c>
      <c r="E502" s="14">
        <v>45783</v>
      </c>
      <c r="Y502" s="92"/>
      <c r="AC502" s="18"/>
      <c r="AD502" s="21"/>
      <c r="AE502" s="21"/>
      <c r="AF502" s="21"/>
      <c r="AG502" s="21"/>
      <c r="AH502" s="21"/>
    </row>
    <row r="503" spans="1:34">
      <c r="A503" s="13" t="s">
        <v>78</v>
      </c>
      <c r="B503" s="13" t="s">
        <v>76</v>
      </c>
      <c r="C503" s="13">
        <v>168</v>
      </c>
      <c r="E503" s="14">
        <v>45783</v>
      </c>
      <c r="Y503" s="92"/>
      <c r="AC503" s="18"/>
      <c r="AD503" s="21"/>
      <c r="AE503" s="21"/>
      <c r="AF503" s="21"/>
      <c r="AG503" s="21"/>
      <c r="AH503" s="21"/>
    </row>
    <row r="504" spans="1:34">
      <c r="A504" s="13" t="s">
        <v>75</v>
      </c>
      <c r="B504" s="13" t="s">
        <v>76</v>
      </c>
      <c r="C504" s="13">
        <v>169</v>
      </c>
      <c r="E504" s="14">
        <v>45790</v>
      </c>
      <c r="H504" s="16">
        <v>20</v>
      </c>
      <c r="I504" s="16">
        <v>4.59</v>
      </c>
      <c r="J504" s="16">
        <v>41</v>
      </c>
      <c r="P504" s="18">
        <v>4.0639574999999997E-2</v>
      </c>
      <c r="Q504" s="18">
        <v>1.0054805739999999</v>
      </c>
      <c r="R504" s="21" t="s">
        <v>50</v>
      </c>
      <c r="S504" s="21">
        <v>11.09592088</v>
      </c>
      <c r="T504" s="21">
        <v>1.058736809</v>
      </c>
      <c r="U504" s="21">
        <v>2.9552174E-2</v>
      </c>
      <c r="V504" s="21" t="s">
        <v>50</v>
      </c>
      <c r="W504" s="18">
        <v>0.79639223487533328</v>
      </c>
      <c r="Y504" s="92">
        <v>2.7955950130620395</v>
      </c>
      <c r="Z504" s="20">
        <v>-5.229133672172777</v>
      </c>
      <c r="AA504" s="10">
        <v>-20.752517914010653</v>
      </c>
      <c r="AB504" s="17">
        <v>1.4341284721146303</v>
      </c>
      <c r="AC504" s="18">
        <v>0.19706096360321362</v>
      </c>
      <c r="AD504" s="21">
        <v>0.13829688115513544</v>
      </c>
      <c r="AE504" s="21">
        <v>0.3188867438783789</v>
      </c>
      <c r="AF504" s="21">
        <v>2.7723160712200042E-3</v>
      </c>
      <c r="AG504" s="21"/>
      <c r="AH504" s="21">
        <v>0.7404825417329457</v>
      </c>
    </row>
    <row r="505" spans="1:34">
      <c r="A505" s="13" t="s">
        <v>77</v>
      </c>
      <c r="B505" s="13" t="s">
        <v>76</v>
      </c>
      <c r="C505" s="13">
        <v>169</v>
      </c>
      <c r="E505" s="14">
        <v>45790</v>
      </c>
      <c r="Y505" s="92"/>
      <c r="AC505" s="18"/>
      <c r="AD505" s="21"/>
      <c r="AE505" s="21"/>
      <c r="AF505" s="21"/>
      <c r="AG505" s="21"/>
      <c r="AH505" s="21"/>
    </row>
    <row r="506" spans="1:34">
      <c r="A506" s="13" t="s">
        <v>78</v>
      </c>
      <c r="B506" s="13" t="s">
        <v>76</v>
      </c>
      <c r="C506" s="13">
        <v>169</v>
      </c>
      <c r="E506" s="14">
        <v>45790</v>
      </c>
      <c r="Y506" s="92"/>
      <c r="AC506" s="18"/>
      <c r="AD506" s="21"/>
      <c r="AE506" s="21"/>
      <c r="AF506" s="21"/>
      <c r="AG506" s="21"/>
      <c r="AH506" s="21"/>
    </row>
    <row r="507" spans="1:34">
      <c r="A507" s="13" t="s">
        <v>75</v>
      </c>
      <c r="B507" s="13" t="s">
        <v>76</v>
      </c>
      <c r="C507" s="13">
        <v>170</v>
      </c>
      <c r="E507" s="14">
        <v>45797</v>
      </c>
      <c r="H507" s="16">
        <v>18.7</v>
      </c>
      <c r="I507" s="16">
        <v>4.63</v>
      </c>
      <c r="J507" s="16">
        <v>35.72</v>
      </c>
      <c r="P507" s="18">
        <v>3.2541445000000002E-2</v>
      </c>
      <c r="Q507" s="18">
        <v>0.71878781700000005</v>
      </c>
      <c r="R507" s="21" t="s">
        <v>50</v>
      </c>
      <c r="S507" s="21">
        <v>9.5044832810000006</v>
      </c>
      <c r="T507" s="21">
        <v>0.911510822</v>
      </c>
      <c r="U507" s="21" t="s">
        <v>50</v>
      </c>
      <c r="V507" s="21">
        <v>-9.1608E-4</v>
      </c>
      <c r="W507" s="18">
        <v>0.68596524852571827</v>
      </c>
      <c r="Y507" s="92">
        <v>2.2882462884692991</v>
      </c>
      <c r="Z507" s="20">
        <v>-6.1267371913279058</v>
      </c>
      <c r="AA507" s="10">
        <v>-29.669234391905519</v>
      </c>
      <c r="AC507" s="18"/>
      <c r="AD507" s="21"/>
      <c r="AE507" s="21"/>
      <c r="AF507" s="21"/>
      <c r="AG507" s="21"/>
      <c r="AH507" s="21"/>
    </row>
    <row r="508" spans="1:34">
      <c r="A508" s="13" t="s">
        <v>77</v>
      </c>
      <c r="B508" s="13" t="s">
        <v>76</v>
      </c>
      <c r="C508" s="13">
        <v>170</v>
      </c>
      <c r="E508" s="14">
        <v>45797</v>
      </c>
      <c r="Y508" s="92"/>
      <c r="AC508" s="18"/>
      <c r="AD508" s="21"/>
      <c r="AE508" s="21"/>
      <c r="AF508" s="21"/>
      <c r="AG508" s="21"/>
      <c r="AH508" s="21"/>
    </row>
    <row r="509" spans="1:34">
      <c r="A509" s="13" t="s">
        <v>78</v>
      </c>
      <c r="B509" s="13" t="s">
        <v>76</v>
      </c>
      <c r="C509" s="13">
        <v>170</v>
      </c>
      <c r="E509" s="14">
        <v>45797</v>
      </c>
      <c r="Y509" s="92"/>
      <c r="AC509" s="18"/>
      <c r="AD509" s="21"/>
      <c r="AE509" s="21"/>
      <c r="AF509" s="21"/>
      <c r="AG509" s="21"/>
      <c r="AH509" s="21"/>
    </row>
    <row r="510" spans="1:34">
      <c r="A510" s="13" t="s">
        <v>75</v>
      </c>
      <c r="B510" s="13" t="s">
        <v>76</v>
      </c>
      <c r="C510" s="13">
        <v>171</v>
      </c>
      <c r="E510" s="14">
        <v>45804</v>
      </c>
      <c r="H510" s="16">
        <v>17.600000000000001</v>
      </c>
      <c r="I510" s="16">
        <v>4.55</v>
      </c>
      <c r="J510" s="16">
        <v>39.51</v>
      </c>
      <c r="W510" s="18">
        <v>0.70813943817651759</v>
      </c>
      <c r="Y510" s="92">
        <v>2.9706069554148105</v>
      </c>
      <c r="Z510" s="20">
        <v>-6.4714411528004048</v>
      </c>
      <c r="AA510" s="10">
        <v>-34.695563997444623</v>
      </c>
      <c r="AB510" s="17">
        <v>1.2748079046222081</v>
      </c>
      <c r="AC510" s="18">
        <v>0.14477484837793297</v>
      </c>
      <c r="AD510" s="21">
        <v>0.12591147944382897</v>
      </c>
      <c r="AE510" s="21">
        <v>0.41155100322196386</v>
      </c>
      <c r="AF510" s="21">
        <v>5.5202126767699457E-3</v>
      </c>
      <c r="AG510" s="21"/>
      <c r="AH510" s="21">
        <v>0.95937463844531845</v>
      </c>
    </row>
    <row r="511" spans="1:34">
      <c r="A511" s="13" t="s">
        <v>77</v>
      </c>
      <c r="B511" s="13" t="s">
        <v>76</v>
      </c>
      <c r="C511" s="13">
        <v>171</v>
      </c>
      <c r="E511" s="14">
        <v>45804</v>
      </c>
      <c r="AC511" s="18"/>
      <c r="AD511" s="21"/>
      <c r="AE511" s="21"/>
      <c r="AF511" s="21"/>
      <c r="AG511" s="21"/>
      <c r="AH511" s="21"/>
    </row>
    <row r="512" spans="1:34">
      <c r="A512" s="13" t="s">
        <v>78</v>
      </c>
      <c r="B512" s="13" t="s">
        <v>76</v>
      </c>
      <c r="C512" s="13">
        <v>171</v>
      </c>
      <c r="E512" s="14">
        <v>45804</v>
      </c>
      <c r="W512" s="18">
        <v>0.85275644389965377</v>
      </c>
      <c r="Y512" s="92">
        <v>2.0906155114306282</v>
      </c>
      <c r="Z512" s="20">
        <v>-5.7096588629446767</v>
      </c>
      <c r="AA512" s="10">
        <v>-23.335851513867613</v>
      </c>
      <c r="AB512" s="17">
        <v>1.8707272372127131</v>
      </c>
      <c r="AC512" s="18">
        <v>0.12604215792323398</v>
      </c>
      <c r="AD512" s="21">
        <v>0.17147714951586726</v>
      </c>
      <c r="AE512" s="21">
        <v>0.28064358930770272</v>
      </c>
      <c r="AF512" s="21">
        <v>4.1374244118550048E-3</v>
      </c>
      <c r="AG512" s="21"/>
      <c r="AH512" s="21">
        <v>1.9848618119962746</v>
      </c>
    </row>
    <row r="513" spans="1:34">
      <c r="A513" s="13" t="s">
        <v>75</v>
      </c>
      <c r="B513" s="13" t="s">
        <v>76</v>
      </c>
      <c r="C513" s="13">
        <v>172</v>
      </c>
      <c r="E513" s="14">
        <v>45811</v>
      </c>
      <c r="P513" s="18">
        <v>7.6811631000000005E-2</v>
      </c>
      <c r="Q513" s="18">
        <v>0.71949227999999998</v>
      </c>
      <c r="R513" s="21" t="s">
        <v>50</v>
      </c>
      <c r="S513" s="21">
        <v>13.55630304</v>
      </c>
      <c r="T513" s="21">
        <v>1.0509594689999999</v>
      </c>
      <c r="U513" s="21" t="s">
        <v>50</v>
      </c>
      <c r="V513" s="21" t="s">
        <v>50</v>
      </c>
      <c r="W513" s="18">
        <v>0.77832808129476727</v>
      </c>
      <c r="Y513" s="92">
        <v>3.1893331524744628</v>
      </c>
      <c r="Z513" s="20">
        <v>-6.4896189007686802</v>
      </c>
      <c r="AA513" s="10">
        <v>-33.661036689037516</v>
      </c>
      <c r="AB513" s="17">
        <v>1.1905393924613867</v>
      </c>
      <c r="AC513" s="18">
        <v>0.14913422956068409</v>
      </c>
      <c r="AD513" s="21">
        <v>0.13541007554514892</v>
      </c>
      <c r="AE513" s="21">
        <v>0.43107948869320412</v>
      </c>
      <c r="AF513" s="21">
        <v>5.2916300830485501E-3</v>
      </c>
      <c r="AG513" s="21"/>
      <c r="AH513" s="21">
        <v>0.81314789331091797</v>
      </c>
    </row>
    <row r="514" spans="1:34">
      <c r="A514" s="13" t="s">
        <v>77</v>
      </c>
      <c r="B514" s="13" t="s">
        <v>76</v>
      </c>
      <c r="C514" s="13">
        <v>172</v>
      </c>
      <c r="E514" s="14">
        <v>45811</v>
      </c>
      <c r="AC514" s="18"/>
      <c r="AD514" s="21"/>
      <c r="AE514" s="21"/>
      <c r="AF514" s="21"/>
      <c r="AG514" s="21"/>
      <c r="AH514" s="21"/>
    </row>
    <row r="515" spans="1:34">
      <c r="A515" s="13" t="s">
        <v>78</v>
      </c>
      <c r="B515" s="13" t="s">
        <v>76</v>
      </c>
      <c r="C515" s="13">
        <v>172</v>
      </c>
      <c r="E515" s="14">
        <v>45811</v>
      </c>
      <c r="P515" s="18">
        <v>5.8733204999999997E-2</v>
      </c>
      <c r="Q515" s="18">
        <v>2.4165031140000002</v>
      </c>
      <c r="R515" s="21" t="s">
        <v>50</v>
      </c>
      <c r="S515" s="21">
        <v>7.3685127469999996</v>
      </c>
      <c r="T515" s="21">
        <v>0.98529556500000004</v>
      </c>
      <c r="U515" s="21" t="s">
        <v>50</v>
      </c>
      <c r="V515" s="21">
        <v>5.0755311999999997E-2</v>
      </c>
      <c r="W515" s="18">
        <v>0.5426417729075117</v>
      </c>
      <c r="Y515" s="92">
        <v>1.8006761339329502</v>
      </c>
      <c r="Z515" s="20">
        <v>-5.5231686337886572</v>
      </c>
      <c r="AA515" s="10">
        <v>-21.838297905289949</v>
      </c>
      <c r="AB515" s="17">
        <v>1.7400450020073883</v>
      </c>
      <c r="AC515" s="18">
        <v>0.10318248805364275</v>
      </c>
      <c r="AD515" s="21">
        <v>0.12870398666870408</v>
      </c>
      <c r="AE515" s="21">
        <v>0.15618251911773434</v>
      </c>
      <c r="AF515" s="21">
        <v>2.939389396410788E-3</v>
      </c>
      <c r="AG515" s="21"/>
      <c r="AH515" s="21">
        <v>1.3340651804095485</v>
      </c>
    </row>
    <row r="516" spans="1:34">
      <c r="A516" s="13" t="s">
        <v>75</v>
      </c>
      <c r="B516" s="13" t="s">
        <v>76</v>
      </c>
      <c r="C516" s="13">
        <v>173</v>
      </c>
      <c r="E516" s="14">
        <v>45818</v>
      </c>
      <c r="H516" s="16">
        <v>18.2</v>
      </c>
      <c r="I516" s="16">
        <v>4.45</v>
      </c>
      <c r="J516" s="16">
        <v>42.98</v>
      </c>
      <c r="P516" s="18">
        <v>5.9568305000000002E-2</v>
      </c>
      <c r="Q516" s="18">
        <v>0.65410301299999996</v>
      </c>
      <c r="R516" s="21" t="s">
        <v>50</v>
      </c>
      <c r="S516" s="21">
        <v>13.008535699999999</v>
      </c>
      <c r="T516" s="21">
        <v>0.95381848599999997</v>
      </c>
      <c r="U516" s="21" t="s">
        <v>50</v>
      </c>
      <c r="V516" s="21">
        <v>1.1338525E-2</v>
      </c>
      <c r="W516" s="18">
        <v>0.85810670194252259</v>
      </c>
      <c r="Y516" s="92">
        <v>3.2401997099301956</v>
      </c>
      <c r="Z516" s="20">
        <v>-6.9225186023835557</v>
      </c>
      <c r="AA516" s="10">
        <v>-37.605632400251913</v>
      </c>
      <c r="AB516" s="17">
        <v>1.1274770578699695</v>
      </c>
      <c r="AC516" s="18">
        <v>0.15618992804430193</v>
      </c>
      <c r="AD516" s="21">
        <v>0.2700915661421151</v>
      </c>
      <c r="AE516" s="21">
        <v>0.50969544948501044</v>
      </c>
      <c r="AF516" s="21">
        <v>5.9583677880278851E-3</v>
      </c>
      <c r="AG516" s="21"/>
      <c r="AH516" s="21">
        <v>0.92458291219649591</v>
      </c>
    </row>
    <row r="517" spans="1:34">
      <c r="A517" s="13" t="s">
        <v>77</v>
      </c>
      <c r="B517" s="13" t="s">
        <v>76</v>
      </c>
      <c r="C517" s="13">
        <v>173</v>
      </c>
      <c r="E517" s="14">
        <v>45818</v>
      </c>
      <c r="AC517" s="18"/>
      <c r="AD517" s="21"/>
      <c r="AE517" s="21"/>
      <c r="AF517" s="21"/>
      <c r="AG517" s="21"/>
      <c r="AH517" s="21"/>
    </row>
    <row r="518" spans="1:34">
      <c r="A518" s="13" t="s">
        <v>78</v>
      </c>
      <c r="B518" s="13" t="s">
        <v>76</v>
      </c>
      <c r="C518" s="13">
        <v>173</v>
      </c>
      <c r="E518" s="14">
        <v>45818</v>
      </c>
      <c r="P518" s="18">
        <v>6.1059605000000003E-2</v>
      </c>
      <c r="Q518" s="18">
        <v>2.5280029900000001</v>
      </c>
      <c r="R518" s="21" t="s">
        <v>50</v>
      </c>
      <c r="S518" s="21">
        <v>8.2449715329999993</v>
      </c>
      <c r="T518" s="21">
        <v>1.092389075</v>
      </c>
      <c r="U518" s="21" t="s">
        <v>50</v>
      </c>
      <c r="V518" s="21">
        <v>1.2375809E-2</v>
      </c>
      <c r="W518" s="18">
        <v>0.81229469936355381</v>
      </c>
      <c r="Y518" s="92">
        <v>2.1313087573952147</v>
      </c>
      <c r="Z518" s="20">
        <v>-5.7389452346713439</v>
      </c>
      <c r="AA518" s="10">
        <v>-24.244829391642785</v>
      </c>
      <c r="AB518" s="17">
        <v>1.8612985981008434</v>
      </c>
      <c r="AC518" s="18">
        <v>0.13455327127498992</v>
      </c>
      <c r="AD518" s="21">
        <v>0.22325538240413226</v>
      </c>
      <c r="AE518" s="21">
        <v>0.31221681941481111</v>
      </c>
      <c r="AF518" s="21">
        <v>3.9199568644873242E-3</v>
      </c>
      <c r="AG518" s="21"/>
      <c r="AH518" s="21">
        <v>1.6878614008797093</v>
      </c>
    </row>
    <row r="519" spans="1:34">
      <c r="A519" s="13" t="s">
        <v>75</v>
      </c>
      <c r="B519" s="13" t="s">
        <v>76</v>
      </c>
      <c r="C519" s="13">
        <v>174</v>
      </c>
      <c r="E519" s="14">
        <v>45825</v>
      </c>
      <c r="H519" s="16">
        <v>19.3</v>
      </c>
      <c r="I519" s="16">
        <v>4.43</v>
      </c>
      <c r="J519" s="16">
        <v>41.71</v>
      </c>
      <c r="P519" s="18">
        <v>6.1357873E-2</v>
      </c>
      <c r="Q519" s="18">
        <v>0.59941892600000002</v>
      </c>
      <c r="R519" s="21" t="s">
        <v>50</v>
      </c>
      <c r="S519" s="21">
        <v>13.16395468</v>
      </c>
      <c r="T519" s="21">
        <v>0.91304144799999998</v>
      </c>
      <c r="U519" s="21" t="s">
        <v>50</v>
      </c>
      <c r="V519" s="21" t="s">
        <v>50</v>
      </c>
      <c r="W519" s="18">
        <v>0.89575887840885082</v>
      </c>
      <c r="Y519" s="92">
        <v>2.9457416655419086</v>
      </c>
      <c r="Z519" s="20">
        <v>-7.8973844934229689</v>
      </c>
      <c r="AA519" s="10">
        <v>-49.198364627081787</v>
      </c>
      <c r="AB519" s="17">
        <v>1.1507261461512643</v>
      </c>
      <c r="AC519" s="18">
        <v>0.14771300012393893</v>
      </c>
      <c r="AD519" s="21">
        <v>0.20201385373514402</v>
      </c>
      <c r="AE519" s="21">
        <v>0.50480644525350538</v>
      </c>
      <c r="AF519" s="21">
        <v>6.3185092047100084E-3</v>
      </c>
      <c r="AG519" s="21"/>
      <c r="AH519" s="21">
        <v>1.0628360008152729</v>
      </c>
    </row>
    <row r="520" spans="1:34">
      <c r="A520" s="13" t="s">
        <v>77</v>
      </c>
      <c r="B520" s="13" t="s">
        <v>76</v>
      </c>
      <c r="C520" s="13">
        <v>174</v>
      </c>
      <c r="E520" s="14">
        <v>45825</v>
      </c>
      <c r="Y520" s="92"/>
      <c r="AC520" s="18"/>
      <c r="AD520" s="21"/>
      <c r="AE520" s="21"/>
      <c r="AF520" s="21"/>
      <c r="AG520" s="21"/>
      <c r="AH520" s="21"/>
    </row>
    <row r="521" spans="1:34">
      <c r="A521" s="13" t="s">
        <v>78</v>
      </c>
      <c r="B521" s="13" t="s">
        <v>76</v>
      </c>
      <c r="C521" s="13">
        <v>174</v>
      </c>
      <c r="E521" s="14">
        <v>45825</v>
      </c>
      <c r="Y521" s="92"/>
      <c r="AC521" s="18"/>
      <c r="AD521" s="21"/>
      <c r="AE521" s="21"/>
      <c r="AF521" s="21"/>
      <c r="AG521" s="21"/>
      <c r="AH521" s="21"/>
    </row>
    <row r="522" spans="1:34">
      <c r="A522" s="13" t="s">
        <v>75</v>
      </c>
      <c r="B522" s="13" t="s">
        <v>76</v>
      </c>
      <c r="C522" s="13">
        <v>174</v>
      </c>
      <c r="E522" s="14">
        <v>45832</v>
      </c>
      <c r="H522" s="16">
        <v>17.399999999999999</v>
      </c>
      <c r="I522" s="16">
        <v>4.2699999999999996</v>
      </c>
      <c r="J522" s="16">
        <v>50.35</v>
      </c>
      <c r="K522"/>
      <c r="L522">
        <v>5.5</v>
      </c>
      <c r="M522">
        <v>16.600000000000001</v>
      </c>
      <c r="N522">
        <v>5.9</v>
      </c>
      <c r="P522" s="18">
        <v>6.5474226999999996E-2</v>
      </c>
      <c r="Q522" s="18">
        <v>0.641243754</v>
      </c>
      <c r="R522" s="21" t="s">
        <v>50</v>
      </c>
      <c r="S522" s="21">
        <v>16.27948125</v>
      </c>
      <c r="T522" s="21">
        <v>0.95869718100000001</v>
      </c>
      <c r="U522" s="21" t="s">
        <v>50</v>
      </c>
      <c r="V522" s="21" t="s">
        <v>50</v>
      </c>
      <c r="W522" s="18">
        <v>0.8111378651377914</v>
      </c>
      <c r="Y522" s="92">
        <v>3.6138480226751248</v>
      </c>
      <c r="Z522" s="20">
        <v>-9.6552400469477622</v>
      </c>
      <c r="AA522" s="10">
        <v>-61.881200710278478</v>
      </c>
      <c r="AB522" s="17">
        <v>1.0394021106977787</v>
      </c>
      <c r="AC522" s="18">
        <v>0.14995937661808131</v>
      </c>
      <c r="AD522" s="21">
        <v>0.1973463425429062</v>
      </c>
      <c r="AE522" s="21">
        <v>0.50462471373382656</v>
      </c>
      <c r="AF522" s="21">
        <v>6.34113923264382E-3</v>
      </c>
      <c r="AG522" s="21"/>
      <c r="AH522" s="21">
        <v>0.96571398584473711</v>
      </c>
    </row>
    <row r="523" spans="1:34">
      <c r="A523" s="13" t="s">
        <v>77</v>
      </c>
      <c r="B523" s="13" t="s">
        <v>76</v>
      </c>
      <c r="C523" s="13">
        <v>174</v>
      </c>
      <c r="E523" s="14">
        <v>45832</v>
      </c>
      <c r="K523"/>
      <c r="L523">
        <v>5.6</v>
      </c>
      <c r="M523">
        <v>22</v>
      </c>
      <c r="N523">
        <v>10.56</v>
      </c>
      <c r="Y523" s="92"/>
      <c r="AC523" s="18"/>
      <c r="AD523" s="21"/>
      <c r="AE523" s="21"/>
      <c r="AF523" s="21"/>
      <c r="AG523" s="21"/>
      <c r="AH523" s="21"/>
    </row>
    <row r="524" spans="1:34">
      <c r="A524" s="13" t="s">
        <v>78</v>
      </c>
      <c r="B524" s="13" t="s">
        <v>76</v>
      </c>
      <c r="C524" s="13">
        <v>174</v>
      </c>
      <c r="E524" s="14">
        <v>45832</v>
      </c>
      <c r="K524"/>
      <c r="L524">
        <v>4.2699999999999996</v>
      </c>
      <c r="M524">
        <v>17.399999999999999</v>
      </c>
      <c r="N524">
        <v>50.35</v>
      </c>
      <c r="Y524" s="92"/>
      <c r="AC524" s="18"/>
      <c r="AD524" s="21"/>
      <c r="AE524" s="21"/>
      <c r="AF524" s="21"/>
      <c r="AG524" s="21"/>
      <c r="AH524" s="21"/>
    </row>
    <row r="525" spans="1:34">
      <c r="A525" s="13" t="s">
        <v>75</v>
      </c>
      <c r="B525" s="13" t="s">
        <v>76</v>
      </c>
      <c r="C525" s="13">
        <v>174</v>
      </c>
      <c r="E525" s="14">
        <v>45839</v>
      </c>
      <c r="K525"/>
      <c r="L525">
        <v>6.27</v>
      </c>
      <c r="M525">
        <v>17.899999999999999</v>
      </c>
      <c r="N525">
        <v>63.32</v>
      </c>
      <c r="P525" s="18">
        <v>7.4716527000000005E-2</v>
      </c>
      <c r="Q525" s="18">
        <v>0.72790168899999996</v>
      </c>
      <c r="R525" s="21" t="s">
        <v>50</v>
      </c>
      <c r="S525" s="21">
        <v>18.973176299999999</v>
      </c>
      <c r="T525" s="21">
        <v>1.071230457</v>
      </c>
      <c r="U525" s="21" t="s">
        <v>50</v>
      </c>
      <c r="V525" s="21" t="s">
        <v>50</v>
      </c>
      <c r="W525" s="18">
        <v>0.95504388506169868</v>
      </c>
      <c r="Y525" s="92">
        <v>4.9008810572687249</v>
      </c>
      <c r="Z525" s="20">
        <v>-9.7161691651377229</v>
      </c>
      <c r="AA525" s="10">
        <v>-62.849772717793613</v>
      </c>
      <c r="AB525" s="17">
        <v>1.3161139445044985</v>
      </c>
      <c r="AC525" s="18">
        <v>0.16442501035941487</v>
      </c>
      <c r="AD525" s="21">
        <v>0.22095363068968757</v>
      </c>
      <c r="AE525" s="21">
        <v>0.5734059113855845</v>
      </c>
      <c r="AF525" s="21">
        <v>7.4032952152259628E-3</v>
      </c>
      <c r="AG525" s="21"/>
      <c r="AH525" s="21">
        <v>1.1629780627133257</v>
      </c>
    </row>
    <row r="526" spans="1:34">
      <c r="A526" s="13" t="s">
        <v>77</v>
      </c>
      <c r="B526" s="13" t="s">
        <v>76</v>
      </c>
      <c r="C526" s="13">
        <v>174</v>
      </c>
      <c r="E526" s="14">
        <v>45839</v>
      </c>
      <c r="K526"/>
      <c r="L526">
        <v>6.4</v>
      </c>
      <c r="M526">
        <v>17.899999999999999</v>
      </c>
      <c r="N526">
        <v>64.8</v>
      </c>
      <c r="AC526" s="18"/>
      <c r="AD526" s="21"/>
      <c r="AE526" s="21"/>
      <c r="AF526" s="21"/>
      <c r="AG526" s="21"/>
      <c r="AH526" s="21"/>
    </row>
    <row r="527" spans="1:34">
      <c r="A527" s="13" t="s">
        <v>78</v>
      </c>
      <c r="B527" s="13" t="s">
        <v>76</v>
      </c>
      <c r="C527" s="13">
        <v>174</v>
      </c>
      <c r="E527" s="14">
        <v>45839</v>
      </c>
      <c r="P527" s="18">
        <v>7.1104577000000002E-2</v>
      </c>
      <c r="Q527" s="18">
        <v>2.5548271659999999</v>
      </c>
      <c r="R527" s="21" t="s">
        <v>50</v>
      </c>
      <c r="S527" s="21">
        <v>13.59461299</v>
      </c>
      <c r="T527" s="21">
        <v>0.93840801100000004</v>
      </c>
      <c r="U527" s="21" t="s">
        <v>50</v>
      </c>
      <c r="V527" s="21" t="s">
        <v>50</v>
      </c>
      <c r="W527" s="18">
        <v>0.63823391499856352</v>
      </c>
      <c r="Y527" s="92">
        <v>3.4801762114537458</v>
      </c>
      <c r="Z527" s="20">
        <v>-6.7616118703680739</v>
      </c>
      <c r="AA527" s="10">
        <v>-35.389266451496248</v>
      </c>
      <c r="AB527" s="17">
        <v>2.3677943826429453</v>
      </c>
      <c r="AC527" s="18">
        <v>0.14845825047814368</v>
      </c>
      <c r="AD527" s="21">
        <v>0.18120843206676202</v>
      </c>
      <c r="AE527" s="21">
        <v>0.19916881753194005</v>
      </c>
      <c r="AF527" s="21">
        <v>3.9564007950867851E-3</v>
      </c>
      <c r="AG527" s="21"/>
      <c r="AH527" s="21">
        <v>1.6899618505663587</v>
      </c>
    </row>
    <row r="528" spans="1:34">
      <c r="A528" s="13" t="s">
        <v>75</v>
      </c>
      <c r="B528" s="13" t="s">
        <v>76</v>
      </c>
      <c r="C528" s="13">
        <v>175</v>
      </c>
      <c r="E528" s="14">
        <v>45846</v>
      </c>
      <c r="Y528" s="92"/>
      <c r="AC528" s="18"/>
      <c r="AD528" s="21"/>
      <c r="AE528" s="21"/>
      <c r="AF528" s="21"/>
      <c r="AG528" s="21"/>
      <c r="AH528" s="21"/>
    </row>
    <row r="529" spans="1:34">
      <c r="A529" s="13" t="s">
        <v>77</v>
      </c>
      <c r="B529" s="13" t="s">
        <v>76</v>
      </c>
      <c r="C529" s="13">
        <v>175</v>
      </c>
      <c r="E529" s="14">
        <v>45846</v>
      </c>
      <c r="Y529" s="92"/>
      <c r="AC529" s="18"/>
      <c r="AD529" s="21"/>
      <c r="AE529" s="21"/>
      <c r="AF529" s="21"/>
      <c r="AG529" s="21"/>
      <c r="AH529" s="21"/>
    </row>
    <row r="530" spans="1:34">
      <c r="A530" s="13" t="s">
        <v>78</v>
      </c>
      <c r="B530" s="13" t="s">
        <v>76</v>
      </c>
      <c r="C530" s="13">
        <v>175</v>
      </c>
      <c r="E530" s="14">
        <v>45846</v>
      </c>
      <c r="H530" s="16">
        <v>24.6</v>
      </c>
      <c r="I530" s="16">
        <v>4.5599999999999996</v>
      </c>
      <c r="J530" s="16">
        <v>47.75</v>
      </c>
      <c r="P530" s="18">
        <v>6.7654836999999995E-2</v>
      </c>
      <c r="Q530" s="18">
        <v>2.2282319350000002</v>
      </c>
      <c r="R530" s="21" t="s">
        <v>50</v>
      </c>
      <c r="S530" s="21">
        <v>15.505380649999999</v>
      </c>
      <c r="T530" s="21">
        <v>0.77383308299999998</v>
      </c>
      <c r="U530" s="21">
        <v>4.0735225999999999E-2</v>
      </c>
      <c r="V530" s="21" t="s">
        <v>50</v>
      </c>
      <c r="W530" s="18">
        <v>0.65728217183299886</v>
      </c>
      <c r="Y530" s="92">
        <v>3.1883259911894286</v>
      </c>
      <c r="Z530" s="20">
        <v>-6.9316074763676943</v>
      </c>
      <c r="AA530" s="10">
        <v>-37.360559911658392</v>
      </c>
      <c r="AB530" s="17">
        <v>2.1573880420772795</v>
      </c>
      <c r="AC530" s="18">
        <v>0.13315396907211735</v>
      </c>
      <c r="AD530" s="21">
        <v>0.14096707335921974</v>
      </c>
      <c r="AE530" s="21">
        <v>0.16504941828115011</v>
      </c>
      <c r="AF530" s="21">
        <v>3.6670809683192985E-3</v>
      </c>
      <c r="AG530" s="21"/>
      <c r="AH530" s="21">
        <v>1.8488605665316931</v>
      </c>
    </row>
    <row r="531" spans="1:34">
      <c r="A531" s="13" t="s">
        <v>75</v>
      </c>
      <c r="B531" s="13" t="s">
        <v>76</v>
      </c>
      <c r="C531" s="13">
        <v>176</v>
      </c>
      <c r="E531" s="14">
        <v>45853</v>
      </c>
      <c r="H531" s="16">
        <v>19.600000000000001</v>
      </c>
      <c r="I531" s="16">
        <v>4.4800000000000004</v>
      </c>
      <c r="J531" s="16">
        <v>65.72</v>
      </c>
      <c r="P531" s="18">
        <v>6.8900676999999994E-2</v>
      </c>
      <c r="Q531" s="18">
        <v>0.90691271399999995</v>
      </c>
      <c r="R531" s="21" t="s">
        <v>50</v>
      </c>
      <c r="S531" s="21">
        <v>24.360332509999999</v>
      </c>
      <c r="T531" s="21">
        <v>1.161354902</v>
      </c>
      <c r="U531" s="21">
        <v>5.9930637000000002E-2</v>
      </c>
      <c r="V531" s="21">
        <v>1.5810833999999999E-2</v>
      </c>
      <c r="W531" s="18">
        <v>0.97248998807722598</v>
      </c>
      <c r="Y531" s="92">
        <v>6.3546255506607947</v>
      </c>
      <c r="Z531" s="20">
        <v>-9.3435253317880598</v>
      </c>
      <c r="AA531" s="10">
        <v>-60.409091786308906</v>
      </c>
      <c r="AB531" s="17">
        <v>1.3174021800833666</v>
      </c>
      <c r="AC531" s="18">
        <v>0.1700936671440002</v>
      </c>
      <c r="AD531" s="21">
        <v>0.1474164007215106</v>
      </c>
      <c r="AE531" s="21">
        <v>0.56677533906249944</v>
      </c>
      <c r="AF531" s="21">
        <v>7.8990550725786517E-3</v>
      </c>
      <c r="AG531" s="21"/>
      <c r="AH531" s="21">
        <v>1.2132290725205224</v>
      </c>
    </row>
    <row r="532" spans="1:34">
      <c r="A532" s="13" t="s">
        <v>77</v>
      </c>
      <c r="B532" s="13" t="s">
        <v>76</v>
      </c>
      <c r="C532" s="13">
        <v>176</v>
      </c>
      <c r="E532" s="14">
        <v>45853</v>
      </c>
      <c r="AC532" s="18"/>
      <c r="AD532" s="21"/>
      <c r="AE532" s="21"/>
      <c r="AF532" s="21"/>
      <c r="AG532" s="21"/>
      <c r="AH532" s="21"/>
    </row>
    <row r="533" spans="1:34">
      <c r="A533" s="13" t="s">
        <v>78</v>
      </c>
      <c r="B533" s="13" t="s">
        <v>76</v>
      </c>
      <c r="C533" s="13">
        <v>176</v>
      </c>
      <c r="E533" s="14">
        <v>45853</v>
      </c>
      <c r="G533"/>
      <c r="H533" s="16">
        <v>18.600000000000001</v>
      </c>
      <c r="I533" s="16">
        <v>4.51</v>
      </c>
      <c r="J533" s="16">
        <v>50.93</v>
      </c>
      <c r="P533" s="18">
        <v>6.1143363999999999E-2</v>
      </c>
      <c r="Q533" s="18">
        <v>2.3026381140000001</v>
      </c>
      <c r="R533" s="21" t="s">
        <v>50</v>
      </c>
      <c r="S533" s="21">
        <v>14.04864428</v>
      </c>
      <c r="T533" s="21">
        <v>0.91901258600000002</v>
      </c>
      <c r="U533" s="21">
        <v>0.51146534600000004</v>
      </c>
      <c r="V533" s="21">
        <v>1.5810833999999999E-2</v>
      </c>
      <c r="W533" s="18">
        <v>0.56157029649403145</v>
      </c>
      <c r="Y533" s="92">
        <v>3.9482378854625564</v>
      </c>
      <c r="Z533" s="20">
        <v>-7.0908310835712998</v>
      </c>
      <c r="AA533" s="10">
        <v>-39.262215287630013</v>
      </c>
      <c r="AB533" s="17">
        <v>2.296045794990091</v>
      </c>
      <c r="AC533" s="18">
        <v>0.14408586323114533</v>
      </c>
      <c r="AD533" s="21">
        <v>0.12275287867828098</v>
      </c>
      <c r="AE533" s="21">
        <v>0.17533166411650736</v>
      </c>
      <c r="AF533" s="21">
        <v>3.8823029090537999E-3</v>
      </c>
      <c r="AG533" s="21"/>
      <c r="AH533" s="21">
        <v>1.5522441881528526</v>
      </c>
    </row>
    <row r="534" spans="1:34">
      <c r="A534" s="13" t="s">
        <v>75</v>
      </c>
      <c r="B534" s="13" t="s">
        <v>76</v>
      </c>
      <c r="C534" s="13">
        <v>179</v>
      </c>
      <c r="E534" s="14">
        <v>45860</v>
      </c>
      <c r="G534"/>
      <c r="H534" s="16">
        <v>20</v>
      </c>
      <c r="I534" s="16">
        <v>4.47</v>
      </c>
      <c r="J534" s="16">
        <v>63.43</v>
      </c>
      <c r="P534" s="18">
        <v>6.7516389999999996E-2</v>
      </c>
      <c r="Q534" s="18">
        <v>0.93317179100000003</v>
      </c>
      <c r="R534" s="21" t="s">
        <v>50</v>
      </c>
      <c r="S534" s="21">
        <v>23.38343265</v>
      </c>
      <c r="T534" s="21">
        <v>1.0607056319999999</v>
      </c>
      <c r="U534" s="21" t="s">
        <v>50</v>
      </c>
      <c r="V534" s="21">
        <v>2.4410457999999999E-2</v>
      </c>
      <c r="W534" s="18">
        <v>0.93068524444981193</v>
      </c>
      <c r="Y534" s="92">
        <v>3.4030837004405297</v>
      </c>
      <c r="Z534" s="20">
        <v>-10.021824630974667</v>
      </c>
      <c r="AA534" s="10">
        <v>-65.55862723310814</v>
      </c>
      <c r="AB534" s="17">
        <v>1.3787383623277458</v>
      </c>
      <c r="AC534" s="18">
        <v>0.16222986547578375</v>
      </c>
      <c r="AD534" s="21">
        <v>0.23718488877956198</v>
      </c>
      <c r="AE534" s="21">
        <v>0.62838365907746707</v>
      </c>
      <c r="AF534" s="21">
        <v>8.5529259610889283E-3</v>
      </c>
      <c r="AG534" s="21"/>
      <c r="AH534" s="21">
        <v>1.1880600656084002</v>
      </c>
    </row>
    <row r="535" spans="1:34">
      <c r="A535" s="13" t="s">
        <v>77</v>
      </c>
      <c r="B535" s="13" t="s">
        <v>76</v>
      </c>
      <c r="C535" s="13">
        <v>179</v>
      </c>
      <c r="E535" s="14">
        <v>45860</v>
      </c>
      <c r="G535"/>
      <c r="H535"/>
      <c r="I535"/>
      <c r="J535"/>
      <c r="Y535" s="92"/>
      <c r="AC535" s="18"/>
      <c r="AD535" s="21"/>
      <c r="AE535" s="21"/>
      <c r="AF535" s="21"/>
      <c r="AG535" s="21"/>
      <c r="AH535" s="21"/>
    </row>
    <row r="536" spans="1:34">
      <c r="A536" s="13" t="s">
        <v>78</v>
      </c>
      <c r="B536" s="13" t="s">
        <v>76</v>
      </c>
      <c r="C536" s="13">
        <v>179</v>
      </c>
      <c r="E536" s="14">
        <v>45860</v>
      </c>
      <c r="G536"/>
      <c r="H536" s="16">
        <v>19.3</v>
      </c>
      <c r="I536" s="16">
        <v>4.47</v>
      </c>
      <c r="J536" s="16">
        <v>46.74</v>
      </c>
      <c r="P536" s="18">
        <v>6.1767197000000003E-2</v>
      </c>
      <c r="Q536" s="18">
        <v>2.0389708849999999</v>
      </c>
      <c r="R536" s="21" t="s">
        <v>50</v>
      </c>
      <c r="S536" s="21">
        <v>13.547504480000001</v>
      </c>
      <c r="T536" s="21">
        <v>0.71657370300000001</v>
      </c>
      <c r="U536" s="21" t="s">
        <v>50</v>
      </c>
      <c r="V536" s="21">
        <v>4.3955057999999998E-2</v>
      </c>
      <c r="W536" s="18">
        <v>0.58753576668426422</v>
      </c>
      <c r="Y536" s="92">
        <v>3.3535242290748908</v>
      </c>
      <c r="Z536" s="20">
        <v>-7.3887441752736072</v>
      </c>
      <c r="AA536" s="10">
        <v>-42.383206733898952</v>
      </c>
      <c r="AB536" s="17">
        <v>2.1522156226848219</v>
      </c>
      <c r="AC536" s="18">
        <v>0.12356459458091532</v>
      </c>
      <c r="AD536" s="21">
        <v>0.13934560190545814</v>
      </c>
      <c r="AE536" s="21">
        <v>0.15461914842890417</v>
      </c>
      <c r="AF536" s="21">
        <v>3.6496702537640547E-3</v>
      </c>
      <c r="AG536" s="21"/>
      <c r="AH536" s="21">
        <v>1.5019223038841263</v>
      </c>
    </row>
    <row r="537" spans="1:34">
      <c r="A537" s="13" t="s">
        <v>75</v>
      </c>
      <c r="B537" s="13" t="s">
        <v>76</v>
      </c>
      <c r="C537" s="13">
        <v>180</v>
      </c>
      <c r="E537" s="14">
        <v>45867</v>
      </c>
      <c r="G537"/>
      <c r="H537" s="16">
        <v>20.3</v>
      </c>
      <c r="I537" s="16">
        <v>4.5599999999999996</v>
      </c>
      <c r="J537" s="16">
        <v>46.61</v>
      </c>
      <c r="P537" s="18">
        <v>5.9132667999999999E-2</v>
      </c>
      <c r="Q537" s="18">
        <v>1.1212110710000001</v>
      </c>
      <c r="R537" s="21" t="s">
        <v>50</v>
      </c>
      <c r="S537" s="21">
        <v>15.1872402</v>
      </c>
      <c r="T537" s="21">
        <v>0.74555449500000004</v>
      </c>
      <c r="U537" s="21">
        <v>0.44389026599999998</v>
      </c>
      <c r="V537" s="21">
        <v>4.4736841999999999E-2</v>
      </c>
      <c r="W537" s="18">
        <v>1.1594843668255388</v>
      </c>
      <c r="Y537" s="92">
        <v>3.8436123348017635</v>
      </c>
      <c r="Z537" s="20">
        <v>-11.28450486484512</v>
      </c>
      <c r="AA537" s="10">
        <v>-76.049872455193878</v>
      </c>
      <c r="AB537" s="17">
        <v>0.8240889477634219</v>
      </c>
      <c r="AC537" s="18">
        <v>0.11676946661926532</v>
      </c>
      <c r="AD537" s="21">
        <v>0.12640505087655191</v>
      </c>
      <c r="AE537" s="21">
        <v>0.4372651279559121</v>
      </c>
      <c r="AF537" s="21">
        <v>5.4746250994618176E-3</v>
      </c>
      <c r="AG537" s="21"/>
      <c r="AH537" s="21">
        <v>1.0465584569819983</v>
      </c>
    </row>
    <row r="538" spans="1:34">
      <c r="A538" s="13" t="s">
        <v>77</v>
      </c>
      <c r="B538" s="13" t="s">
        <v>76</v>
      </c>
      <c r="C538" s="13">
        <v>180</v>
      </c>
      <c r="E538" s="14">
        <v>45867</v>
      </c>
      <c r="G538"/>
      <c r="H538"/>
      <c r="I538"/>
      <c r="J538"/>
      <c r="AC538" s="18"/>
      <c r="AD538" s="21"/>
      <c r="AE538" s="21"/>
      <c r="AF538" s="21"/>
      <c r="AG538" s="21"/>
      <c r="AH538" s="21"/>
    </row>
    <row r="539" spans="1:34">
      <c r="A539" s="13" t="s">
        <v>78</v>
      </c>
      <c r="B539" s="13" t="s">
        <v>76</v>
      </c>
      <c r="C539" s="13">
        <v>180</v>
      </c>
      <c r="E539" s="14">
        <v>45867</v>
      </c>
      <c r="H539" s="16">
        <v>20.399999999999999</v>
      </c>
      <c r="I539" s="16">
        <v>4.5599999999999996</v>
      </c>
      <c r="J539" s="16">
        <v>45.14</v>
      </c>
      <c r="P539" s="18">
        <v>5.7676104999999998E-2</v>
      </c>
      <c r="Q539" s="18">
        <v>1.8918706329999999</v>
      </c>
      <c r="R539" s="21" t="s">
        <v>50</v>
      </c>
      <c r="S539" s="21">
        <v>12.233938139999999</v>
      </c>
      <c r="T539" s="21">
        <v>0.72364863499999998</v>
      </c>
      <c r="U539" s="21">
        <v>0.70702051300000002</v>
      </c>
      <c r="V539" s="21">
        <v>9.3989234000000005E-2</v>
      </c>
      <c r="W539" s="18">
        <v>0.56706021677002871</v>
      </c>
      <c r="Y539" s="92">
        <v>3.3039647577092524</v>
      </c>
      <c r="Z539" s="20">
        <v>-9.1476096036855274</v>
      </c>
      <c r="AA539" s="10">
        <v>-57.300822682344005</v>
      </c>
      <c r="AB539" s="17">
        <v>2.0752543030681565</v>
      </c>
      <c r="AC539" s="18">
        <v>0.11911947093300339</v>
      </c>
      <c r="AD539" s="21">
        <v>9.3512762856801115E-2</v>
      </c>
      <c r="AE539" s="21">
        <v>0.15100018656984185</v>
      </c>
      <c r="AF539" s="21">
        <v>3.0546465711794629E-3</v>
      </c>
      <c r="AG539" s="21"/>
      <c r="AH539" s="21">
        <v>1.337170635266105</v>
      </c>
    </row>
    <row r="540" spans="1:34">
      <c r="A540" s="13" t="s">
        <v>75</v>
      </c>
      <c r="B540" s="13" t="s">
        <v>76</v>
      </c>
      <c r="C540" s="13">
        <v>181</v>
      </c>
      <c r="E540" s="14">
        <v>45874</v>
      </c>
      <c r="H540" s="16">
        <v>21.4</v>
      </c>
      <c r="I540" s="16">
        <v>4.53</v>
      </c>
      <c r="J540" s="16">
        <v>52.69</v>
      </c>
      <c r="P540" s="18">
        <v>0.111677757</v>
      </c>
      <c r="Q540" s="18">
        <v>1.1287024619999999</v>
      </c>
      <c r="R540" s="21" t="s">
        <v>50</v>
      </c>
      <c r="S540" s="21">
        <v>16.99903188</v>
      </c>
      <c r="T540" s="21">
        <v>0.800924517</v>
      </c>
      <c r="U540" s="21" t="s">
        <v>50</v>
      </c>
      <c r="V540" s="21">
        <v>5.0209330000000003E-2</v>
      </c>
      <c r="W540" s="18">
        <v>1.4749110356334036</v>
      </c>
      <c r="Y540" s="92">
        <v>4.58149779735683</v>
      </c>
      <c r="Z540" s="20">
        <v>-10.408606712744103</v>
      </c>
      <c r="AA540" s="10">
        <v>-70.365663833143472</v>
      </c>
      <c r="AB540" s="17">
        <v>0.9734238679650854</v>
      </c>
      <c r="AC540" s="18">
        <v>0.16224924561947429</v>
      </c>
      <c r="AD540" s="21">
        <v>0.48962010480620455</v>
      </c>
      <c r="AE540" s="21">
        <v>0.52502191234829143</v>
      </c>
      <c r="AF540" s="21">
        <v>6.5091792950977842E-3</v>
      </c>
      <c r="AG540" s="21"/>
      <c r="AH540" s="21">
        <v>1.1391527777731711</v>
      </c>
    </row>
    <row r="541" spans="1:34">
      <c r="A541" s="13" t="s">
        <v>77</v>
      </c>
      <c r="B541" s="13" t="s">
        <v>76</v>
      </c>
      <c r="C541" s="13">
        <v>181</v>
      </c>
      <c r="E541" s="14">
        <v>45874</v>
      </c>
      <c r="AC541" s="18"/>
      <c r="AD541" s="21"/>
      <c r="AE541" s="21"/>
      <c r="AF541" s="21"/>
      <c r="AG541" s="21"/>
      <c r="AH541" s="21"/>
    </row>
    <row r="542" spans="1:34">
      <c r="A542" s="13" t="s">
        <v>78</v>
      </c>
      <c r="B542" s="13" t="s">
        <v>76</v>
      </c>
      <c r="C542" s="13">
        <v>181</v>
      </c>
      <c r="E542" s="14">
        <v>45874</v>
      </c>
      <c r="H542" s="16">
        <v>21.1</v>
      </c>
      <c r="I542" s="16">
        <v>4.55</v>
      </c>
      <c r="J542" s="16">
        <v>45.15</v>
      </c>
      <c r="P542" s="18">
        <v>4.2598362000000001E-2</v>
      </c>
      <c r="Q542" s="18">
        <v>1.2576895669999999</v>
      </c>
      <c r="R542" s="21" t="s">
        <v>50</v>
      </c>
      <c r="S542" s="21">
        <v>8.8721467559999994</v>
      </c>
      <c r="T542" s="21">
        <v>0.34785992100000002</v>
      </c>
      <c r="U542" s="21" t="s">
        <v>50</v>
      </c>
      <c r="V542" s="21">
        <v>1.8156186000000001E-2</v>
      </c>
      <c r="W542" s="18">
        <v>1.0983557818292267</v>
      </c>
      <c r="Y542" s="92">
        <v>3.3425110132158604</v>
      </c>
      <c r="Z542" s="20">
        <v>-10.060873126610224</v>
      </c>
      <c r="AA542" s="10">
        <v>-65.573693164783975</v>
      </c>
      <c r="AB542" s="17">
        <v>2.0890051958396643</v>
      </c>
      <c r="AC542" s="18">
        <v>0.12038348470128385</v>
      </c>
      <c r="AD542" s="21">
        <v>0.23244870848123603</v>
      </c>
      <c r="AE542" s="21">
        <v>0.14280593155011403</v>
      </c>
      <c r="AF542" s="21">
        <v>3.0992966198713271E-3</v>
      </c>
      <c r="AG542" s="21"/>
      <c r="AH542" s="21">
        <v>1.3983491936363224</v>
      </c>
    </row>
    <row r="543" spans="1:34">
      <c r="A543" s="13" t="s">
        <v>75</v>
      </c>
      <c r="B543" s="13" t="s">
        <v>76</v>
      </c>
      <c r="C543" s="13">
        <v>182</v>
      </c>
      <c r="E543" s="14">
        <v>45881</v>
      </c>
      <c r="H543" s="16">
        <v>22.7</v>
      </c>
      <c r="I543" s="16">
        <v>4.55</v>
      </c>
      <c r="J543" s="16">
        <v>51.54</v>
      </c>
      <c r="P543" s="18">
        <v>6.3776758000000003E-2</v>
      </c>
      <c r="Q543" s="18">
        <v>1.0938959370000001</v>
      </c>
      <c r="R543" s="21" t="s">
        <v>50</v>
      </c>
      <c r="S543" s="21">
        <v>17.262310670000002</v>
      </c>
      <c r="T543" s="21">
        <v>0.78615873000000003</v>
      </c>
      <c r="U543" s="21">
        <v>5.2419388999999997E-2</v>
      </c>
      <c r="V543" s="21">
        <v>2.4410457999999999E-2</v>
      </c>
      <c r="W543" s="18">
        <v>0.95084250560426176</v>
      </c>
      <c r="Y543" s="92">
        <v>1.6951387178855781</v>
      </c>
      <c r="Z543" s="20">
        <v>-10.36922159214617</v>
      </c>
      <c r="AA543" s="10">
        <v>-70.255180334187386</v>
      </c>
      <c r="AB543" s="17">
        <v>0.97569378102981508</v>
      </c>
      <c r="AC543" s="18">
        <v>0.16703462250013201</v>
      </c>
      <c r="AD543" s="21">
        <v>0.18439099519698796</v>
      </c>
      <c r="AE543" s="21">
        <v>0.49506760415274725</v>
      </c>
      <c r="AF543" s="21">
        <v>6.3883492274131775E-3</v>
      </c>
      <c r="AG543" s="21"/>
      <c r="AH543" s="21">
        <v>1.1845460549902358</v>
      </c>
    </row>
    <row r="544" spans="1:34">
      <c r="A544" s="13" t="s">
        <v>77</v>
      </c>
      <c r="B544" s="13" t="s">
        <v>76</v>
      </c>
      <c r="C544" s="13">
        <v>182</v>
      </c>
      <c r="E544" s="14">
        <v>45881</v>
      </c>
      <c r="Y544" s="92"/>
      <c r="AC544" s="18"/>
      <c r="AD544" s="21"/>
      <c r="AE544" s="21"/>
      <c r="AF544" s="21"/>
      <c r="AG544" s="21"/>
      <c r="AH544" s="21"/>
    </row>
    <row r="545" spans="1:34">
      <c r="A545" s="13" t="s">
        <v>193</v>
      </c>
      <c r="B545" s="13" t="s">
        <v>76</v>
      </c>
      <c r="C545" s="13">
        <v>182</v>
      </c>
      <c r="E545" s="14">
        <v>45881</v>
      </c>
      <c r="H545" s="16">
        <v>21.6</v>
      </c>
      <c r="I545" s="16">
        <v>4.5199999999999996</v>
      </c>
      <c r="J545" s="16">
        <v>50.27</v>
      </c>
      <c r="W545" s="18">
        <v>0.67322287094875921</v>
      </c>
      <c r="Y545" s="92"/>
      <c r="Z545" s="20">
        <v>-10.143682867354595</v>
      </c>
      <c r="AA545" s="10">
        <v>-66.260699649201882</v>
      </c>
      <c r="AB545" s="17">
        <v>2.1465738269965131</v>
      </c>
      <c r="AC545" s="18">
        <v>0.14191311658139991</v>
      </c>
      <c r="AD545" s="21">
        <v>0.11897139268926912</v>
      </c>
      <c r="AE545" s="21">
        <v>0.15875021923419222</v>
      </c>
      <c r="AF545" s="21">
        <v>3.3384818705631996E-3</v>
      </c>
      <c r="AG545" s="21"/>
      <c r="AH545" s="21">
        <v>1.4836573908579587</v>
      </c>
    </row>
    <row r="546" spans="1:34">
      <c r="A546" s="13" t="s">
        <v>75</v>
      </c>
      <c r="B546" s="13" t="s">
        <v>76</v>
      </c>
      <c r="C546" s="13">
        <v>183</v>
      </c>
      <c r="E546" s="14">
        <v>45888</v>
      </c>
      <c r="H546" s="16">
        <v>20.399999999999999</v>
      </c>
      <c r="I546" s="16">
        <v>4.57</v>
      </c>
      <c r="J546" s="16">
        <v>51.56</v>
      </c>
      <c r="W546" s="18">
        <v>0.90769999757820397</v>
      </c>
      <c r="Y546" s="92">
        <v>3.6766341832421139</v>
      </c>
      <c r="Z546" s="20">
        <v>-10.218013615656623</v>
      </c>
      <c r="AA546" s="10">
        <v>-68.05683990216059</v>
      </c>
      <c r="AB546" s="17">
        <v>1.0016051084996913</v>
      </c>
      <c r="AC546" s="18">
        <v>8.7314749464558597E-2</v>
      </c>
      <c r="AD546" s="21">
        <v>0.13259517121308204</v>
      </c>
      <c r="AE546" s="21">
        <v>0.41195697658781338</v>
      </c>
      <c r="AF546" s="21">
        <v>2.8500617480494554E-3</v>
      </c>
      <c r="AG546" s="21"/>
      <c r="AH546" s="21">
        <v>1.1554830156709581</v>
      </c>
    </row>
    <row r="547" spans="1:34">
      <c r="A547" s="13" t="s">
        <v>77</v>
      </c>
      <c r="B547" s="13" t="s">
        <v>76</v>
      </c>
      <c r="C547" s="13">
        <v>183</v>
      </c>
      <c r="E547" s="14">
        <v>45888</v>
      </c>
      <c r="AC547" s="18"/>
      <c r="AD547" s="21"/>
      <c r="AE547" s="21"/>
      <c r="AF547" s="21"/>
      <c r="AG547" s="21"/>
      <c r="AH547" s="21"/>
    </row>
    <row r="548" spans="1:34">
      <c r="A548" s="13" t="s">
        <v>169</v>
      </c>
      <c r="B548" s="13" t="s">
        <v>76</v>
      </c>
      <c r="C548" s="13">
        <v>183</v>
      </c>
      <c r="E548" s="14">
        <v>45888</v>
      </c>
      <c r="H548" s="16">
        <v>18.8</v>
      </c>
      <c r="I548" s="16">
        <v>4.6100000000000003</v>
      </c>
      <c r="J548" s="16">
        <v>50.46</v>
      </c>
      <c r="W548" s="18">
        <v>0.56813992790881418</v>
      </c>
      <c r="Y548" s="92">
        <v>2.7588661949895439</v>
      </c>
      <c r="Z548" s="20">
        <v>-10.106383874234398</v>
      </c>
      <c r="AA548" s="10">
        <v>-65.055977496930467</v>
      </c>
      <c r="AB548" s="17">
        <v>2.1119501234884184</v>
      </c>
      <c r="AC548" s="18">
        <v>7.3734702199169555E-2</v>
      </c>
      <c r="AD548" s="21">
        <v>0.19580373412139787</v>
      </c>
      <c r="AE548" s="21">
        <v>9.7608790618127411E-2</v>
      </c>
      <c r="AF548" s="18" t="s">
        <v>51</v>
      </c>
      <c r="AG548" s="21"/>
      <c r="AH548" s="21">
        <v>1.4839630914213744</v>
      </c>
    </row>
    <row r="549" spans="1:34">
      <c r="A549" s="13" t="s">
        <v>75</v>
      </c>
      <c r="B549" s="13" t="s">
        <v>76</v>
      </c>
      <c r="C549" s="13">
        <v>184</v>
      </c>
      <c r="E549" s="14">
        <v>45895</v>
      </c>
      <c r="F549"/>
      <c r="G549"/>
      <c r="H549"/>
      <c r="I549"/>
      <c r="Y549" s="92"/>
      <c r="Z549" s="20">
        <v>-9.5090788885936295</v>
      </c>
      <c r="AA549" s="10">
        <v>-63.064919396371181</v>
      </c>
      <c r="AB549" s="17">
        <v>1.1595169789583559</v>
      </c>
      <c r="AC549" s="18">
        <v>0.16978668930165949</v>
      </c>
      <c r="AD549" s="21">
        <v>0.18616318413163199</v>
      </c>
      <c r="AE549" s="21">
        <v>0.69370066493967042</v>
      </c>
      <c r="AF549" s="21">
        <v>5.335102104664158E-3</v>
      </c>
      <c r="AG549" s="21"/>
      <c r="AH549" s="21">
        <v>1.4262192384474603</v>
      </c>
    </row>
    <row r="550" spans="1:34">
      <c r="A550" s="13" t="s">
        <v>77</v>
      </c>
      <c r="B550" s="13" t="s">
        <v>76</v>
      </c>
      <c r="C550" s="13">
        <v>184</v>
      </c>
      <c r="E550" s="14">
        <v>45895</v>
      </c>
      <c r="F550"/>
      <c r="G550"/>
      <c r="H550"/>
      <c r="I550"/>
      <c r="Y550" s="92"/>
      <c r="AC550" s="18"/>
      <c r="AD550" s="21"/>
      <c r="AE550" s="21"/>
      <c r="AF550" s="21"/>
      <c r="AG550" s="21"/>
      <c r="AH550" s="21"/>
    </row>
    <row r="551" spans="1:34">
      <c r="A551" s="13" t="s">
        <v>169</v>
      </c>
      <c r="B551" s="13" t="s">
        <v>76</v>
      </c>
      <c r="C551" s="13">
        <v>184</v>
      </c>
      <c r="E551" s="14">
        <v>45895</v>
      </c>
      <c r="F551"/>
      <c r="G551"/>
      <c r="H551"/>
      <c r="I551"/>
      <c r="Y551" s="92"/>
      <c r="Z551" s="20">
        <v>-10.116688158057986</v>
      </c>
      <c r="AA551" s="10">
        <v>-65.576684395198967</v>
      </c>
      <c r="AB551" s="17">
        <v>2.1922472183774953</v>
      </c>
      <c r="AC551" s="18">
        <v>0.14203041278683773</v>
      </c>
      <c r="AD551" s="21">
        <v>0.15755485012498333</v>
      </c>
      <c r="AE551" s="21">
        <v>0.30030263236522015</v>
      </c>
      <c r="AF551" s="21">
        <v>1.0963623690215388E-3</v>
      </c>
      <c r="AG551" s="21"/>
      <c r="AH551" s="21">
        <v>1.9462616277686002</v>
      </c>
    </row>
    <row r="552" spans="1:34">
      <c r="A552" s="13" t="s">
        <v>75</v>
      </c>
      <c r="B552" s="13" t="s">
        <v>76</v>
      </c>
      <c r="C552" s="13">
        <v>185</v>
      </c>
      <c r="E552" s="14">
        <v>45902</v>
      </c>
      <c r="Y552" s="92">
        <v>4.7557068482178639</v>
      </c>
      <c r="Z552" s="20">
        <v>-9.5719350199175288</v>
      </c>
      <c r="AA552" s="10">
        <v>-62.963633067595708</v>
      </c>
      <c r="AB552" s="17">
        <v>1.1724067150446169</v>
      </c>
      <c r="AC552" s="18">
        <v>0.1621744843114245</v>
      </c>
      <c r="AD552" s="21">
        <v>0.23006813976303478</v>
      </c>
      <c r="AE552" s="21">
        <v>0.63653330039479616</v>
      </c>
      <c r="AF552" s="21">
        <v>4.9450385414365828E-3</v>
      </c>
      <c r="AG552" s="21"/>
      <c r="AH552" s="21">
        <v>1.6560209627330384</v>
      </c>
    </row>
    <row r="553" spans="1:34">
      <c r="A553" s="13" t="s">
        <v>77</v>
      </c>
      <c r="B553" s="13" t="s">
        <v>76</v>
      </c>
      <c r="C553" s="13">
        <v>185</v>
      </c>
      <c r="E553" s="14">
        <v>45902</v>
      </c>
      <c r="Y553" s="92"/>
      <c r="AC553" s="18"/>
      <c r="AD553" s="21"/>
      <c r="AE553" s="21"/>
      <c r="AF553" s="21"/>
      <c r="AG553" s="21"/>
      <c r="AH553" s="21"/>
    </row>
    <row r="554" spans="1:34">
      <c r="A554" s="13" t="s">
        <v>169</v>
      </c>
      <c r="B554" s="13" t="s">
        <v>76</v>
      </c>
      <c r="C554" s="13">
        <v>185</v>
      </c>
      <c r="E554" s="14">
        <v>45902</v>
      </c>
      <c r="Y554" s="92"/>
      <c r="AC554" s="18"/>
      <c r="AD554" s="21"/>
      <c r="AE554" s="21"/>
      <c r="AF554" s="21"/>
      <c r="AG554" s="21"/>
      <c r="AH554" s="21"/>
    </row>
    <row r="555" spans="1:34">
      <c r="A555" s="13" t="s">
        <v>75</v>
      </c>
      <c r="B555" s="13" t="s">
        <v>76</v>
      </c>
      <c r="C555" s="13">
        <v>186</v>
      </c>
      <c r="E555" s="14">
        <v>45909</v>
      </c>
      <c r="H555" s="16">
        <v>20</v>
      </c>
      <c r="I555" s="16">
        <v>4.5</v>
      </c>
      <c r="J555" s="16">
        <v>55.28</v>
      </c>
      <c r="W555" s="18">
        <v>1.6217795031515494</v>
      </c>
      <c r="Y555" s="92">
        <v>4.8558269923908712</v>
      </c>
      <c r="Z555" s="20">
        <v>-8.8860131933938877</v>
      </c>
      <c r="AA555" s="10">
        <v>-57.535977415866213</v>
      </c>
      <c r="AB555" s="17">
        <v>1.1866038970122743</v>
      </c>
      <c r="AC555" s="18">
        <v>9.5074809192843793E-2</v>
      </c>
      <c r="AD555" s="21">
        <v>0.1577816500259365</v>
      </c>
      <c r="AE555" s="21">
        <v>0.54429334991469591</v>
      </c>
      <c r="AF555" s="21">
        <v>3.939794865651337E-3</v>
      </c>
      <c r="AG555" s="21"/>
      <c r="AH555" s="21">
        <v>1.5875497737550159</v>
      </c>
    </row>
    <row r="556" spans="1:34">
      <c r="A556" s="13" t="s">
        <v>77</v>
      </c>
      <c r="B556" s="13" t="s">
        <v>76</v>
      </c>
      <c r="C556" s="13">
        <v>186</v>
      </c>
      <c r="E556" s="14">
        <v>45909</v>
      </c>
      <c r="AC556" s="18"/>
      <c r="AD556" s="21"/>
      <c r="AE556" s="21"/>
      <c r="AF556" s="21"/>
      <c r="AG556" s="21"/>
      <c r="AH556" s="21"/>
    </row>
    <row r="557" spans="1:34">
      <c r="A557" s="13" t="s">
        <v>169</v>
      </c>
      <c r="B557" s="13" t="s">
        <v>76</v>
      </c>
      <c r="C557" s="13">
        <v>186</v>
      </c>
      <c r="E557" s="14">
        <v>45909</v>
      </c>
      <c r="H557" s="16">
        <v>19.3</v>
      </c>
      <c r="I557" s="16">
        <v>4.3899999999999997</v>
      </c>
      <c r="J557" s="16">
        <v>70.86</v>
      </c>
      <c r="W557" s="18">
        <v>1.2283511902384467</v>
      </c>
      <c r="Y557" s="92">
        <v>5.2173719574600659</v>
      </c>
      <c r="Z557" s="20">
        <v>-10.117718586440347</v>
      </c>
      <c r="AA557" s="10">
        <v>-66.279570730459568</v>
      </c>
      <c r="AB557" s="17">
        <v>2.2906809760986606</v>
      </c>
      <c r="AC557" s="18">
        <v>0.16705883433532082</v>
      </c>
      <c r="AD557" s="21">
        <v>0.17158009682701503</v>
      </c>
      <c r="AE557" s="21">
        <v>0.20603398819366964</v>
      </c>
      <c r="AF557" s="21">
        <v>1.4868544364260725E-3</v>
      </c>
      <c r="AG557" s="21"/>
      <c r="AH557" s="21">
        <v>2.131506622143343</v>
      </c>
    </row>
    <row r="558" spans="1:34">
      <c r="A558" s="13" t="s">
        <v>75</v>
      </c>
      <c r="B558" s="13" t="s">
        <v>76</v>
      </c>
      <c r="C558" s="13">
        <v>187</v>
      </c>
      <c r="E558" s="14">
        <v>45916</v>
      </c>
      <c r="H558" s="16">
        <v>22</v>
      </c>
      <c r="I558" s="16">
        <v>4.53</v>
      </c>
      <c r="J558" s="16">
        <v>59.7</v>
      </c>
      <c r="W558" s="18">
        <v>0.9387268020377213</v>
      </c>
      <c r="Y558" s="92">
        <v>4.6615344353818671</v>
      </c>
      <c r="Z558" s="20">
        <v>-8.4996025500092625</v>
      </c>
      <c r="AA558" s="10">
        <v>-54.437227551953761</v>
      </c>
      <c r="AB558" s="17">
        <v>1.1929757526687301</v>
      </c>
      <c r="AC558" s="18">
        <v>9.16319667860091E-2</v>
      </c>
      <c r="AD558" s="21">
        <v>0.14242343345814126</v>
      </c>
      <c r="AE558" s="21">
        <v>0.51848778059973777</v>
      </c>
      <c r="AF558" s="21">
        <v>4.018169881216482E-3</v>
      </c>
      <c r="AG558" s="21"/>
      <c r="AH558" s="21">
        <v>1.5109396970983362</v>
      </c>
    </row>
    <row r="559" spans="1:34">
      <c r="A559" s="13" t="s">
        <v>77</v>
      </c>
      <c r="B559" s="13" t="s">
        <v>76</v>
      </c>
      <c r="C559" s="13">
        <v>187</v>
      </c>
      <c r="E559" s="14">
        <v>45916</v>
      </c>
      <c r="Y559" s="92"/>
      <c r="AC559" s="18"/>
      <c r="AD559" s="21"/>
      <c r="AE559" s="21"/>
      <c r="AF559" s="21"/>
      <c r="AG559" s="21"/>
      <c r="AH559" s="21"/>
    </row>
    <row r="560" spans="1:34">
      <c r="A560" s="13" t="s">
        <v>169</v>
      </c>
      <c r="B560" s="13" t="s">
        <v>76</v>
      </c>
      <c r="C560" s="13">
        <v>187</v>
      </c>
      <c r="E560" s="14">
        <v>45916</v>
      </c>
      <c r="Y560" s="92"/>
      <c r="AC560" s="18"/>
      <c r="AD560" s="21"/>
      <c r="AE560" s="21"/>
      <c r="AF560" s="21"/>
      <c r="AG560" s="21"/>
      <c r="AH560" s="21"/>
    </row>
    <row r="561" spans="1:34">
      <c r="A561" s="13" t="s">
        <v>75</v>
      </c>
      <c r="B561" s="13" t="s">
        <v>76</v>
      </c>
      <c r="C561" s="13">
        <v>188</v>
      </c>
      <c r="E561" s="14">
        <v>45924</v>
      </c>
      <c r="Y561" s="92"/>
      <c r="AC561" s="18"/>
      <c r="AD561" s="21"/>
      <c r="AE561" s="21"/>
      <c r="AF561" s="21"/>
      <c r="AG561" s="21"/>
      <c r="AH561" s="21"/>
    </row>
    <row r="562" spans="1:34">
      <c r="A562" s="13" t="s">
        <v>77</v>
      </c>
      <c r="B562" s="13" t="s">
        <v>76</v>
      </c>
      <c r="C562" s="13">
        <v>188</v>
      </c>
      <c r="E562" s="14">
        <v>45924</v>
      </c>
      <c r="H562" s="16">
        <v>16.600000000000001</v>
      </c>
      <c r="I562" s="16">
        <v>4.57</v>
      </c>
      <c r="J562" s="16">
        <v>52.72</v>
      </c>
      <c r="W562" s="18">
        <v>1.2491906908276791</v>
      </c>
      <c r="Y562" s="92">
        <v>4.3346257237386263</v>
      </c>
      <c r="Z562" s="20">
        <v>-7.4825697366209303</v>
      </c>
      <c r="AA562" s="10">
        <v>-45.141657734235054</v>
      </c>
      <c r="AB562" s="17">
        <v>1.9393779651161378</v>
      </c>
      <c r="AC562" s="18">
        <v>9.7631465371055923E-2</v>
      </c>
      <c r="AD562" s="21">
        <v>0.2651146957428217</v>
      </c>
      <c r="AE562" s="21">
        <v>0.55643247871893953</v>
      </c>
      <c r="AF562" s="21">
        <v>4.897144040382888E-3</v>
      </c>
      <c r="AG562" s="21"/>
      <c r="AH562" s="21">
        <v>1.2797325346592154</v>
      </c>
    </row>
    <row r="563" spans="1:34">
      <c r="A563" s="13" t="s">
        <v>169</v>
      </c>
      <c r="B563" s="13" t="s">
        <v>76</v>
      </c>
      <c r="C563" s="13">
        <v>188</v>
      </c>
      <c r="E563" s="14">
        <v>45924</v>
      </c>
      <c r="Y563" s="92"/>
      <c r="Z563" s="20">
        <v>-8.8307135368739527</v>
      </c>
      <c r="AA563" s="10">
        <v>-55.632950050719145</v>
      </c>
      <c r="AB563" s="17">
        <v>2.2993685396147971</v>
      </c>
      <c r="AC563" s="18">
        <v>0.17682522644486956</v>
      </c>
      <c r="AD563" s="21">
        <v>0.28961068617554819</v>
      </c>
      <c r="AE563" s="21">
        <v>0.36701879591442427</v>
      </c>
      <c r="AF563" s="21">
        <v>3.2349600870582983E-3</v>
      </c>
      <c r="AG563" s="21"/>
      <c r="AH563" s="21">
        <v>2.2253000637656144</v>
      </c>
    </row>
    <row r="564" spans="1:34">
      <c r="A564" s="13" t="s">
        <v>75</v>
      </c>
      <c r="B564" s="13" t="s">
        <v>76</v>
      </c>
      <c r="C564" s="13">
        <v>189</v>
      </c>
      <c r="E564" s="14">
        <v>45930</v>
      </c>
      <c r="H564" s="16">
        <v>20.3</v>
      </c>
      <c r="I564" s="16">
        <v>4.6500000000000004</v>
      </c>
      <c r="J564" s="16">
        <v>37.78</v>
      </c>
      <c r="W564" s="18">
        <v>1.1345549099703964</v>
      </c>
      <c r="Y564" s="92">
        <v>2.3934662188685842</v>
      </c>
      <c r="Z564" s="20">
        <v>-8.0482749185360216</v>
      </c>
      <c r="AA564" s="10">
        <v>-47.764225898099099</v>
      </c>
      <c r="AB564" s="17">
        <v>0.86351683608899066</v>
      </c>
      <c r="AC564" s="18">
        <v>7.9197258984309449E-3</v>
      </c>
      <c r="AD564" s="21">
        <v>0.11236390383908616</v>
      </c>
      <c r="AE564" s="21">
        <v>0.25803277179239165</v>
      </c>
      <c r="AF564" s="21">
        <v>5.2395070919936419E-4</v>
      </c>
      <c r="AG564" s="21"/>
      <c r="AH564" s="21">
        <v>1.2843533995632486</v>
      </c>
    </row>
    <row r="565" spans="1:34">
      <c r="A565" s="13" t="s">
        <v>77</v>
      </c>
      <c r="B565" s="13" t="s">
        <v>76</v>
      </c>
      <c r="C565" s="13">
        <v>189</v>
      </c>
      <c r="E565" s="14">
        <v>45930</v>
      </c>
      <c r="AC565" s="18"/>
      <c r="AD565" s="21"/>
      <c r="AE565" s="21"/>
      <c r="AF565" s="21"/>
      <c r="AG565" s="21"/>
      <c r="AH565" s="21"/>
    </row>
    <row r="566" spans="1:34">
      <c r="A566" s="13" t="s">
        <v>169</v>
      </c>
      <c r="B566" s="13" t="s">
        <v>76</v>
      </c>
      <c r="C566" s="13">
        <v>189</v>
      </c>
      <c r="E566" s="14">
        <v>45930</v>
      </c>
      <c r="H566" s="16">
        <v>20.5</v>
      </c>
      <c r="I566" s="16">
        <v>4.4000000000000004</v>
      </c>
      <c r="J566" s="16">
        <v>61.17</v>
      </c>
      <c r="W566" s="18">
        <v>0.63602875593531605</v>
      </c>
      <c r="Y566" s="92">
        <v>4.2689841671391831</v>
      </c>
      <c r="Z566" s="20">
        <v>-8.3556860526064565</v>
      </c>
      <c r="AA566" s="10">
        <v>-50.837824123322335</v>
      </c>
      <c r="AB566" s="17">
        <v>1.848617407729753</v>
      </c>
      <c r="AC566" s="18">
        <v>0.11019050004206327</v>
      </c>
      <c r="AD566" s="21">
        <v>0.14326017661512344</v>
      </c>
      <c r="AE566" s="21">
        <v>0.11411847216391427</v>
      </c>
      <c r="AF566" s="21">
        <v>1.9102284740115676E-4</v>
      </c>
      <c r="AG566" s="21"/>
      <c r="AH566" s="21">
        <v>1.6054551488295934</v>
      </c>
    </row>
    <row r="567" spans="1:34">
      <c r="A567" s="13" t="s">
        <v>75</v>
      </c>
      <c r="B567" s="13" t="s">
        <v>76</v>
      </c>
      <c r="C567" s="13">
        <v>190</v>
      </c>
      <c r="E567" s="14">
        <v>45937</v>
      </c>
      <c r="Y567" s="92"/>
      <c r="Z567" s="20">
        <v>-8.4226638974597918</v>
      </c>
      <c r="AA567" s="10">
        <v>-50.878270677430642</v>
      </c>
      <c r="AB567" s="17">
        <v>1.1101219259336297</v>
      </c>
      <c r="AC567" s="18">
        <v>0.10569489799785958</v>
      </c>
      <c r="AD567" s="21">
        <v>0.16747524054929092</v>
      </c>
      <c r="AE567" s="21">
        <v>0.6272991822681262</v>
      </c>
      <c r="AF567" s="21">
        <v>3.5173533826735066E-3</v>
      </c>
      <c r="AG567" s="21"/>
      <c r="AH567" s="21">
        <v>2.100264600564123</v>
      </c>
    </row>
    <row r="568" spans="1:34">
      <c r="A568" s="13" t="s">
        <v>77</v>
      </c>
      <c r="B568" s="13" t="s">
        <v>76</v>
      </c>
      <c r="C568" s="13">
        <v>190</v>
      </c>
      <c r="E568" s="14">
        <v>45937</v>
      </c>
      <c r="Y568" s="92"/>
      <c r="AC568" s="18"/>
      <c r="AD568" s="21"/>
      <c r="AE568" s="21"/>
      <c r="AF568" s="21"/>
      <c r="AG568" s="21"/>
      <c r="AH568" s="21"/>
    </row>
    <row r="569" spans="1:34">
      <c r="A569" s="13" t="s">
        <v>169</v>
      </c>
      <c r="B569" s="13" t="s">
        <v>76</v>
      </c>
      <c r="C569" s="13">
        <v>190</v>
      </c>
      <c r="E569" s="14">
        <v>45937</v>
      </c>
      <c r="Y569" s="92"/>
      <c r="AC569" s="18"/>
      <c r="AD569" s="21"/>
      <c r="AE569" s="21"/>
      <c r="AF569" s="21"/>
      <c r="AG569" s="21"/>
      <c r="AH569" s="21"/>
    </row>
    <row r="570" spans="1:34">
      <c r="A570" s="13" t="s">
        <v>75</v>
      </c>
      <c r="B570" s="13" t="s">
        <v>76</v>
      </c>
      <c r="C570" s="13">
        <v>191</v>
      </c>
      <c r="E570" s="14">
        <v>45943</v>
      </c>
      <c r="Y570" s="92"/>
      <c r="AC570" s="18"/>
      <c r="AD570" s="21"/>
      <c r="AE570" s="21"/>
      <c r="AF570" s="21"/>
      <c r="AG570" s="21"/>
      <c r="AH570" s="21"/>
    </row>
    <row r="571" spans="1:34">
      <c r="A571" s="13" t="s">
        <v>77</v>
      </c>
      <c r="B571" s="13" t="s">
        <v>76</v>
      </c>
      <c r="C571" s="13">
        <v>191</v>
      </c>
      <c r="E571" s="14">
        <v>45943</v>
      </c>
      <c r="Y571" s="92"/>
      <c r="AC571" s="18"/>
      <c r="AD571" s="21"/>
      <c r="AE571" s="21"/>
      <c r="AF571" s="21"/>
      <c r="AG571" s="21"/>
      <c r="AH571" s="21"/>
    </row>
    <row r="572" spans="1:34">
      <c r="A572" s="13" t="s">
        <v>169</v>
      </c>
      <c r="B572" s="13" t="s">
        <v>76</v>
      </c>
      <c r="C572" s="13">
        <v>191</v>
      </c>
      <c r="E572" s="14">
        <v>45943</v>
      </c>
      <c r="Y572" s="92"/>
      <c r="AC572" s="18"/>
      <c r="AD572" s="21"/>
      <c r="AE572" s="21"/>
      <c r="AF572" s="21"/>
      <c r="AG572" s="21"/>
      <c r="AH572" s="21"/>
    </row>
    <row r="573" spans="1:34">
      <c r="A573" s="13" t="s">
        <v>75</v>
      </c>
      <c r="B573" s="13" t="s">
        <v>76</v>
      </c>
      <c r="C573" s="13">
        <v>192</v>
      </c>
      <c r="E573" s="14">
        <v>45952</v>
      </c>
      <c r="H573" s="16">
        <v>16.8</v>
      </c>
      <c r="I573" s="16">
        <v>4.76</v>
      </c>
      <c r="J573" s="16">
        <v>31.28</v>
      </c>
      <c r="W573" s="18">
        <v>1.1305210053967654</v>
      </c>
      <c r="Y573" s="92">
        <v>2.1228804797353185</v>
      </c>
      <c r="Z573" s="20">
        <v>-7.3046491026002753</v>
      </c>
      <c r="AA573" s="10">
        <v>-42.177503126010812</v>
      </c>
      <c r="AB573" s="17">
        <v>1.0484543538244739</v>
      </c>
      <c r="AC573" s="18">
        <v>3.190953242112847E-2</v>
      </c>
      <c r="AD573" s="21">
        <v>0.13391344785319792</v>
      </c>
      <c r="AE573" s="21">
        <v>0.29942813239393962</v>
      </c>
      <c r="AF573" s="21">
        <v>9.2633650761659377E-4</v>
      </c>
      <c r="AG573" s="21"/>
      <c r="AH573" s="21">
        <v>1.5945468871790858</v>
      </c>
    </row>
    <row r="574" spans="1:34">
      <c r="A574" s="13" t="s">
        <v>77</v>
      </c>
      <c r="B574" s="13" t="s">
        <v>76</v>
      </c>
      <c r="C574" s="13">
        <v>192</v>
      </c>
      <c r="E574" s="14">
        <v>45952</v>
      </c>
      <c r="Y574" s="92"/>
      <c r="AC574" s="18"/>
      <c r="AD574" s="21"/>
      <c r="AE574" s="21"/>
      <c r="AF574" s="21"/>
      <c r="AG574" s="21"/>
      <c r="AH574" s="21"/>
    </row>
    <row r="575" spans="1:34">
      <c r="A575" s="13" t="s">
        <v>169</v>
      </c>
      <c r="B575" s="13" t="s">
        <v>76</v>
      </c>
      <c r="C575" s="13">
        <v>192</v>
      </c>
      <c r="E575" s="14">
        <v>45952</v>
      </c>
      <c r="Y575" s="92"/>
      <c r="AC575" s="18"/>
      <c r="AD575" s="21"/>
      <c r="AE575" s="21"/>
      <c r="AF575" s="21"/>
      <c r="AG575" s="21"/>
      <c r="AH575" s="21"/>
    </row>
    <row r="576" spans="1:34">
      <c r="A576" s="13" t="s">
        <v>75</v>
      </c>
      <c r="B576" s="13" t="s">
        <v>76</v>
      </c>
      <c r="C576" s="13">
        <v>193</v>
      </c>
      <c r="E576" s="14">
        <v>45958</v>
      </c>
      <c r="H576" s="16">
        <v>19.2</v>
      </c>
      <c r="I576" s="16">
        <v>4.79</v>
      </c>
      <c r="J576" s="16">
        <v>20.22</v>
      </c>
      <c r="W576" s="18">
        <v>0.99997930448394556</v>
      </c>
      <c r="Y576" s="92">
        <v>1.1883348034274195</v>
      </c>
      <c r="Z576" s="20">
        <v>-6.4514544020070241</v>
      </c>
      <c r="AA576" s="10">
        <v>-30.313407178908932</v>
      </c>
      <c r="AB576" s="17">
        <v>0.78817925445835235</v>
      </c>
      <c r="AC576" s="18" t="s">
        <v>51</v>
      </c>
      <c r="AD576" s="21">
        <v>0.11448222335377366</v>
      </c>
      <c r="AE576" s="21">
        <v>0.16025932827395109</v>
      </c>
      <c r="AF576" s="18" t="s">
        <v>51</v>
      </c>
      <c r="AG576" s="21"/>
      <c r="AH576" s="21">
        <v>1.1458369553691625</v>
      </c>
    </row>
    <row r="577" spans="1:34">
      <c r="A577" s="13" t="s">
        <v>77</v>
      </c>
      <c r="B577" s="13" t="s">
        <v>76</v>
      </c>
      <c r="C577" s="13">
        <v>193</v>
      </c>
      <c r="E577" s="14">
        <v>45958</v>
      </c>
      <c r="Y577" s="92"/>
      <c r="AC577" s="18"/>
      <c r="AD577" s="21"/>
      <c r="AE577" s="21"/>
      <c r="AF577" s="21"/>
      <c r="AG577" s="21"/>
      <c r="AH577" s="21"/>
    </row>
    <row r="578" spans="1:34">
      <c r="A578" s="13" t="s">
        <v>169</v>
      </c>
      <c r="B578" s="13" t="s">
        <v>76</v>
      </c>
      <c r="C578" s="13">
        <v>193</v>
      </c>
      <c r="E578" s="14">
        <v>45958</v>
      </c>
      <c r="H578" s="16">
        <v>19.7</v>
      </c>
      <c r="I578" s="16">
        <v>4.3899999999999997</v>
      </c>
      <c r="J578" s="16">
        <v>52.85</v>
      </c>
      <c r="W578" s="18">
        <v>0.76325917553487721</v>
      </c>
      <c r="Y578" s="92">
        <v>3.9210034442204305</v>
      </c>
      <c r="Z578" s="20">
        <v>-8.2811517329491551</v>
      </c>
      <c r="AA578" s="10">
        <v>-47.965099120603462</v>
      </c>
      <c r="AB578" s="17">
        <v>1.3983476194409306</v>
      </c>
      <c r="AC578" s="18">
        <v>8.3854935431469005E-2</v>
      </c>
      <c r="AD578" s="21">
        <v>0.1128222301316453</v>
      </c>
      <c r="AE578" s="21">
        <v>8.6955051412010931E-2</v>
      </c>
      <c r="AF578" s="18" t="s">
        <v>51</v>
      </c>
      <c r="AG578" s="21"/>
      <c r="AH578" s="21">
        <v>1.6294951568237215</v>
      </c>
    </row>
    <row r="579" spans="1:34">
      <c r="A579" s="13" t="s">
        <v>75</v>
      </c>
      <c r="B579" s="13" t="s">
        <v>76</v>
      </c>
      <c r="C579" s="13">
        <v>194</v>
      </c>
      <c r="E579" s="14">
        <v>45965</v>
      </c>
      <c r="H579" s="16">
        <v>19.2</v>
      </c>
      <c r="I579" s="16">
        <v>4.91</v>
      </c>
      <c r="J579" s="16">
        <v>18.36</v>
      </c>
      <c r="W579" s="18">
        <v>0.74608766523031633</v>
      </c>
      <c r="Y579" s="92"/>
      <c r="Z579" s="20">
        <v>-5.9616574442590453</v>
      </c>
      <c r="AA579" s="10">
        <v>-21.075618152773536</v>
      </c>
      <c r="AB579" s="17">
        <v>0.6705285838378785</v>
      </c>
      <c r="AC579" s="18" t="s">
        <v>51</v>
      </c>
      <c r="AD579" s="21">
        <v>8.2058605349576499E-2</v>
      </c>
      <c r="AE579" s="21">
        <v>0.14104139670317709</v>
      </c>
      <c r="AF579" s="18" t="s">
        <v>51</v>
      </c>
      <c r="AG579" s="21"/>
      <c r="AH579" s="21">
        <v>0.99890200849590804</v>
      </c>
    </row>
    <row r="580" spans="1:34">
      <c r="A580" s="13" t="s">
        <v>77</v>
      </c>
      <c r="B580" s="13" t="s">
        <v>76</v>
      </c>
      <c r="C580" s="13">
        <v>194</v>
      </c>
      <c r="E580" s="14">
        <v>45965</v>
      </c>
      <c r="Y580" s="92"/>
      <c r="AC580" s="18"/>
      <c r="AD580" s="21"/>
      <c r="AE580" s="21"/>
      <c r="AF580" s="21"/>
      <c r="AG580" s="21"/>
      <c r="AH580" s="21"/>
    </row>
    <row r="581" spans="1:34">
      <c r="A581" s="13" t="s">
        <v>169</v>
      </c>
      <c r="B581" s="13" t="s">
        <v>76</v>
      </c>
      <c r="C581" s="13">
        <v>194</v>
      </c>
      <c r="E581" s="14">
        <v>45965</v>
      </c>
      <c r="W581" s="18">
        <v>0.71000035885382951</v>
      </c>
      <c r="Y581" s="92"/>
      <c r="Z581" s="20">
        <v>-7.4904696875523484</v>
      </c>
      <c r="AA581" s="10">
        <v>-39.545418125885995</v>
      </c>
      <c r="AB581" s="17">
        <v>1.253268252648629</v>
      </c>
      <c r="AC581" s="18">
        <v>6.7934780102735903E-2</v>
      </c>
      <c r="AD581" s="21">
        <v>0.10349005843663986</v>
      </c>
      <c r="AE581" s="21">
        <v>0.15573081255037907</v>
      </c>
      <c r="AF581" s="18" t="s">
        <v>51</v>
      </c>
      <c r="AG581" s="21"/>
      <c r="AH581" s="21">
        <v>2.0453564338076333</v>
      </c>
    </row>
    <row r="582" spans="1:34">
      <c r="A582" s="13" t="s">
        <v>75</v>
      </c>
      <c r="B582" s="13" t="s">
        <v>76</v>
      </c>
      <c r="C582" s="13">
        <v>195</v>
      </c>
      <c r="E582" s="14">
        <v>45974</v>
      </c>
      <c r="H582" s="16">
        <v>16.399999999999999</v>
      </c>
      <c r="I582" s="16">
        <v>5.2</v>
      </c>
      <c r="J582" s="16">
        <v>20.9</v>
      </c>
      <c r="W582" s="18">
        <v>0.75565282972845504</v>
      </c>
      <c r="Y582" s="92"/>
      <c r="Z582" s="20">
        <v>-5.3535987978191901</v>
      </c>
      <c r="AA582" s="10">
        <v>-16.05156831320113</v>
      </c>
      <c r="AB582" s="17">
        <v>0.50576371749205096</v>
      </c>
      <c r="AC582" s="18">
        <v>2.7007036427928177E-2</v>
      </c>
      <c r="AD582" s="21">
        <v>8.7332807529156606E-2</v>
      </c>
      <c r="AE582" s="21">
        <v>0.16274991484871218</v>
      </c>
      <c r="AF582" s="21">
        <v>7.3509903689395698E-3</v>
      </c>
      <c r="AG582" s="21"/>
      <c r="AH582" s="21">
        <v>0.62556852396060736</v>
      </c>
    </row>
    <row r="583" spans="1:34">
      <c r="A583" s="13" t="s">
        <v>200</v>
      </c>
      <c r="B583" s="13" t="s">
        <v>76</v>
      </c>
      <c r="C583" s="13">
        <v>195</v>
      </c>
      <c r="E583" s="14">
        <v>45974</v>
      </c>
      <c r="Y583" s="92"/>
      <c r="AC583" s="18"/>
      <c r="AD583" s="21"/>
      <c r="AE583" s="21"/>
      <c r="AF583" s="21"/>
      <c r="AG583" s="21"/>
      <c r="AH583" s="21"/>
    </row>
    <row r="584" spans="1:34">
      <c r="A584" s="13" t="s">
        <v>78</v>
      </c>
      <c r="B584" s="13" t="s">
        <v>76</v>
      </c>
      <c r="C584" s="13">
        <v>195</v>
      </c>
      <c r="E584" s="14">
        <v>45974</v>
      </c>
      <c r="H584" s="16">
        <v>16.3</v>
      </c>
      <c r="I584" s="16">
        <v>4.59</v>
      </c>
      <c r="J584" s="16">
        <v>35.049999999999997</v>
      </c>
      <c r="W584" s="18">
        <v>0.62415077184011858</v>
      </c>
      <c r="Y584" s="92"/>
      <c r="Z584" s="20">
        <v>-6.1462726493336923</v>
      </c>
      <c r="AA584" s="10">
        <v>-25.745317274071585</v>
      </c>
      <c r="AB584" s="17">
        <v>0.46691821395248956</v>
      </c>
      <c r="AC584" s="18">
        <v>3.34874516498717E-2</v>
      </c>
      <c r="AD584" s="21">
        <v>6.8523267295808182E-2</v>
      </c>
      <c r="AE584" s="21">
        <v>6.8962564643673341E-2</v>
      </c>
      <c r="AF584" s="21">
        <v>6.6964404889213571E-3</v>
      </c>
      <c r="AG584" s="21"/>
      <c r="AH584" s="21">
        <v>0.72474655697331292</v>
      </c>
    </row>
    <row r="585" spans="1:34">
      <c r="A585" s="13" t="s">
        <v>75</v>
      </c>
      <c r="B585" s="13" t="s">
        <v>76</v>
      </c>
      <c r="C585" s="13">
        <v>196</v>
      </c>
      <c r="E585" s="14">
        <v>45979</v>
      </c>
      <c r="H585" s="16">
        <v>17.3</v>
      </c>
      <c r="I585" s="16">
        <v>5.0199999999999996</v>
      </c>
      <c r="J585" s="16">
        <v>16.21</v>
      </c>
      <c r="W585" s="18">
        <v>0.63841306725800895</v>
      </c>
      <c r="Y585" s="92"/>
      <c r="Z585" s="20">
        <v>-8.8042060601718628</v>
      </c>
      <c r="AA585" s="10">
        <v>-51.100977645871538</v>
      </c>
      <c r="AB585" s="17">
        <v>0.72636062493593889</v>
      </c>
      <c r="AC585" s="18">
        <v>4.1322573243597997E-2</v>
      </c>
      <c r="AD585" s="21">
        <v>8.4983607701266242E-2</v>
      </c>
      <c r="AE585" s="21">
        <v>0.25712076502211323</v>
      </c>
      <c r="AF585" s="21">
        <v>7.7064008541035418E-3</v>
      </c>
      <c r="AG585" s="21"/>
      <c r="AH585" s="21">
        <v>0.77526167064902163</v>
      </c>
    </row>
    <row r="586" spans="1:34">
      <c r="A586" s="13" t="s">
        <v>195</v>
      </c>
      <c r="B586" s="13" t="s">
        <v>76</v>
      </c>
      <c r="C586" s="13">
        <v>196</v>
      </c>
      <c r="E586" s="14">
        <v>45979</v>
      </c>
      <c r="Y586" s="92"/>
      <c r="AC586" s="18"/>
      <c r="AD586" s="21"/>
      <c r="AE586" s="21"/>
      <c r="AF586" s="21"/>
      <c r="AG586" s="21"/>
      <c r="AH586" s="21"/>
    </row>
    <row r="587" spans="1:34">
      <c r="A587" s="13" t="s">
        <v>196</v>
      </c>
      <c r="B587" s="13" t="s">
        <v>76</v>
      </c>
      <c r="C587" s="13">
        <v>196</v>
      </c>
      <c r="E587" s="14">
        <v>45979</v>
      </c>
      <c r="H587" s="16">
        <v>16</v>
      </c>
      <c r="I587" s="16">
        <v>4.6399999999999997</v>
      </c>
      <c r="J587" s="16">
        <v>29.67</v>
      </c>
      <c r="W587" s="18">
        <v>0.5827225408762633</v>
      </c>
      <c r="Y587" s="92"/>
      <c r="Z587" s="20">
        <v>-6.3355731393497834</v>
      </c>
      <c r="AA587" s="10">
        <v>-24.602322475238697</v>
      </c>
      <c r="AB587" s="17">
        <v>0.81393553666368801</v>
      </c>
      <c r="AC587" s="18">
        <v>6.0494222825318474E-2</v>
      </c>
      <c r="AD587" s="21">
        <v>9.4299995782461787E-2</v>
      </c>
      <c r="AE587" s="21">
        <v>0.11911520968477284</v>
      </c>
      <c r="AF587" s="21">
        <v>7.2391495362761557E-3</v>
      </c>
      <c r="AG587" s="21"/>
      <c r="AH587" s="21">
        <v>1.3094295850198436</v>
      </c>
    </row>
    <row r="588" spans="1:34">
      <c r="A588" s="13" t="s">
        <v>75</v>
      </c>
      <c r="B588" s="13" t="s">
        <v>76</v>
      </c>
      <c r="C588" s="13">
        <v>197</v>
      </c>
      <c r="E588" s="14">
        <v>45986</v>
      </c>
      <c r="H588" s="16">
        <v>15</v>
      </c>
      <c r="I588" s="16">
        <v>5.82</v>
      </c>
      <c r="J588" s="16">
        <v>14.76</v>
      </c>
      <c r="W588" s="18">
        <v>0.68679215441237385</v>
      </c>
      <c r="Y588" s="92"/>
      <c r="Z588" s="20">
        <v>-7.6315264012410164</v>
      </c>
      <c r="AA588" s="10">
        <v>-39.385194130517618</v>
      </c>
      <c r="AB588" s="17">
        <v>0.70736165543961971</v>
      </c>
      <c r="AC588" s="18">
        <v>4.6187439029662179E-2</v>
      </c>
      <c r="AD588" s="21">
        <v>9.0261653205959844E-2</v>
      </c>
      <c r="AE588" s="21">
        <v>0.30351086137162414</v>
      </c>
      <c r="AF588" s="21">
        <v>8.1052908633000853E-3</v>
      </c>
      <c r="AG588" s="21"/>
      <c r="AH588" s="21">
        <v>0.67953951192877382</v>
      </c>
    </row>
    <row r="589" spans="1:34">
      <c r="A589" s="13" t="s">
        <v>172</v>
      </c>
      <c r="B589" s="13" t="s">
        <v>76</v>
      </c>
      <c r="C589" s="13">
        <v>197</v>
      </c>
      <c r="E589" s="14">
        <v>45986</v>
      </c>
      <c r="Y589" s="92"/>
      <c r="AC589" s="18"/>
      <c r="AD589" s="21"/>
      <c r="AE589" s="21"/>
      <c r="AF589" s="21"/>
      <c r="AG589" s="21"/>
      <c r="AH589" s="21"/>
    </row>
    <row r="590" spans="1:34">
      <c r="A590" s="13" t="s">
        <v>169</v>
      </c>
      <c r="B590" s="13" t="s">
        <v>76</v>
      </c>
      <c r="C590" s="13">
        <v>197</v>
      </c>
      <c r="E590" s="14">
        <v>45986</v>
      </c>
      <c r="H590" s="16">
        <v>15.6</v>
      </c>
      <c r="I590" s="16">
        <v>4.78</v>
      </c>
      <c r="J590" s="16">
        <v>25.95</v>
      </c>
      <c r="W590" s="18">
        <v>0.47026620417601273</v>
      </c>
      <c r="Y590" s="92"/>
      <c r="Z590" s="20">
        <v>-7.2912069674273026</v>
      </c>
      <c r="AA590" s="10">
        <v>-33.983145786231169</v>
      </c>
      <c r="AB590" s="17">
        <v>0.80915559961023176</v>
      </c>
      <c r="AC590" s="18">
        <v>4.9072272216387845E-2</v>
      </c>
      <c r="AD590" s="21">
        <v>9.822235942786052E-2</v>
      </c>
      <c r="AE590" s="21">
        <v>8.9635450019739826E-2</v>
      </c>
      <c r="AF590" s="21">
        <v>7.1560891584647396E-3</v>
      </c>
      <c r="AG590" s="21"/>
      <c r="AH590" s="21">
        <v>1.27268801133483</v>
      </c>
    </row>
    <row r="591" spans="1:34">
      <c r="A591" s="13" t="s">
        <v>75</v>
      </c>
      <c r="B591" s="13" t="s">
        <v>76</v>
      </c>
      <c r="C591" s="13">
        <v>198</v>
      </c>
      <c r="E591" s="14">
        <v>45993</v>
      </c>
      <c r="Y591" s="92"/>
      <c r="AB591" s="16"/>
      <c r="AC591" s="16"/>
      <c r="AD591" s="16"/>
      <c r="AE591" s="16"/>
      <c r="AF591" s="16"/>
      <c r="AG591" s="16"/>
      <c r="AH591" s="16"/>
    </row>
    <row r="592" spans="1:34">
      <c r="A592" s="13" t="s">
        <v>172</v>
      </c>
      <c r="B592" s="13" t="s">
        <v>76</v>
      </c>
      <c r="C592" s="13">
        <v>198</v>
      </c>
      <c r="E592" s="14">
        <v>45993</v>
      </c>
      <c r="Y592" s="92"/>
      <c r="AC592" s="18"/>
      <c r="AD592" s="21"/>
      <c r="AE592" s="21"/>
      <c r="AF592" s="21"/>
      <c r="AG592" s="21"/>
      <c r="AH592" s="21"/>
    </row>
    <row r="593" spans="1:34">
      <c r="A593" s="13" t="s">
        <v>169</v>
      </c>
      <c r="B593" s="13" t="s">
        <v>76</v>
      </c>
      <c r="C593" s="13">
        <v>198</v>
      </c>
      <c r="E593" s="14">
        <v>45993</v>
      </c>
      <c r="Y593" s="92"/>
      <c r="AB593" s="16"/>
      <c r="AC593" s="16"/>
      <c r="AD593" s="16"/>
      <c r="AE593" s="16"/>
      <c r="AF593" s="16"/>
      <c r="AG593" s="16"/>
      <c r="AH593" s="16"/>
    </row>
    <row r="594" spans="1:34">
      <c r="A594" s="13" t="s">
        <v>75</v>
      </c>
      <c r="B594" s="13" t="s">
        <v>76</v>
      </c>
      <c r="C594" s="13">
        <v>199</v>
      </c>
      <c r="E594" s="14">
        <v>46000</v>
      </c>
      <c r="H594" s="16">
        <v>20.6</v>
      </c>
      <c r="I594" s="16">
        <v>4.9400000000000004</v>
      </c>
      <c r="J594" s="16">
        <v>16.48</v>
      </c>
      <c r="W594" s="18">
        <v>0.8039623485459314</v>
      </c>
      <c r="Y594" s="92"/>
      <c r="Z594" s="20">
        <v>-6.3815812361811526</v>
      </c>
      <c r="AA594" s="10">
        <v>-25.487961106968825</v>
      </c>
      <c r="AB594" s="17">
        <v>0.73436172098097985</v>
      </c>
      <c r="AC594" s="18">
        <v>6.6004782027733813E-2</v>
      </c>
      <c r="AD594" s="21">
        <v>0.1432178750555512</v>
      </c>
      <c r="AE594" s="21">
        <v>0.38329916751747628</v>
      </c>
      <c r="AF594" s="21">
        <v>8.7305608959002082E-3</v>
      </c>
      <c r="AG594" s="21"/>
      <c r="AH594" s="21">
        <v>0.82000499654680625</v>
      </c>
    </row>
    <row r="595" spans="1:34">
      <c r="A595" s="13" t="s">
        <v>77</v>
      </c>
      <c r="B595" s="13" t="s">
        <v>76</v>
      </c>
      <c r="C595" s="13">
        <v>199</v>
      </c>
      <c r="E595" s="14">
        <v>46000</v>
      </c>
      <c r="Y595" s="92"/>
      <c r="AC595" s="18"/>
      <c r="AD595" s="21"/>
      <c r="AE595" s="21"/>
      <c r="AF595" s="21"/>
      <c r="AG595" s="21"/>
      <c r="AH595" s="21"/>
    </row>
    <row r="596" spans="1:34">
      <c r="A596" s="13" t="s">
        <v>78</v>
      </c>
      <c r="B596" s="13" t="s">
        <v>76</v>
      </c>
      <c r="C596" s="13">
        <v>199</v>
      </c>
      <c r="E596" s="14">
        <v>46000</v>
      </c>
      <c r="H596" s="16">
        <v>20.399999999999999</v>
      </c>
      <c r="I596" s="16">
        <v>4.5199999999999996</v>
      </c>
      <c r="J596" s="16">
        <v>27.15</v>
      </c>
      <c r="W596" s="18">
        <v>0.53814572803533789</v>
      </c>
      <c r="Y596" s="92"/>
      <c r="Z596" s="20">
        <v>-8.4129616336822082</v>
      </c>
      <c r="AA596" s="10">
        <v>-45.570772181934728</v>
      </c>
      <c r="AB596" s="17">
        <v>0.85267179625290324</v>
      </c>
      <c r="AC596" s="18">
        <v>5.5594366969854314E-2</v>
      </c>
      <c r="AD596" s="21">
        <v>0.12506816586906863</v>
      </c>
      <c r="AE596" s="21">
        <v>0.12338181609072742</v>
      </c>
      <c r="AF596" s="21">
        <v>7.4161717277410827E-3</v>
      </c>
      <c r="AG596" s="21"/>
      <c r="AH596" s="21">
        <v>1.3437070338508033</v>
      </c>
    </row>
    <row r="597" spans="1:34">
      <c r="A597" s="13" t="s">
        <v>75</v>
      </c>
      <c r="B597" s="13" t="s">
        <v>76</v>
      </c>
      <c r="C597" s="13">
        <v>200</v>
      </c>
      <c r="E597" s="14">
        <v>46007</v>
      </c>
      <c r="H597" s="16">
        <v>19.399999999999999</v>
      </c>
      <c r="I597" s="16">
        <v>4.82</v>
      </c>
      <c r="J597" s="16">
        <v>26.82</v>
      </c>
      <c r="W597" s="18">
        <v>0.603254584317514</v>
      </c>
      <c r="Y597" s="92"/>
      <c r="Z597" s="20">
        <v>-4.8734990392811639</v>
      </c>
      <c r="AA597" s="10">
        <v>-8.64450356853113</v>
      </c>
      <c r="AB597" s="17">
        <v>1.1517784519621175</v>
      </c>
      <c r="AC597" s="18">
        <v>0.13185664994560214</v>
      </c>
      <c r="AD597" s="21">
        <v>9.3638847261040131E-2</v>
      </c>
      <c r="AE597" s="21">
        <v>0.52863857591546826</v>
      </c>
      <c r="AF597" s="21">
        <v>9.5245105459453618E-3</v>
      </c>
      <c r="AG597" s="21"/>
      <c r="AH597" s="21">
        <v>0.67149736271441363</v>
      </c>
    </row>
    <row r="598" spans="1:34">
      <c r="A598" s="13" t="s">
        <v>172</v>
      </c>
      <c r="B598" s="13" t="s">
        <v>76</v>
      </c>
      <c r="C598" s="13">
        <v>199.65714285714299</v>
      </c>
      <c r="E598" s="14">
        <v>46007</v>
      </c>
      <c r="Y598" s="92"/>
      <c r="AC598" s="18"/>
      <c r="AD598" s="21"/>
      <c r="AE598" s="21"/>
      <c r="AF598" s="21"/>
      <c r="AG598" s="21"/>
      <c r="AH598" s="21"/>
    </row>
    <row r="599" spans="1:34">
      <c r="A599" s="13" t="s">
        <v>169</v>
      </c>
      <c r="B599" s="13" t="s">
        <v>76</v>
      </c>
      <c r="C599" s="13">
        <v>199.914285714286</v>
      </c>
      <c r="E599" s="14">
        <v>46007</v>
      </c>
      <c r="H599" s="16">
        <v>15.7</v>
      </c>
      <c r="I599" s="16">
        <v>4.63</v>
      </c>
      <c r="J599" s="16">
        <v>26.15</v>
      </c>
      <c r="W599" s="18">
        <v>0.40081602455621601</v>
      </c>
      <c r="Y599" s="92"/>
      <c r="Z599" s="20">
        <v>-8.5748679897071014</v>
      </c>
      <c r="AA599" s="10">
        <v>-49.612062816762879</v>
      </c>
      <c r="AB599" s="17">
        <v>0.93228227284125631</v>
      </c>
      <c r="AC599" s="18">
        <v>7.1111640883771157E-2</v>
      </c>
      <c r="AD599" s="21">
        <v>0.15989333569391315</v>
      </c>
      <c r="AE599" s="21">
        <v>0.21774957548711973</v>
      </c>
      <c r="AF599" s="21">
        <v>7.8534269079836225E-3</v>
      </c>
      <c r="AG599" s="21"/>
      <c r="AH599" s="21">
        <v>1.1254779203974234</v>
      </c>
    </row>
    <row r="600" spans="1:34">
      <c r="A600" s="13" t="s">
        <v>75</v>
      </c>
      <c r="B600" s="13" t="s">
        <v>76</v>
      </c>
      <c r="C600" s="13">
        <v>201</v>
      </c>
      <c r="E600" s="14">
        <v>46014</v>
      </c>
      <c r="H600" s="16">
        <v>20.2</v>
      </c>
      <c r="I600" s="16">
        <v>4.67</v>
      </c>
      <c r="J600" s="16">
        <v>20.7</v>
      </c>
      <c r="Y600" s="92"/>
      <c r="Z600" s="20">
        <v>-4.8380271478310242</v>
      </c>
      <c r="AA600" s="10">
        <v>-9.0668316376228351</v>
      </c>
      <c r="AB600" s="17">
        <v>1.243576377000406</v>
      </c>
      <c r="AC600" s="18">
        <v>0.148646622720706</v>
      </c>
      <c r="AD600" s="21">
        <v>0.13568878571339038</v>
      </c>
      <c r="AE600" s="21">
        <v>0.45976791897820324</v>
      </c>
      <c r="AF600" s="21">
        <v>9.6028231095485004E-3</v>
      </c>
      <c r="AG600" s="21"/>
      <c r="AH600" s="21">
        <v>0.72941838142965743</v>
      </c>
    </row>
    <row r="601" spans="1:34">
      <c r="A601" s="13" t="s">
        <v>77</v>
      </c>
      <c r="B601" s="13" t="s">
        <v>76</v>
      </c>
      <c r="C601" s="13">
        <v>201</v>
      </c>
      <c r="E601" s="14">
        <v>46014</v>
      </c>
      <c r="Y601" s="92"/>
      <c r="AC601" s="18"/>
      <c r="AD601" s="21"/>
      <c r="AE601" s="21"/>
      <c r="AF601" s="21"/>
      <c r="AG601" s="21"/>
      <c r="AH601" s="21"/>
    </row>
    <row r="602" spans="1:34">
      <c r="A602" s="13" t="s">
        <v>78</v>
      </c>
      <c r="B602" s="13" t="s">
        <v>76</v>
      </c>
      <c r="C602" s="13">
        <v>200.61387755102101</v>
      </c>
      <c r="E602" s="14">
        <v>46014</v>
      </c>
      <c r="H602" s="16">
        <v>20.7</v>
      </c>
      <c r="I602" s="16">
        <v>4.57</v>
      </c>
      <c r="J602" s="16">
        <v>26.85</v>
      </c>
      <c r="Y602" s="92"/>
      <c r="Z602" s="20">
        <v>-8.4017230146088959</v>
      </c>
      <c r="AA602" s="10">
        <v>-47.746317432584746</v>
      </c>
      <c r="AB602" s="17">
        <v>0.76590835577363137</v>
      </c>
      <c r="AC602" s="18">
        <v>4.8554834295650856E-2</v>
      </c>
      <c r="AD602" s="21">
        <v>8.0969736400494929E-2</v>
      </c>
      <c r="AE602" s="21">
        <v>8.4963825599859127E-2</v>
      </c>
      <c r="AF602" s="21">
        <v>7.0471691980543956E-3</v>
      </c>
      <c r="AG602" s="21"/>
      <c r="AH602" s="21">
        <v>1.1894606228100248</v>
      </c>
    </row>
    <row r="603" spans="1:34">
      <c r="A603" s="13" t="s">
        <v>75</v>
      </c>
      <c r="B603" s="13" t="s">
        <v>76</v>
      </c>
      <c r="C603" s="13">
        <v>202</v>
      </c>
      <c r="E603" s="14">
        <v>46021</v>
      </c>
      <c r="H603" s="16">
        <v>13.7</v>
      </c>
      <c r="I603" s="16">
        <v>4.5999999999999996</v>
      </c>
      <c r="J603" s="16">
        <v>38.520000000000003</v>
      </c>
      <c r="Y603" s="92"/>
      <c r="Z603" s="20">
        <v>-4.4594261677988429</v>
      </c>
      <c r="AA603" s="10">
        <v>-7.2285236855649622</v>
      </c>
      <c r="AB603" s="17">
        <v>1.3735279847111614</v>
      </c>
      <c r="AC603" s="18">
        <v>0.24486074510367276</v>
      </c>
      <c r="AD603" s="21">
        <v>9.9122515563009772E-2</v>
      </c>
      <c r="AE603" s="21">
        <v>0.48591577011387077</v>
      </c>
      <c r="AF603" s="21">
        <v>9.7033601967637002E-3</v>
      </c>
      <c r="AG603" s="21"/>
      <c r="AH603" s="21">
        <v>0.64583367860523555</v>
      </c>
    </row>
    <row r="604" spans="1:34">
      <c r="A604" s="13" t="s">
        <v>172</v>
      </c>
      <c r="B604" s="13" t="s">
        <v>76</v>
      </c>
      <c r="C604" s="13">
        <v>202</v>
      </c>
      <c r="E604" s="14">
        <v>46021</v>
      </c>
      <c r="Y604" s="92"/>
      <c r="AC604" s="18"/>
      <c r="AD604" s="21"/>
      <c r="AE604" s="21"/>
      <c r="AF604" s="21"/>
      <c r="AG604" s="21"/>
      <c r="AH604" s="21"/>
    </row>
    <row r="605" spans="1:34">
      <c r="A605" s="13" t="s">
        <v>169</v>
      </c>
      <c r="B605" s="13" t="s">
        <v>76</v>
      </c>
      <c r="C605" s="13">
        <v>201.65022351797899</v>
      </c>
      <c r="E605" s="14">
        <v>46021</v>
      </c>
      <c r="H605" s="16">
        <v>16.2</v>
      </c>
      <c r="I605" s="16">
        <v>4.54</v>
      </c>
      <c r="J605" s="16">
        <v>26.05</v>
      </c>
      <c r="Y605" s="92"/>
      <c r="Z605" s="20">
        <v>-7.5247595200445572</v>
      </c>
      <c r="AA605" s="10">
        <v>-39.942625504606582</v>
      </c>
      <c r="AB605" s="17">
        <v>0.78936703706262146</v>
      </c>
      <c r="AC605" s="18">
        <v>5.4806721136867659E-2</v>
      </c>
      <c r="AD605" s="21">
        <v>0.10218520328458397</v>
      </c>
      <c r="AE605" s="21">
        <v>0.13438457301175016</v>
      </c>
      <c r="AF605" s="21">
        <v>7.424486012279621E-3</v>
      </c>
      <c r="AG605" s="21"/>
      <c r="AH605" s="21">
        <v>1.0771468340011336</v>
      </c>
    </row>
    <row r="606" spans="1:34">
      <c r="A606" s="13" t="s">
        <v>75</v>
      </c>
      <c r="B606" s="13" t="s">
        <v>76</v>
      </c>
      <c r="C606" s="13">
        <v>203</v>
      </c>
      <c r="E606" s="14">
        <v>46028</v>
      </c>
      <c r="H606" s="16">
        <v>16.2</v>
      </c>
      <c r="I606" s="16">
        <v>4.99</v>
      </c>
      <c r="J606" s="16">
        <v>34.25</v>
      </c>
      <c r="Y606" s="92"/>
      <c r="AC606" s="18"/>
      <c r="AD606" s="21"/>
      <c r="AE606" s="21"/>
      <c r="AF606" s="21"/>
      <c r="AG606" s="21"/>
      <c r="AH606" s="21"/>
    </row>
    <row r="607" spans="1:34">
      <c r="A607" s="13" t="s">
        <v>172</v>
      </c>
      <c r="B607" s="13" t="s">
        <v>76</v>
      </c>
      <c r="C607" s="13">
        <v>203</v>
      </c>
      <c r="E607" s="14">
        <v>46028</v>
      </c>
      <c r="Y607" s="92"/>
      <c r="AC607" s="18"/>
      <c r="AD607" s="21"/>
      <c r="AE607" s="21"/>
      <c r="AF607" s="21"/>
      <c r="AG607" s="21"/>
      <c r="AH607" s="21"/>
    </row>
    <row r="608" spans="1:34">
      <c r="A608" s="13" t="s">
        <v>169</v>
      </c>
      <c r="B608" s="13" t="s">
        <v>76</v>
      </c>
      <c r="C608" s="13">
        <v>203</v>
      </c>
      <c r="E608" s="14">
        <v>46028</v>
      </c>
      <c r="H608" s="16">
        <v>16.3</v>
      </c>
      <c r="I608" s="16">
        <v>4.8</v>
      </c>
      <c r="J608" s="16">
        <v>23.95</v>
      </c>
      <c r="Y608" s="92"/>
      <c r="AC608" s="18"/>
      <c r="AD608" s="21"/>
      <c r="AE608" s="21"/>
      <c r="AF608" s="21"/>
      <c r="AG608" s="21"/>
      <c r="AH608" s="21"/>
    </row>
    <row r="609" spans="1:34">
      <c r="A609" s="13" t="s">
        <v>75</v>
      </c>
      <c r="B609" s="13" t="s">
        <v>76</v>
      </c>
      <c r="C609" s="13">
        <v>204</v>
      </c>
      <c r="E609" s="14">
        <v>46035</v>
      </c>
      <c r="H609" s="16">
        <v>13.1</v>
      </c>
      <c r="I609" s="16">
        <v>4.92</v>
      </c>
      <c r="J609" s="16">
        <v>32.26</v>
      </c>
      <c r="Y609" s="92"/>
      <c r="AC609" s="18"/>
      <c r="AD609" s="21"/>
      <c r="AE609" s="21"/>
      <c r="AF609" s="21"/>
      <c r="AG609" s="21"/>
      <c r="AH609" s="21"/>
    </row>
    <row r="610" spans="1:34">
      <c r="A610" s="13" t="s">
        <v>172</v>
      </c>
      <c r="B610" s="13" t="s">
        <v>76</v>
      </c>
      <c r="C610" s="13">
        <v>204</v>
      </c>
      <c r="E610" s="14">
        <v>46035</v>
      </c>
      <c r="Y610" s="92"/>
      <c r="AC610" s="18"/>
      <c r="AD610" s="21"/>
      <c r="AE610" s="21"/>
      <c r="AF610" s="21"/>
      <c r="AG610" s="21"/>
      <c r="AH610" s="21"/>
    </row>
    <row r="611" spans="1:34">
      <c r="A611" s="13" t="s">
        <v>169</v>
      </c>
      <c r="B611" s="13" t="s">
        <v>76</v>
      </c>
      <c r="C611" s="13">
        <v>204</v>
      </c>
      <c r="E611" s="14">
        <v>46035</v>
      </c>
      <c r="Y611" s="92"/>
      <c r="AC611" s="18"/>
      <c r="AD611" s="21"/>
      <c r="AE611" s="21"/>
      <c r="AF611" s="21"/>
      <c r="AG611" s="21"/>
      <c r="AH611" s="21"/>
    </row>
    <row r="612" spans="1:34">
      <c r="A612" s="13" t="s">
        <v>75</v>
      </c>
      <c r="B612" s="13" t="s">
        <v>76</v>
      </c>
      <c r="C612" s="13">
        <v>205</v>
      </c>
      <c r="E612" s="14">
        <v>46042</v>
      </c>
      <c r="H612" s="16">
        <v>14.7</v>
      </c>
      <c r="I612" s="16">
        <v>4.75</v>
      </c>
      <c r="J612" s="16">
        <v>35.18</v>
      </c>
      <c r="Y612" s="92"/>
      <c r="AC612" s="18"/>
      <c r="AD612" s="21"/>
      <c r="AE612" s="21"/>
      <c r="AF612" s="21"/>
      <c r="AG612" s="21"/>
      <c r="AH612" s="21"/>
    </row>
    <row r="613" spans="1:34">
      <c r="A613" s="13" t="s">
        <v>172</v>
      </c>
      <c r="B613" s="13" t="s">
        <v>76</v>
      </c>
      <c r="C613" s="13">
        <v>205</v>
      </c>
      <c r="E613" s="14">
        <v>46042</v>
      </c>
      <c r="Y613" s="92"/>
      <c r="AC613" s="18"/>
      <c r="AD613" s="21"/>
      <c r="AE613" s="21"/>
      <c r="AF613" s="21"/>
      <c r="AG613" s="21"/>
      <c r="AH613" s="21"/>
    </row>
    <row r="614" spans="1:34">
      <c r="A614" s="13" t="s">
        <v>169</v>
      </c>
      <c r="B614" s="13" t="s">
        <v>76</v>
      </c>
      <c r="C614" s="13">
        <v>205</v>
      </c>
      <c r="E614" s="14">
        <v>46042</v>
      </c>
      <c r="Y614" s="92"/>
      <c r="AC614" s="18"/>
      <c r="AD614" s="21"/>
      <c r="AE614" s="21"/>
      <c r="AF614" s="21"/>
      <c r="AG614" s="21"/>
      <c r="AH614" s="21"/>
    </row>
    <row r="615" spans="1:34">
      <c r="A615" s="13" t="s">
        <v>75</v>
      </c>
      <c r="B615" s="13" t="s">
        <v>76</v>
      </c>
      <c r="C615" s="13">
        <v>206</v>
      </c>
      <c r="E615" s="14">
        <v>46049</v>
      </c>
      <c r="H615" s="16">
        <v>16.2</v>
      </c>
      <c r="I615" s="16">
        <v>4.78</v>
      </c>
      <c r="J615" s="16">
        <v>31.55</v>
      </c>
      <c r="Y615" s="92"/>
      <c r="AC615" s="18"/>
      <c r="AD615" s="21"/>
      <c r="AE615" s="21"/>
      <c r="AF615" s="21"/>
      <c r="AG615" s="21"/>
      <c r="AH615" s="21"/>
    </row>
    <row r="616" spans="1:34">
      <c r="A616" s="13" t="s">
        <v>172</v>
      </c>
      <c r="B616" s="13" t="s">
        <v>76</v>
      </c>
      <c r="C616" s="13">
        <v>206</v>
      </c>
      <c r="E616" s="14">
        <v>46049</v>
      </c>
      <c r="Y616" s="92"/>
      <c r="AC616" s="18"/>
      <c r="AD616" s="21"/>
      <c r="AE616" s="21"/>
      <c r="AF616" s="21"/>
      <c r="AG616" s="21"/>
      <c r="AH616" s="21"/>
    </row>
    <row r="617" spans="1:34">
      <c r="A617" s="13" t="s">
        <v>169</v>
      </c>
      <c r="B617" s="13" t="s">
        <v>76</v>
      </c>
      <c r="C617" s="13">
        <v>206</v>
      </c>
      <c r="E617" s="14">
        <v>46049</v>
      </c>
      <c r="H617" s="16">
        <v>16.399999999999999</v>
      </c>
      <c r="I617" s="16">
        <v>4.66</v>
      </c>
      <c r="J617" s="16">
        <v>24.34</v>
      </c>
      <c r="Y617" s="92"/>
      <c r="AC617" s="18"/>
      <c r="AD617" s="21"/>
      <c r="AE617" s="21"/>
      <c r="AF617" s="21"/>
      <c r="AG617" s="21"/>
      <c r="AH617" s="21"/>
    </row>
    <row r="618" spans="1:34">
      <c r="A618" s="13" t="s">
        <v>75</v>
      </c>
      <c r="B618" s="13" t="s">
        <v>76</v>
      </c>
      <c r="C618" s="13">
        <v>207</v>
      </c>
      <c r="E618" s="14">
        <v>46056</v>
      </c>
      <c r="H618" s="16">
        <v>15.3</v>
      </c>
      <c r="I618" s="16">
        <v>4.7699999999999996</v>
      </c>
      <c r="J618" s="16">
        <v>29.24</v>
      </c>
      <c r="Y618" s="92"/>
      <c r="AC618" s="18"/>
      <c r="AD618" s="21"/>
      <c r="AE618" s="21"/>
      <c r="AF618" s="21"/>
      <c r="AG618" s="21"/>
      <c r="AH618" s="21"/>
    </row>
    <row r="619" spans="1:34">
      <c r="A619" s="13" t="s">
        <v>172</v>
      </c>
      <c r="B619" s="13" t="s">
        <v>76</v>
      </c>
      <c r="C619" s="13">
        <v>207</v>
      </c>
      <c r="E619" s="14">
        <v>46056</v>
      </c>
      <c r="Y619" s="92"/>
      <c r="AC619" s="18"/>
      <c r="AD619" s="21"/>
      <c r="AE619" s="21"/>
      <c r="AF619" s="21"/>
      <c r="AG619" s="21"/>
      <c r="AH619" s="21"/>
    </row>
    <row r="620" spans="1:34">
      <c r="A620" s="13" t="s">
        <v>169</v>
      </c>
      <c r="B620" s="13" t="s">
        <v>76</v>
      </c>
      <c r="C620" s="13">
        <v>207</v>
      </c>
      <c r="E620" s="14">
        <v>46056</v>
      </c>
      <c r="H620" s="16">
        <v>14.7</v>
      </c>
      <c r="I620" s="16">
        <v>4.72</v>
      </c>
      <c r="J620" s="16">
        <v>21.33</v>
      </c>
      <c r="Y620" s="92"/>
      <c r="AC620" s="18"/>
      <c r="AD620" s="21"/>
      <c r="AE620" s="21"/>
      <c r="AF620" s="21"/>
      <c r="AG620" s="21"/>
      <c r="AH620" s="21"/>
    </row>
    <row r="621" spans="1:34">
      <c r="Y621" s="92"/>
      <c r="AC621" s="18"/>
      <c r="AD621" s="21"/>
      <c r="AE621" s="21"/>
      <c r="AF621" s="21"/>
      <c r="AG621" s="21"/>
      <c r="AH621" s="21"/>
    </row>
    <row r="622" spans="1:34">
      <c r="Y622" s="92"/>
      <c r="AC622" s="18"/>
      <c r="AD622" s="21"/>
      <c r="AE622" s="21"/>
      <c r="AF622" s="21"/>
      <c r="AG622" s="21"/>
      <c r="AH622" s="21"/>
    </row>
    <row r="623" spans="1:34">
      <c r="Y623" s="92"/>
      <c r="AC623" s="18"/>
      <c r="AD623" s="21"/>
      <c r="AE623" s="21"/>
      <c r="AF623" s="21"/>
      <c r="AG623" s="21"/>
      <c r="AH623" s="21"/>
    </row>
    <row r="624" spans="1:34">
      <c r="Y624" s="92"/>
      <c r="AC624" s="18"/>
      <c r="AD624" s="21"/>
      <c r="AE624" s="21"/>
      <c r="AF624" s="21"/>
      <c r="AG624" s="21"/>
      <c r="AH624" s="21"/>
    </row>
    <row r="625" spans="25:34">
      <c r="Y625" s="92"/>
      <c r="AC625" s="18"/>
      <c r="AD625" s="21"/>
      <c r="AE625" s="21"/>
      <c r="AF625" s="21"/>
      <c r="AG625" s="21"/>
      <c r="AH625" s="21"/>
    </row>
    <row r="626" spans="25:34">
      <c r="Y626" s="92"/>
      <c r="AC626" s="18"/>
      <c r="AD626" s="21"/>
      <c r="AE626" s="21"/>
      <c r="AF626" s="21"/>
      <c r="AG626" s="21"/>
      <c r="AH626" s="21"/>
    </row>
    <row r="627" spans="25:34">
      <c r="Y627" s="92"/>
      <c r="AC627" s="18"/>
      <c r="AD627" s="21"/>
      <c r="AE627" s="21"/>
      <c r="AF627" s="21"/>
      <c r="AG627" s="21"/>
      <c r="AH627" s="21"/>
    </row>
    <row r="628" spans="25:34">
      <c r="Y628" s="92"/>
      <c r="AC628" s="18"/>
      <c r="AD628" s="21"/>
      <c r="AE628" s="21"/>
      <c r="AF628" s="21"/>
      <c r="AG628" s="21"/>
      <c r="AH628" s="21"/>
    </row>
    <row r="629" spans="25:34">
      <c r="Y629" s="92"/>
    </row>
    <row r="630" spans="25:34">
      <c r="Y630" s="92"/>
    </row>
    <row r="631" spans="25:34">
      <c r="Y631" s="92"/>
    </row>
    <row r="632" spans="25:34">
      <c r="Y632" s="92"/>
    </row>
    <row r="633" spans="25:34">
      <c r="Y633" s="92"/>
    </row>
    <row r="634" spans="25:34">
      <c r="Y634" s="92"/>
    </row>
    <row r="635" spans="25:34">
      <c r="Y635" s="92"/>
    </row>
    <row r="636" spans="25:34">
      <c r="Y636" s="92"/>
    </row>
    <row r="637" spans="25:34">
      <c r="Y637" s="92"/>
    </row>
    <row r="638" spans="25:34">
      <c r="Y638" s="92"/>
    </row>
    <row r="639" spans="25:34">
      <c r="Y639" s="92"/>
    </row>
    <row r="640" spans="25:34">
      <c r="Y640" s="92"/>
    </row>
    <row r="641" spans="25:25">
      <c r="Y641" s="92"/>
    </row>
    <row r="642" spans="25:25">
      <c r="Y642" s="92"/>
    </row>
    <row r="643" spans="25:25">
      <c r="Y643" s="92"/>
    </row>
    <row r="644" spans="25:25">
      <c r="Y644" s="92"/>
    </row>
    <row r="645" spans="25:25">
      <c r="Y645" s="92"/>
    </row>
    <row r="646" spans="25:25">
      <c r="Y646" s="92"/>
    </row>
    <row r="647" spans="25:25">
      <c r="Y647" s="92"/>
    </row>
    <row r="648" spans="25:25">
      <c r="Y648" s="92"/>
    </row>
    <row r="649" spans="25:25">
      <c r="Y649" s="92"/>
    </row>
    <row r="650" spans="25:25">
      <c r="Y650" s="92"/>
    </row>
    <row r="651" spans="25:25">
      <c r="Y651" s="92"/>
    </row>
    <row r="652" spans="25:25">
      <c r="Y652" s="92"/>
    </row>
    <row r="653" spans="25:25">
      <c r="Y653" s="92"/>
    </row>
    <row r="654" spans="25:25">
      <c r="Y654" s="92"/>
    </row>
    <row r="655" spans="25:25">
      <c r="Y655" s="92"/>
    </row>
    <row r="656" spans="25:25">
      <c r="Y656" s="92"/>
    </row>
    <row r="657" spans="25:25">
      <c r="Y657" s="92"/>
    </row>
    <row r="658" spans="25:25">
      <c r="Y658" s="92"/>
    </row>
    <row r="659" spans="25:25">
      <c r="Y659" s="92"/>
    </row>
    <row r="660" spans="25:25">
      <c r="Y660" s="92"/>
    </row>
    <row r="661" spans="25:25">
      <c r="Y661" s="92"/>
    </row>
    <row r="662" spans="25:25">
      <c r="Y662" s="92"/>
    </row>
    <row r="663" spans="25:25">
      <c r="Y663" s="92"/>
    </row>
    <row r="664" spans="25:25">
      <c r="Y664" s="92"/>
    </row>
    <row r="665" spans="25:25">
      <c r="Y665" s="92"/>
    </row>
    <row r="666" spans="25:25">
      <c r="Y666" s="92"/>
    </row>
    <row r="667" spans="25:25">
      <c r="Y667" s="92"/>
    </row>
    <row r="668" spans="25:25">
      <c r="Y668" s="92"/>
    </row>
    <row r="669" spans="25:25">
      <c r="Y669" s="92"/>
    </row>
    <row r="670" spans="25:25">
      <c r="Y670" s="92"/>
    </row>
    <row r="671" spans="25:25">
      <c r="Y671" s="92"/>
    </row>
    <row r="672" spans="25:25">
      <c r="Y672" s="92"/>
    </row>
    <row r="673" spans="25:25">
      <c r="Y673" s="92"/>
    </row>
    <row r="674" spans="25:25">
      <c r="Y674" s="92"/>
    </row>
    <row r="675" spans="25:25">
      <c r="Y675" s="92"/>
    </row>
    <row r="676" spans="25:25">
      <c r="Y676" s="92"/>
    </row>
    <row r="677" spans="25:25">
      <c r="Y677" s="92"/>
    </row>
    <row r="678" spans="25:25">
      <c r="Y678" s="92"/>
    </row>
    <row r="679" spans="25:25">
      <c r="Y679" s="92"/>
    </row>
    <row r="680" spans="25:25">
      <c r="Y680" s="92"/>
    </row>
    <row r="681" spans="25:25">
      <c r="Y681" s="92"/>
    </row>
    <row r="682" spans="25:25">
      <c r="Y682" s="92"/>
    </row>
    <row r="683" spans="25:25">
      <c r="Y683" s="92"/>
    </row>
    <row r="684" spans="25:25">
      <c r="Y684" s="92"/>
    </row>
    <row r="685" spans="25:25">
      <c r="Y685" s="92"/>
    </row>
    <row r="686" spans="25:25">
      <c r="Y686" s="92"/>
    </row>
    <row r="687" spans="25:25">
      <c r="Y687" s="92"/>
    </row>
    <row r="688" spans="25:25">
      <c r="Y688" s="92"/>
    </row>
    <row r="689" spans="25:25">
      <c r="Y689" s="92"/>
    </row>
    <row r="690" spans="25:25">
      <c r="Y690" s="92"/>
    </row>
    <row r="691" spans="25:25">
      <c r="Y691" s="92"/>
    </row>
    <row r="692" spans="25:25">
      <c r="Y692" s="92"/>
    </row>
    <row r="693" spans="25:25">
      <c r="Y693" s="92"/>
    </row>
    <row r="694" spans="25:25">
      <c r="Y694" s="92"/>
    </row>
    <row r="695" spans="25:25">
      <c r="Y695" s="92"/>
    </row>
    <row r="696" spans="25:25">
      <c r="Y696" s="92"/>
    </row>
    <row r="697" spans="25:25">
      <c r="Y697" s="92"/>
    </row>
    <row r="698" spans="25:25">
      <c r="Y698" s="92"/>
    </row>
    <row r="699" spans="25:25">
      <c r="Y699" s="92"/>
    </row>
    <row r="700" spans="25:25">
      <c r="Y700" s="92"/>
    </row>
    <row r="701" spans="25:25">
      <c r="Y701" s="92"/>
    </row>
    <row r="702" spans="25:25">
      <c r="Y702" s="92"/>
    </row>
    <row r="703" spans="25:25">
      <c r="Y703" s="92"/>
    </row>
    <row r="704" spans="25:25">
      <c r="Y704" s="92"/>
    </row>
    <row r="705" spans="25:25">
      <c r="Y705" s="92"/>
    </row>
    <row r="706" spans="25:25">
      <c r="Y706" s="92"/>
    </row>
    <row r="707" spans="25:25">
      <c r="Y707" s="92"/>
    </row>
    <row r="708" spans="25:25">
      <c r="Y708" s="92"/>
    </row>
    <row r="709" spans="25:25">
      <c r="Y709" s="92"/>
    </row>
    <row r="710" spans="25:25">
      <c r="Y710" s="92"/>
    </row>
    <row r="711" spans="25:25">
      <c r="Y711" s="92"/>
    </row>
    <row r="712" spans="25:25">
      <c r="Y712" s="92"/>
    </row>
    <row r="713" spans="25:25">
      <c r="Y713" s="92"/>
    </row>
    <row r="714" spans="25:25">
      <c r="Y714" s="92"/>
    </row>
    <row r="715" spans="25:25">
      <c r="Y715" s="92"/>
    </row>
    <row r="716" spans="25:25">
      <c r="Y716" s="92"/>
    </row>
    <row r="717" spans="25:25">
      <c r="Y717" s="92"/>
    </row>
    <row r="718" spans="25:25">
      <c r="Y718" s="92"/>
    </row>
    <row r="719" spans="25:25">
      <c r="Y719" s="92"/>
    </row>
    <row r="720" spans="25:25">
      <c r="Y720" s="92"/>
    </row>
    <row r="721" spans="25:25">
      <c r="Y721" s="92"/>
    </row>
    <row r="722" spans="25:25">
      <c r="Y722" s="92"/>
    </row>
    <row r="723" spans="25:25">
      <c r="Y723" s="92"/>
    </row>
    <row r="724" spans="25:25">
      <c r="Y724" s="92"/>
    </row>
    <row r="725" spans="25:25">
      <c r="Y725" s="92"/>
    </row>
    <row r="726" spans="25:25">
      <c r="Y726" s="92"/>
    </row>
    <row r="727" spans="25:25">
      <c r="Y727" s="92"/>
    </row>
    <row r="728" spans="25:25">
      <c r="Y728" s="92"/>
    </row>
    <row r="729" spans="25:25">
      <c r="Y729" s="92"/>
    </row>
    <row r="730" spans="25:25">
      <c r="Y730" s="92"/>
    </row>
    <row r="731" spans="25:25">
      <c r="Y731" s="92"/>
    </row>
    <row r="732" spans="25:25">
      <c r="Y732" s="92"/>
    </row>
    <row r="733" spans="25:25">
      <c r="Y733" s="92"/>
    </row>
    <row r="734" spans="25:25">
      <c r="Y734" s="92"/>
    </row>
    <row r="735" spans="25:25">
      <c r="Y735" s="92"/>
    </row>
    <row r="736" spans="25:25">
      <c r="Y736" s="92"/>
    </row>
    <row r="737" spans="25:25">
      <c r="Y737" s="92"/>
    </row>
    <row r="738" spans="25:25">
      <c r="Y738" s="92"/>
    </row>
    <row r="739" spans="25:25">
      <c r="Y739" s="92"/>
    </row>
    <row r="740" spans="25:25">
      <c r="Y740" s="92"/>
    </row>
    <row r="741" spans="25:25">
      <c r="Y741" s="92"/>
    </row>
    <row r="742" spans="25:25">
      <c r="Y742" s="92"/>
    </row>
    <row r="743" spans="25:25">
      <c r="Y743" s="92"/>
    </row>
    <row r="744" spans="25:25">
      <c r="Y744" s="92"/>
    </row>
    <row r="745" spans="25:25">
      <c r="Y745" s="92"/>
    </row>
    <row r="746" spans="25:25">
      <c r="Y746" s="92"/>
    </row>
    <row r="747" spans="25:25">
      <c r="Y747" s="92"/>
    </row>
    <row r="748" spans="25:25">
      <c r="Y748" s="92"/>
    </row>
    <row r="749" spans="25:25">
      <c r="Y749" s="92"/>
    </row>
    <row r="750" spans="25:25">
      <c r="Y750" s="92"/>
    </row>
    <row r="751" spans="25:25">
      <c r="Y751" s="92"/>
    </row>
    <row r="752" spans="25:25">
      <c r="Y752" s="92"/>
    </row>
    <row r="753" spans="25:25">
      <c r="Y753" s="92"/>
    </row>
    <row r="754" spans="25:25">
      <c r="Y754" s="92"/>
    </row>
    <row r="755" spans="25:25">
      <c r="Y755" s="92"/>
    </row>
    <row r="756" spans="25:25">
      <c r="Y756" s="92"/>
    </row>
    <row r="757" spans="25:25">
      <c r="Y757" s="92"/>
    </row>
    <row r="758" spans="25:25">
      <c r="Y758" s="92"/>
    </row>
    <row r="759" spans="25:25">
      <c r="Y759" s="92"/>
    </row>
    <row r="760" spans="25:25">
      <c r="Y760" s="92"/>
    </row>
    <row r="761" spans="25:25">
      <c r="Y761" s="92"/>
    </row>
    <row r="762" spans="25:25">
      <c r="Y762" s="92"/>
    </row>
    <row r="763" spans="25:25">
      <c r="Y763" s="92"/>
    </row>
    <row r="764" spans="25:25">
      <c r="Y764" s="92"/>
    </row>
    <row r="765" spans="25:25">
      <c r="Y765" s="92"/>
    </row>
    <row r="766" spans="25:25">
      <c r="Y766" s="92"/>
    </row>
    <row r="767" spans="25:25">
      <c r="Y767" s="92"/>
    </row>
    <row r="768" spans="25:25">
      <c r="Y768" s="92"/>
    </row>
    <row r="769" spans="25:25">
      <c r="Y769" s="92"/>
    </row>
    <row r="770" spans="25:25">
      <c r="Y770" s="92"/>
    </row>
    <row r="771" spans="25:25">
      <c r="Y771" s="92"/>
    </row>
    <row r="772" spans="25:25">
      <c r="Y772" s="92"/>
    </row>
    <row r="773" spans="25:25">
      <c r="Y773" s="92"/>
    </row>
    <row r="774" spans="25:25">
      <c r="Y774" s="92"/>
    </row>
    <row r="775" spans="25:25">
      <c r="Y775" s="92"/>
    </row>
    <row r="776" spans="25:25">
      <c r="Y776" s="92"/>
    </row>
    <row r="777" spans="25:25">
      <c r="Y777" s="92"/>
    </row>
    <row r="778" spans="25:25">
      <c r="Y778" s="92"/>
    </row>
    <row r="779" spans="25:25">
      <c r="Y779" s="92"/>
    </row>
    <row r="780" spans="25:25">
      <c r="Y780" s="92"/>
    </row>
    <row r="781" spans="25:25">
      <c r="Y781" s="92"/>
    </row>
    <row r="782" spans="25:25">
      <c r="Y782" s="92"/>
    </row>
    <row r="783" spans="25:25">
      <c r="Y783" s="92"/>
    </row>
    <row r="784" spans="25:25">
      <c r="Y784" s="92"/>
    </row>
    <row r="785" spans="25:25">
      <c r="Y785" s="92"/>
    </row>
    <row r="786" spans="25:25">
      <c r="Y786" s="92"/>
    </row>
    <row r="787" spans="25:25">
      <c r="Y787" s="92"/>
    </row>
    <row r="788" spans="25:25">
      <c r="Y788" s="92"/>
    </row>
    <row r="789" spans="25:25">
      <c r="Y789" s="92"/>
    </row>
    <row r="790" spans="25:25">
      <c r="Y790" s="92"/>
    </row>
    <row r="791" spans="25:25">
      <c r="Y791" s="92"/>
    </row>
    <row r="792" spans="25:25">
      <c r="Y792" s="92"/>
    </row>
    <row r="793" spans="25:25">
      <c r="Y793" s="92"/>
    </row>
    <row r="794" spans="25:25">
      <c r="Y794" s="92"/>
    </row>
    <row r="795" spans="25:25">
      <c r="Y795" s="92"/>
    </row>
    <row r="796" spans="25:25">
      <c r="Y796" s="92"/>
    </row>
    <row r="797" spans="25:25">
      <c r="Y797" s="92"/>
    </row>
    <row r="798" spans="25:25">
      <c r="Y798" s="92"/>
    </row>
    <row r="799" spans="25:25">
      <c r="Y799" s="92"/>
    </row>
    <row r="800" spans="25:25">
      <c r="Y800" s="92"/>
    </row>
    <row r="801" spans="25:25">
      <c r="Y801" s="92"/>
    </row>
    <row r="802" spans="25:25">
      <c r="Y802" s="92"/>
    </row>
    <row r="803" spans="25:25">
      <c r="Y803" s="92"/>
    </row>
    <row r="804" spans="25:25">
      <c r="Y804" s="92"/>
    </row>
    <row r="805" spans="25:25">
      <c r="Y805" s="92"/>
    </row>
    <row r="806" spans="25:25">
      <c r="Y806" s="92"/>
    </row>
    <row r="807" spans="25:25">
      <c r="Y807" s="92"/>
    </row>
    <row r="808" spans="25:25">
      <c r="Y808" s="92"/>
    </row>
    <row r="809" spans="25:25">
      <c r="Y809" s="92"/>
    </row>
    <row r="810" spans="25:25">
      <c r="Y810" s="92"/>
    </row>
    <row r="811" spans="25:25">
      <c r="Y811" s="92"/>
    </row>
    <row r="812" spans="25:25">
      <c r="Y812" s="92"/>
    </row>
    <row r="813" spans="25:25">
      <c r="Y813" s="92"/>
    </row>
    <row r="814" spans="25:25">
      <c r="Y814" s="92"/>
    </row>
    <row r="815" spans="25:25">
      <c r="Y815" s="92"/>
    </row>
    <row r="816" spans="25:25">
      <c r="Y816" s="92"/>
    </row>
    <row r="817" spans="25:25">
      <c r="Y817" s="92"/>
    </row>
    <row r="818" spans="25:25">
      <c r="Y818" s="92"/>
    </row>
    <row r="819" spans="25:25">
      <c r="Y819" s="92"/>
    </row>
    <row r="820" spans="25:25">
      <c r="Y820" s="92"/>
    </row>
    <row r="821" spans="25:25">
      <c r="Y821" s="92"/>
    </row>
    <row r="822" spans="25:25">
      <c r="Y822" s="92"/>
    </row>
    <row r="823" spans="25:25">
      <c r="Y823" s="92"/>
    </row>
    <row r="824" spans="25:25">
      <c r="Y824" s="92"/>
    </row>
    <row r="825" spans="25:25">
      <c r="Y825" s="92"/>
    </row>
    <row r="826" spans="25:25">
      <c r="Y826" s="92"/>
    </row>
    <row r="827" spans="25:25">
      <c r="Y827" s="92"/>
    </row>
    <row r="828" spans="25:25">
      <c r="Y828" s="92"/>
    </row>
    <row r="829" spans="25:25">
      <c r="Y829" s="92"/>
    </row>
    <row r="830" spans="25:25">
      <c r="Y830" s="92"/>
    </row>
    <row r="831" spans="25:25">
      <c r="Y831" s="92"/>
    </row>
    <row r="832" spans="25:25">
      <c r="Y832" s="92"/>
    </row>
    <row r="833" spans="25:25">
      <c r="Y833" s="92"/>
    </row>
    <row r="834" spans="25:25">
      <c r="Y834" s="92"/>
    </row>
    <row r="835" spans="25:25">
      <c r="Y835" s="92"/>
    </row>
    <row r="836" spans="25:25">
      <c r="Y836" s="92"/>
    </row>
    <row r="837" spans="25:25">
      <c r="Y837" s="92"/>
    </row>
    <row r="838" spans="25:25">
      <c r="Y838" s="92"/>
    </row>
    <row r="839" spans="25:25">
      <c r="Y839" s="92"/>
    </row>
    <row r="840" spans="25:25">
      <c r="Y840" s="92"/>
    </row>
    <row r="841" spans="25:25">
      <c r="Y841" s="92"/>
    </row>
    <row r="842" spans="25:25">
      <c r="Y842" s="92"/>
    </row>
    <row r="843" spans="25:25">
      <c r="Y843" s="92"/>
    </row>
    <row r="844" spans="25:25">
      <c r="Y844" s="92"/>
    </row>
    <row r="845" spans="25:25">
      <c r="Y845" s="92"/>
    </row>
    <row r="846" spans="25:25">
      <c r="Y846" s="92"/>
    </row>
    <row r="847" spans="25:25">
      <c r="Y847" s="92"/>
    </row>
    <row r="848" spans="25:25">
      <c r="Y848" s="92"/>
    </row>
    <row r="849" spans="25:25">
      <c r="Y849" s="92"/>
    </row>
    <row r="850" spans="25:25">
      <c r="Y850" s="92"/>
    </row>
    <row r="851" spans="25:25">
      <c r="Y851" s="92"/>
    </row>
    <row r="852" spans="25:25">
      <c r="Y852" s="92"/>
    </row>
    <row r="853" spans="25:25">
      <c r="Y853" s="92"/>
    </row>
    <row r="854" spans="25:25">
      <c r="Y854" s="92"/>
    </row>
    <row r="855" spans="25:25">
      <c r="Y855" s="92"/>
    </row>
    <row r="856" spans="25:25">
      <c r="Y856" s="92"/>
    </row>
    <row r="857" spans="25:25">
      <c r="Y857" s="92"/>
    </row>
    <row r="858" spans="25:25">
      <c r="Y858" s="92"/>
    </row>
    <row r="859" spans="25:25">
      <c r="Y859" s="92"/>
    </row>
    <row r="860" spans="25:25">
      <c r="Y860" s="92"/>
    </row>
    <row r="861" spans="25:25">
      <c r="Y861" s="92"/>
    </row>
    <row r="862" spans="25:25">
      <c r="Y862" s="92"/>
    </row>
    <row r="863" spans="25:25">
      <c r="Y863" s="92"/>
    </row>
    <row r="864" spans="25:25">
      <c r="Y864" s="92"/>
    </row>
    <row r="865" spans="25:25">
      <c r="Y865" s="92"/>
    </row>
    <row r="866" spans="25:25">
      <c r="Y866" s="92"/>
    </row>
    <row r="867" spans="25:25">
      <c r="Y867" s="92"/>
    </row>
    <row r="868" spans="25:25">
      <c r="Y868" s="92"/>
    </row>
    <row r="869" spans="25:25">
      <c r="Y869" s="92"/>
    </row>
    <row r="870" spans="25:25">
      <c r="Y870" s="92"/>
    </row>
    <row r="871" spans="25:25">
      <c r="Y871" s="92"/>
    </row>
    <row r="872" spans="25:25">
      <c r="Y872" s="92"/>
    </row>
    <row r="873" spans="25:25">
      <c r="Y873" s="92"/>
    </row>
    <row r="874" spans="25:25">
      <c r="Y874" s="92"/>
    </row>
    <row r="875" spans="25:25">
      <c r="Y875" s="92"/>
    </row>
    <row r="876" spans="25:25">
      <c r="Y876" s="92"/>
    </row>
    <row r="877" spans="25:25">
      <c r="Y877" s="92"/>
    </row>
    <row r="878" spans="25:25">
      <c r="Y878" s="92"/>
    </row>
    <row r="879" spans="25:25">
      <c r="Y879" s="92"/>
    </row>
    <row r="880" spans="25:25">
      <c r="Y880" s="92"/>
    </row>
    <row r="881" spans="25:25">
      <c r="Y881" s="92"/>
    </row>
    <row r="882" spans="25:25">
      <c r="Y882" s="92"/>
    </row>
    <row r="883" spans="25:25">
      <c r="Y883" s="92"/>
    </row>
    <row r="884" spans="25:25">
      <c r="Y884" s="92"/>
    </row>
    <row r="885" spans="25:25">
      <c r="Y885" s="92"/>
    </row>
    <row r="886" spans="25:25">
      <c r="Y886" s="92"/>
    </row>
    <row r="887" spans="25:25">
      <c r="Y887" s="92"/>
    </row>
    <row r="888" spans="25:25">
      <c r="Y888" s="92"/>
    </row>
    <row r="889" spans="25:25">
      <c r="Y889" s="92"/>
    </row>
    <row r="890" spans="25:25">
      <c r="Y890" s="92"/>
    </row>
    <row r="891" spans="25:25">
      <c r="Y891" s="92"/>
    </row>
    <row r="892" spans="25:25">
      <c r="Y892" s="92"/>
    </row>
    <row r="893" spans="25:25">
      <c r="Y893" s="92"/>
    </row>
    <row r="894" spans="25:25">
      <c r="Y894" s="92"/>
    </row>
    <row r="895" spans="25:25">
      <c r="Y895" s="92"/>
    </row>
    <row r="896" spans="25:25">
      <c r="Y896" s="92"/>
    </row>
    <row r="897" spans="25:25">
      <c r="Y897" s="92"/>
    </row>
    <row r="898" spans="25:25">
      <c r="Y898" s="92"/>
    </row>
    <row r="899" spans="25:25">
      <c r="Y899" s="92"/>
    </row>
    <row r="900" spans="25:25">
      <c r="Y900" s="92"/>
    </row>
    <row r="901" spans="25:25">
      <c r="Y901" s="92"/>
    </row>
    <row r="902" spans="25:25">
      <c r="Y902" s="92"/>
    </row>
    <row r="903" spans="25:25">
      <c r="Y903" s="92"/>
    </row>
    <row r="904" spans="25:25">
      <c r="Y904" s="92"/>
    </row>
    <row r="905" spans="25:25">
      <c r="Y905" s="92"/>
    </row>
    <row r="906" spans="25:25">
      <c r="Y906" s="92"/>
    </row>
    <row r="907" spans="25:25">
      <c r="Y907" s="92"/>
    </row>
    <row r="908" spans="25:25">
      <c r="Y908" s="92"/>
    </row>
    <row r="909" spans="25:25">
      <c r="Y909" s="92"/>
    </row>
    <row r="910" spans="25:25">
      <c r="Y910" s="92"/>
    </row>
    <row r="911" spans="25:25">
      <c r="Y911" s="92"/>
    </row>
    <row r="912" spans="25:25">
      <c r="Y912" s="92"/>
    </row>
    <row r="913" spans="25:25">
      <c r="Y913" s="92"/>
    </row>
    <row r="914" spans="25:25">
      <c r="Y914" s="92"/>
    </row>
    <row r="915" spans="25:25">
      <c r="Y915" s="92"/>
    </row>
    <row r="916" spans="25:25">
      <c r="Y916" s="92"/>
    </row>
    <row r="917" spans="25:25">
      <c r="Y917" s="92"/>
    </row>
    <row r="918" spans="25:25">
      <c r="Y918" s="92"/>
    </row>
    <row r="919" spans="25:25">
      <c r="Y919" s="92"/>
    </row>
    <row r="920" spans="25:25">
      <c r="Y920" s="92"/>
    </row>
    <row r="921" spans="25:25">
      <c r="Y921" s="92"/>
    </row>
    <row r="922" spans="25:25">
      <c r="Y922" s="92"/>
    </row>
    <row r="923" spans="25:25">
      <c r="Y923" s="92"/>
    </row>
    <row r="924" spans="25:25">
      <c r="Y924" s="92"/>
    </row>
    <row r="925" spans="25:25">
      <c r="Y925" s="92"/>
    </row>
    <row r="926" spans="25:25">
      <c r="Y926" s="92"/>
    </row>
    <row r="927" spans="25:25">
      <c r="Y927" s="92"/>
    </row>
    <row r="928" spans="25:25">
      <c r="Y928" s="92"/>
    </row>
    <row r="929" spans="25:25">
      <c r="Y929" s="92"/>
    </row>
    <row r="930" spans="25:25">
      <c r="Y930" s="92"/>
    </row>
    <row r="931" spans="25:25">
      <c r="Y931" s="92"/>
    </row>
    <row r="932" spans="25:25">
      <c r="Y932" s="92"/>
    </row>
    <row r="933" spans="25:25">
      <c r="Y933" s="92"/>
    </row>
    <row r="934" spans="25:25">
      <c r="Y934" s="92"/>
    </row>
    <row r="935" spans="25:25">
      <c r="Y935" s="92"/>
    </row>
    <row r="936" spans="25:25">
      <c r="Y936" s="92"/>
    </row>
    <row r="937" spans="25:25">
      <c r="Y937" s="92"/>
    </row>
    <row r="938" spans="25:25">
      <c r="Y938" s="92"/>
    </row>
    <row r="939" spans="25:25">
      <c r="Y939" s="92"/>
    </row>
    <row r="940" spans="25:25">
      <c r="Y940" s="92"/>
    </row>
    <row r="941" spans="25:25">
      <c r="Y941" s="92"/>
    </row>
    <row r="942" spans="25:25">
      <c r="Y942" s="92"/>
    </row>
    <row r="943" spans="25:25">
      <c r="Y943" s="92"/>
    </row>
    <row r="944" spans="25:25">
      <c r="Y944" s="92"/>
    </row>
    <row r="945" spans="25:25">
      <c r="Y945" s="92"/>
    </row>
    <row r="946" spans="25:25">
      <c r="Y946" s="92"/>
    </row>
    <row r="947" spans="25:25">
      <c r="Y947" s="92"/>
    </row>
    <row r="948" spans="25:25">
      <c r="Y948" s="92"/>
    </row>
    <row r="949" spans="25:25">
      <c r="Y949" s="92"/>
    </row>
    <row r="950" spans="25:25">
      <c r="Y950" s="92"/>
    </row>
    <row r="951" spans="25:25">
      <c r="Y951" s="92"/>
    </row>
    <row r="952" spans="25:25">
      <c r="Y952" s="92"/>
    </row>
    <row r="953" spans="25:25">
      <c r="Y953" s="92"/>
    </row>
    <row r="954" spans="25:25">
      <c r="Y954" s="92"/>
    </row>
    <row r="955" spans="25:25">
      <c r="Y955" s="92"/>
    </row>
    <row r="956" spans="25:25">
      <c r="Y956" s="92"/>
    </row>
    <row r="957" spans="25:25">
      <c r="Y957" s="92"/>
    </row>
    <row r="958" spans="25:25">
      <c r="Y958" s="92"/>
    </row>
    <row r="959" spans="25:25">
      <c r="Y959" s="92"/>
    </row>
    <row r="960" spans="25:25">
      <c r="Y960" s="92"/>
    </row>
    <row r="961" spans="25:25">
      <c r="Y961" s="92"/>
    </row>
    <row r="962" spans="25:25">
      <c r="Y962" s="92"/>
    </row>
    <row r="963" spans="25:25">
      <c r="Y963" s="92"/>
    </row>
    <row r="964" spans="25:25">
      <c r="Y964" s="92"/>
    </row>
    <row r="965" spans="25:25">
      <c r="Y965" s="92"/>
    </row>
    <row r="966" spans="25:25">
      <c r="Y966" s="92"/>
    </row>
    <row r="967" spans="25:25">
      <c r="Y967" s="92"/>
    </row>
    <row r="968" spans="25:25">
      <c r="Y968" s="92"/>
    </row>
    <row r="969" spans="25:25">
      <c r="Y969" s="92"/>
    </row>
    <row r="970" spans="25:25">
      <c r="Y970" s="92"/>
    </row>
    <row r="971" spans="25:25">
      <c r="Y971" s="92"/>
    </row>
    <row r="972" spans="25:25">
      <c r="Y972" s="92"/>
    </row>
    <row r="973" spans="25:25">
      <c r="Y973" s="92"/>
    </row>
    <row r="974" spans="25:25">
      <c r="Y974" s="92"/>
    </row>
    <row r="975" spans="25:25">
      <c r="Y975" s="92"/>
    </row>
    <row r="976" spans="25:25">
      <c r="Y976" s="92"/>
    </row>
    <row r="977" spans="25:25">
      <c r="Y977" s="92"/>
    </row>
    <row r="978" spans="25:25">
      <c r="Y978" s="92"/>
    </row>
    <row r="979" spans="25:25">
      <c r="Y979" s="92"/>
    </row>
    <row r="980" spans="25:25">
      <c r="Y980" s="92"/>
    </row>
    <row r="981" spans="25:25">
      <c r="Y981" s="92"/>
    </row>
    <row r="982" spans="25:25">
      <c r="Y982" s="92"/>
    </row>
    <row r="983" spans="25:25">
      <c r="Y983" s="92"/>
    </row>
    <row r="984" spans="25:25">
      <c r="Y984" s="92"/>
    </row>
    <row r="985" spans="25:25">
      <c r="Y985" s="92"/>
    </row>
    <row r="986" spans="25:25">
      <c r="Y986" s="92"/>
    </row>
    <row r="987" spans="25:25">
      <c r="Y987" s="92"/>
    </row>
    <row r="988" spans="25:25">
      <c r="Y988" s="92"/>
    </row>
    <row r="989" spans="25:25">
      <c r="Y989" s="92"/>
    </row>
    <row r="990" spans="25:25">
      <c r="Y990" s="92"/>
    </row>
    <row r="991" spans="25:25">
      <c r="Y991" s="92"/>
    </row>
    <row r="992" spans="25:25">
      <c r="Y992" s="92"/>
    </row>
    <row r="993" spans="25:25">
      <c r="Y993" s="92"/>
    </row>
    <row r="994" spans="25:25">
      <c r="Y994" s="92"/>
    </row>
    <row r="995" spans="25:25">
      <c r="Y995" s="92"/>
    </row>
    <row r="996" spans="25:25">
      <c r="Y996" s="92"/>
    </row>
    <row r="997" spans="25:25">
      <c r="Y997" s="92"/>
    </row>
    <row r="998" spans="25:25">
      <c r="Y998" s="92"/>
    </row>
    <row r="999" spans="25:25">
      <c r="Y999" s="92"/>
    </row>
    <row r="1000" spans="25:25">
      <c r="Y1000" s="92"/>
    </row>
    <row r="1001" spans="25:25">
      <c r="Y1001" s="92"/>
    </row>
    <row r="1002" spans="25:25">
      <c r="Y1002" s="92"/>
    </row>
    <row r="1003" spans="25:25">
      <c r="Y1003" s="92"/>
    </row>
  </sheetData>
  <autoFilter ref="A2:AJ518" xr:uid="{00000000-0009-0000-0000-000004000000}"/>
  <phoneticPr fontId="4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00"/>
  <sheetViews>
    <sheetView zoomScale="73" zoomScaleNormal="80" workbookViewId="0">
      <pane xSplit="5" ySplit="2" topLeftCell="F181" activePane="bottomRight" state="frozen"/>
      <selection pane="topRight" activeCell="F1" sqref="F1"/>
      <selection pane="bottomLeft" activeCell="A3" sqref="A3"/>
      <selection pane="bottomRight" activeCell="K205" sqref="K205"/>
    </sheetView>
  </sheetViews>
  <sheetFormatPr defaultColWidth="10" defaultRowHeight="15.6"/>
  <cols>
    <col min="1" max="1" width="11.21875" style="13" customWidth="1"/>
    <col min="2" max="2" width="14.21875" style="13" customWidth="1"/>
    <col min="3" max="3" width="6.88671875" style="13" bestFit="1" customWidth="1"/>
    <col min="4" max="4" width="10.1093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7.21875" style="18" customWidth="1"/>
    <col min="24" max="24" width="8.88671875" style="19" customWidth="1"/>
    <col min="25" max="25" width="21.88671875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149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150</v>
      </c>
      <c r="V1" s="8" t="s">
        <v>12</v>
      </c>
      <c r="W1" s="8" t="s">
        <v>11</v>
      </c>
      <c r="X1" s="1" t="s">
        <v>143</v>
      </c>
      <c r="Y1" s="90" t="s">
        <v>13</v>
      </c>
      <c r="Z1" s="1" t="s">
        <v>14</v>
      </c>
      <c r="AA1" s="1" t="s">
        <v>141</v>
      </c>
      <c r="AB1" s="1" t="s">
        <v>140</v>
      </c>
      <c r="AC1" s="1" t="s">
        <v>140</v>
      </c>
      <c r="AD1" s="1" t="s">
        <v>140</v>
      </c>
      <c r="AE1" s="1" t="s">
        <v>140</v>
      </c>
      <c r="AF1" s="1" t="s">
        <v>140</v>
      </c>
      <c r="AG1" s="1" t="s">
        <v>140</v>
      </c>
      <c r="AH1" s="1" t="s">
        <v>140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91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</row>
    <row r="3" spans="1:36">
      <c r="A3" s="13" t="s">
        <v>173</v>
      </c>
      <c r="B3" s="13" t="s">
        <v>80</v>
      </c>
      <c r="C3" s="13">
        <v>2</v>
      </c>
      <c r="E3" s="14">
        <v>44607</v>
      </c>
      <c r="H3" s="16">
        <v>16</v>
      </c>
      <c r="I3" s="16">
        <v>5.96</v>
      </c>
      <c r="J3" s="16">
        <v>6.31</v>
      </c>
      <c r="K3" s="17">
        <v>0.43643398591230548</v>
      </c>
      <c r="P3" s="18" t="s">
        <v>50</v>
      </c>
      <c r="Q3" s="18">
        <v>0.71070514216357372</v>
      </c>
      <c r="R3" s="18">
        <v>3.09E-2</v>
      </c>
      <c r="S3" s="18">
        <v>9.9533696126129806E-2</v>
      </c>
      <c r="T3" s="18">
        <v>0.32126362229228522</v>
      </c>
      <c r="U3" s="18"/>
      <c r="V3" s="18">
        <v>0.2052469840481021</v>
      </c>
      <c r="W3" s="18">
        <v>2.4596</v>
      </c>
      <c r="Y3" s="92">
        <v>0.37837944150035568</v>
      </c>
      <c r="Z3" s="20">
        <v>-4.6185990597106423</v>
      </c>
      <c r="AA3" s="10">
        <v>-14.63866166519515</v>
      </c>
      <c r="AB3" s="21">
        <v>0.57330074225500627</v>
      </c>
      <c r="AC3" s="18">
        <v>2.0705276258721522E-2</v>
      </c>
      <c r="AD3" s="21">
        <v>0.1881125556694572</v>
      </c>
      <c r="AE3" s="18">
        <v>9.64318293131885E-2</v>
      </c>
      <c r="AF3" s="18" t="s">
        <v>51</v>
      </c>
      <c r="AG3" s="21"/>
      <c r="AH3" s="21">
        <v>0.1923649980296647</v>
      </c>
      <c r="AI3" s="19"/>
      <c r="AJ3" s="19"/>
    </row>
    <row r="4" spans="1:36">
      <c r="A4" s="13" t="s">
        <v>173</v>
      </c>
      <c r="B4" s="13" t="s">
        <v>80</v>
      </c>
      <c r="C4" s="13">
        <v>3</v>
      </c>
      <c r="E4" s="14">
        <v>44614</v>
      </c>
      <c r="H4" s="16">
        <v>14.5</v>
      </c>
      <c r="I4" s="16">
        <v>6.35</v>
      </c>
      <c r="J4" s="16">
        <v>6.26</v>
      </c>
      <c r="K4" s="17">
        <v>0.19275011487962401</v>
      </c>
      <c r="P4" s="18" t="s">
        <v>50</v>
      </c>
      <c r="Q4" s="18">
        <v>0.92033304402104155</v>
      </c>
      <c r="R4" s="18" t="s">
        <v>50</v>
      </c>
      <c r="S4" s="18">
        <v>0.17373767660471071</v>
      </c>
      <c r="T4" s="18">
        <v>0.46963614426091183</v>
      </c>
      <c r="U4" s="18"/>
      <c r="V4" s="18">
        <v>0.141176633758123</v>
      </c>
      <c r="W4" s="18">
        <v>0.93859999999999999</v>
      </c>
      <c r="Y4" s="92">
        <v>0.28237683721594681</v>
      </c>
      <c r="Z4" s="20">
        <v>-6.303793028679026</v>
      </c>
      <c r="AA4" s="10">
        <v>-21.564579684825869</v>
      </c>
      <c r="AB4" s="17">
        <v>0.58956144784973519</v>
      </c>
      <c r="AC4" s="18">
        <v>4.2707916101347901E-2</v>
      </c>
      <c r="AD4" s="21">
        <v>0.15932613996918671</v>
      </c>
      <c r="AE4" s="21">
        <v>0.1070535718304535</v>
      </c>
      <c r="AF4" s="21" t="s">
        <v>51</v>
      </c>
      <c r="AG4" s="21"/>
      <c r="AH4" s="21">
        <v>8.4660616250327628E-2</v>
      </c>
    </row>
    <row r="5" spans="1:36">
      <c r="A5" s="13" t="s">
        <v>173</v>
      </c>
      <c r="B5" s="13" t="s">
        <v>80</v>
      </c>
      <c r="C5" s="13">
        <v>4</v>
      </c>
      <c r="E5" s="14">
        <v>44621</v>
      </c>
      <c r="H5" s="16">
        <v>19.7</v>
      </c>
      <c r="I5" s="16">
        <v>6.76</v>
      </c>
      <c r="J5" s="16">
        <v>16.47</v>
      </c>
      <c r="K5" s="17">
        <v>0.35785051870365858</v>
      </c>
      <c r="P5" s="18" t="s">
        <v>50</v>
      </c>
      <c r="Q5" s="18">
        <v>1.9646360650866901</v>
      </c>
      <c r="R5" s="18">
        <v>3.1399999999999997E-2</v>
      </c>
      <c r="S5" s="18">
        <v>1.463181588089022</v>
      </c>
      <c r="T5" s="18">
        <v>1.331158261178313</v>
      </c>
      <c r="U5" s="18"/>
      <c r="V5" s="18">
        <v>0.67966081697624225</v>
      </c>
      <c r="W5" s="18">
        <v>0.90669999999999995</v>
      </c>
      <c r="Y5" s="92">
        <v>1.0258394029569</v>
      </c>
      <c r="Z5" s="20">
        <v>-5.9870814773125947</v>
      </c>
      <c r="AA5" s="10">
        <v>-21.234090497681599</v>
      </c>
      <c r="AB5" s="17">
        <v>1.17792776110755</v>
      </c>
      <c r="AC5" s="18">
        <v>0.12212150934074301</v>
      </c>
      <c r="AD5" s="21">
        <v>0.29560914452464349</v>
      </c>
      <c r="AE5" s="21">
        <v>0.24666178873031561</v>
      </c>
      <c r="AF5" s="21" t="s">
        <v>51</v>
      </c>
      <c r="AG5" s="21"/>
      <c r="AH5" s="21">
        <v>0.12384265543556409</v>
      </c>
    </row>
    <row r="6" spans="1:36">
      <c r="A6" s="13" t="s">
        <v>79</v>
      </c>
      <c r="B6" s="13" t="s">
        <v>80</v>
      </c>
      <c r="C6" s="13">
        <v>5</v>
      </c>
      <c r="E6" s="14">
        <v>44628</v>
      </c>
      <c r="H6" s="16">
        <v>18.3</v>
      </c>
      <c r="I6" s="16">
        <v>5.29</v>
      </c>
      <c r="J6" s="16">
        <v>34.26</v>
      </c>
      <c r="K6" s="17">
        <v>-0.23495208875359611</v>
      </c>
      <c r="P6" s="18">
        <v>6.4000000000000003E-3</v>
      </c>
      <c r="Q6" s="18">
        <v>3.4935010126595389</v>
      </c>
      <c r="R6" s="18" t="s">
        <v>50</v>
      </c>
      <c r="S6" s="18">
        <v>5.0267632792837986</v>
      </c>
      <c r="T6" s="18">
        <v>3.302321928053316</v>
      </c>
      <c r="U6" s="18"/>
      <c r="V6" s="18">
        <v>1.771331186638301</v>
      </c>
      <c r="W6" s="18">
        <v>1.5144</v>
      </c>
      <c r="Y6" s="92">
        <v>2.893490191656515</v>
      </c>
      <c r="Z6" s="20">
        <v>-3.027828410404299</v>
      </c>
      <c r="AA6" s="10">
        <v>-0.53235221431222968</v>
      </c>
      <c r="AB6" s="17">
        <v>2.0070786384595238</v>
      </c>
      <c r="AC6" s="18">
        <v>0.24382565477552151</v>
      </c>
      <c r="AD6" s="21">
        <v>0.33315865528580701</v>
      </c>
      <c r="AE6" s="21">
        <v>0.56992519781759088</v>
      </c>
      <c r="AF6" s="21" t="s">
        <v>51</v>
      </c>
      <c r="AG6" s="21"/>
      <c r="AH6" s="21">
        <v>6.1016610679119017E-2</v>
      </c>
    </row>
    <row r="7" spans="1:36" s="25" customFormat="1" ht="16.2">
      <c r="A7" s="22" t="s">
        <v>79</v>
      </c>
      <c r="B7" s="22" t="s">
        <v>80</v>
      </c>
      <c r="C7" s="22">
        <v>6</v>
      </c>
      <c r="D7" s="23"/>
      <c r="E7" s="23">
        <v>44635</v>
      </c>
      <c r="F7" s="24"/>
      <c r="K7" s="26"/>
      <c r="M7" s="22"/>
      <c r="N7" s="22"/>
      <c r="O7" s="22"/>
      <c r="P7" s="27"/>
      <c r="Q7" s="27"/>
      <c r="R7" s="27"/>
      <c r="S7" s="27"/>
      <c r="T7" s="27"/>
      <c r="U7" s="27"/>
      <c r="V7" s="27"/>
      <c r="W7" s="27"/>
      <c r="X7" s="28"/>
      <c r="Y7" s="93"/>
      <c r="Z7" s="26"/>
      <c r="AA7" s="29"/>
      <c r="AB7" s="26"/>
      <c r="AC7" s="30"/>
      <c r="AD7" s="30"/>
      <c r="AE7" s="30"/>
      <c r="AF7" s="30"/>
      <c r="AG7" s="30"/>
      <c r="AH7" s="30"/>
      <c r="AI7" s="31"/>
      <c r="AJ7" s="26"/>
    </row>
    <row r="8" spans="1:36">
      <c r="A8" s="13" t="s">
        <v>174</v>
      </c>
      <c r="B8" s="13" t="s">
        <v>80</v>
      </c>
      <c r="C8" s="13">
        <v>7</v>
      </c>
      <c r="E8" s="14">
        <v>44642</v>
      </c>
      <c r="H8" s="16">
        <v>17.2</v>
      </c>
      <c r="I8" s="16">
        <v>6.17</v>
      </c>
      <c r="J8" s="16">
        <v>21.88</v>
      </c>
      <c r="K8" s="17">
        <v>0.23483229129386751</v>
      </c>
      <c r="P8" s="18">
        <v>5.0999999999999997E-2</v>
      </c>
      <c r="Q8" s="18">
        <v>2.6657621670930101</v>
      </c>
      <c r="R8" s="18" t="s">
        <v>50</v>
      </c>
      <c r="S8" s="18">
        <v>2.9769578229420222</v>
      </c>
      <c r="T8" s="18">
        <v>1.8891743234039331</v>
      </c>
      <c r="U8" s="18"/>
      <c r="V8" s="18">
        <v>0.96480883735832257</v>
      </c>
      <c r="W8" s="18">
        <v>1.4787999999999999</v>
      </c>
      <c r="Y8" s="92">
        <v>1.709387354245365</v>
      </c>
      <c r="Z8" s="20">
        <v>-4.5900753485627339</v>
      </c>
      <c r="AA8" s="10">
        <v>-17.761833420903141</v>
      </c>
      <c r="AB8" s="17">
        <v>0.98632897764463667</v>
      </c>
      <c r="AC8" s="18">
        <v>0.21439326714727741</v>
      </c>
      <c r="AD8" s="21">
        <v>0.57057976405131272</v>
      </c>
      <c r="AE8" s="21">
        <v>0.65236857891638234</v>
      </c>
      <c r="AF8" s="21" t="s">
        <v>51</v>
      </c>
      <c r="AG8" s="21"/>
      <c r="AH8" s="21">
        <v>4.4405209622440101E-2</v>
      </c>
    </row>
    <row r="9" spans="1:36" ht="16.2">
      <c r="A9" s="13" t="s">
        <v>174</v>
      </c>
      <c r="B9" s="32" t="s">
        <v>175</v>
      </c>
      <c r="C9" s="13">
        <v>8</v>
      </c>
      <c r="E9" s="14">
        <v>44649</v>
      </c>
      <c r="H9" s="16">
        <v>14.6</v>
      </c>
      <c r="I9" s="16">
        <v>5.94</v>
      </c>
      <c r="J9" s="16">
        <v>6.59</v>
      </c>
      <c r="K9" s="17">
        <v>0.12615210945290409</v>
      </c>
      <c r="P9" s="18" t="s">
        <v>50</v>
      </c>
      <c r="Q9" s="18">
        <v>0.6753169607519609</v>
      </c>
      <c r="R9" s="18" t="s">
        <v>50</v>
      </c>
      <c r="S9" s="18">
        <v>0.66260209429145089</v>
      </c>
      <c r="T9" s="18">
        <v>0.56545936016750797</v>
      </c>
      <c r="U9" s="18"/>
      <c r="V9" s="18">
        <v>0.30632914388648008</v>
      </c>
      <c r="W9" s="18">
        <v>0.55530000000000002</v>
      </c>
      <c r="X9" s="19">
        <v>0.3765</v>
      </c>
      <c r="Y9" s="92">
        <v>0.51314815145067894</v>
      </c>
      <c r="Z9" s="20">
        <v>-6.5267369778810709</v>
      </c>
      <c r="AA9" s="10">
        <v>-35.982129692999663</v>
      </c>
      <c r="AB9" s="17">
        <v>0.34255873712454737</v>
      </c>
      <c r="AC9" s="18">
        <v>1.417976131279567E-2</v>
      </c>
      <c r="AD9" s="21">
        <v>0.35879273339061679</v>
      </c>
      <c r="AE9" s="21">
        <v>0.112691699795349</v>
      </c>
      <c r="AF9" s="21" t="s">
        <v>51</v>
      </c>
      <c r="AG9" s="21"/>
      <c r="AH9" s="21">
        <v>3.5283007162292941E-2</v>
      </c>
    </row>
    <row r="10" spans="1:36">
      <c r="A10" s="13" t="s">
        <v>79</v>
      </c>
      <c r="B10" s="13" t="s">
        <v>80</v>
      </c>
      <c r="C10" s="13">
        <v>9</v>
      </c>
      <c r="E10" s="14">
        <v>44658</v>
      </c>
      <c r="H10" s="16">
        <v>15.8</v>
      </c>
      <c r="I10" s="16">
        <v>5.58</v>
      </c>
      <c r="J10" s="16">
        <v>35.92</v>
      </c>
      <c r="K10" s="17">
        <v>-2.7367148625352271E-4</v>
      </c>
      <c r="P10" s="18" t="s">
        <v>50</v>
      </c>
      <c r="Q10" s="18">
        <v>5.5546228454400639</v>
      </c>
      <c r="R10" s="18" t="s">
        <v>50</v>
      </c>
      <c r="S10" s="18">
        <v>1.378642338915181</v>
      </c>
      <c r="T10" s="18">
        <v>1.433882495910908</v>
      </c>
      <c r="U10" s="18"/>
      <c r="V10" s="18">
        <v>0.53004577301686551</v>
      </c>
      <c r="W10" s="18">
        <v>0.57830000000000004</v>
      </c>
      <c r="X10" s="19">
        <v>0.33550000000000002</v>
      </c>
      <c r="Y10" s="92">
        <v>1.225058192390829</v>
      </c>
      <c r="Z10" s="20">
        <v>-4.5245035987974269</v>
      </c>
      <c r="AA10" s="10">
        <v>-13.36303212745168</v>
      </c>
      <c r="AB10" s="17">
        <v>4.390378953649102</v>
      </c>
      <c r="AC10" s="18">
        <v>0.48790272753219172</v>
      </c>
      <c r="AD10" s="21">
        <v>0.39149206519373059</v>
      </c>
      <c r="AE10" s="21">
        <v>0.43914389684500071</v>
      </c>
      <c r="AF10" s="21" t="s">
        <v>51</v>
      </c>
      <c r="AG10" s="21"/>
      <c r="AH10" s="21">
        <v>5.2031644497170751E-2</v>
      </c>
    </row>
    <row r="11" spans="1:36">
      <c r="A11" s="13" t="s">
        <v>79</v>
      </c>
      <c r="B11" s="13" t="s">
        <v>80</v>
      </c>
      <c r="C11" s="13">
        <v>10</v>
      </c>
      <c r="E11" s="14">
        <v>44663</v>
      </c>
      <c r="H11" s="16">
        <v>17.7</v>
      </c>
      <c r="I11" s="16">
        <v>6.5</v>
      </c>
      <c r="J11" s="16">
        <v>26.04</v>
      </c>
      <c r="K11" s="17">
        <v>0.1901102112391361</v>
      </c>
      <c r="P11" s="18" t="s">
        <v>50</v>
      </c>
      <c r="Q11" s="18">
        <v>3.3322166117055652</v>
      </c>
      <c r="R11" s="18">
        <v>3.7400000000000003E-2</v>
      </c>
      <c r="S11" s="18">
        <v>2.1623717185601579</v>
      </c>
      <c r="T11" s="18">
        <v>3.1564997443939951</v>
      </c>
      <c r="U11" s="18"/>
      <c r="V11" s="18">
        <v>1.225480114496156</v>
      </c>
      <c r="W11" s="18">
        <v>1.6194</v>
      </c>
      <c r="Y11" s="92">
        <v>1.590997432820074</v>
      </c>
      <c r="Z11" s="20">
        <v>-2.2973591180187811</v>
      </c>
      <c r="AA11" s="10">
        <v>7.8639653773414722</v>
      </c>
      <c r="AB11" s="17">
        <v>1.726813560080418</v>
      </c>
      <c r="AC11" s="18">
        <v>0.24226132871746689</v>
      </c>
      <c r="AD11" s="21">
        <v>0.51208573994316242</v>
      </c>
      <c r="AE11" s="21">
        <v>0.66468206441975597</v>
      </c>
      <c r="AF11" s="21" t="s">
        <v>51</v>
      </c>
      <c r="AG11" s="21"/>
      <c r="AH11" s="21">
        <v>0.43681375552907697</v>
      </c>
    </row>
    <row r="12" spans="1:36">
      <c r="A12" s="13" t="s">
        <v>79</v>
      </c>
      <c r="B12" s="13" t="s">
        <v>80</v>
      </c>
      <c r="C12" s="13">
        <v>11</v>
      </c>
      <c r="E12" s="14">
        <v>44670</v>
      </c>
      <c r="H12" s="16">
        <v>16.8</v>
      </c>
      <c r="I12" s="16">
        <v>6.21</v>
      </c>
      <c r="J12" s="16">
        <v>46.51</v>
      </c>
      <c r="K12" s="17">
        <v>-0.36228434984563079</v>
      </c>
      <c r="P12" s="18" t="s">
        <v>50</v>
      </c>
      <c r="Q12" s="18">
        <v>8.9778167577676573</v>
      </c>
      <c r="R12" s="18" t="s">
        <v>50</v>
      </c>
      <c r="S12" s="18">
        <v>3.3396407615288921</v>
      </c>
      <c r="T12" s="18">
        <v>3.42804393854095</v>
      </c>
      <c r="U12" s="18"/>
      <c r="V12" s="18">
        <v>1.075191603481638</v>
      </c>
      <c r="W12" s="18">
        <v>1.7397</v>
      </c>
      <c r="Y12" s="92">
        <v>1.778360363305526</v>
      </c>
      <c r="Z12" s="20">
        <v>-2.8847488383774671</v>
      </c>
      <c r="AA12" s="10">
        <v>-2.0497317005242182</v>
      </c>
      <c r="AB12" s="17">
        <v>4.2741883916986776</v>
      </c>
      <c r="AC12" s="21">
        <v>0.41450541956875209</v>
      </c>
      <c r="AD12" s="33">
        <v>0.39639587092145179</v>
      </c>
      <c r="AE12" s="33">
        <v>0.72216287029686399</v>
      </c>
      <c r="AF12" s="33">
        <v>1.9704306856895611E-3</v>
      </c>
      <c r="AH12" s="33">
        <v>8.5512299087776272E-2</v>
      </c>
    </row>
    <row r="13" spans="1:36">
      <c r="A13" s="13" t="s">
        <v>79</v>
      </c>
      <c r="B13" s="13" t="s">
        <v>80</v>
      </c>
      <c r="C13" s="13">
        <v>12</v>
      </c>
      <c r="E13" s="14">
        <v>44677</v>
      </c>
      <c r="H13" s="16">
        <v>19.7</v>
      </c>
      <c r="I13" s="16">
        <v>6.06</v>
      </c>
      <c r="J13" s="16">
        <v>21.71</v>
      </c>
      <c r="P13" s="18" t="s">
        <v>50</v>
      </c>
      <c r="Q13" s="18">
        <v>2.4167544919747219</v>
      </c>
      <c r="R13" s="18" t="s">
        <v>50</v>
      </c>
      <c r="S13" s="18">
        <v>2.4075683782360331</v>
      </c>
      <c r="T13" s="18">
        <v>2.1144597918639589</v>
      </c>
      <c r="U13" s="18"/>
      <c r="V13" s="18">
        <v>1.10144241765412</v>
      </c>
      <c r="W13" s="18">
        <v>2.1707000000000001</v>
      </c>
      <c r="Y13" s="92">
        <v>1.8410682087281851</v>
      </c>
      <c r="Z13" s="20">
        <v>-3.0748087133023398</v>
      </c>
      <c r="AA13" s="10">
        <v>-5.8789157557723257</v>
      </c>
      <c r="AB13" s="17">
        <v>0.78100289974806714</v>
      </c>
      <c r="AC13" s="18" t="s">
        <v>154</v>
      </c>
      <c r="AD13" s="21">
        <v>0.33924714539251888</v>
      </c>
      <c r="AE13" s="21">
        <v>0.37150843116944782</v>
      </c>
      <c r="AF13" s="21" t="s">
        <v>51</v>
      </c>
      <c r="AG13" s="21"/>
      <c r="AH13" s="21">
        <v>8.4514227917955556E-2</v>
      </c>
    </row>
    <row r="14" spans="1:36">
      <c r="A14" s="13" t="s">
        <v>79</v>
      </c>
      <c r="B14" s="13" t="s">
        <v>80</v>
      </c>
      <c r="C14" s="13">
        <v>13</v>
      </c>
      <c r="E14" s="14">
        <v>44684</v>
      </c>
      <c r="H14" s="16">
        <v>17.2</v>
      </c>
      <c r="I14" s="16">
        <v>7.22</v>
      </c>
      <c r="J14" s="16">
        <v>9.17</v>
      </c>
      <c r="K14" s="17">
        <v>2.2185988161663658E-3</v>
      </c>
      <c r="P14" s="18" t="s">
        <v>50</v>
      </c>
      <c r="Q14" s="18">
        <v>1.085485786483398</v>
      </c>
      <c r="R14" s="18">
        <v>4.3137324616829079E-2</v>
      </c>
      <c r="S14" s="18">
        <v>0.6876561561040595</v>
      </c>
      <c r="T14" s="18">
        <v>0.81728077438366142</v>
      </c>
      <c r="U14" s="18"/>
      <c r="V14" s="18">
        <v>0.30539629064898788</v>
      </c>
      <c r="W14" s="18">
        <v>0.78357321783426659</v>
      </c>
      <c r="Y14" s="92">
        <v>0.46806410526066461</v>
      </c>
      <c r="Z14" s="20">
        <v>-5.8021843881341351</v>
      </c>
      <c r="AA14" s="10">
        <v>-26.14935425033892</v>
      </c>
      <c r="AB14" s="17">
        <v>0.54080762955594808</v>
      </c>
      <c r="AC14" s="18" t="s">
        <v>154</v>
      </c>
      <c r="AD14" s="21">
        <v>0.23468807961106669</v>
      </c>
      <c r="AE14" s="21">
        <v>4.9892501847265368E-2</v>
      </c>
      <c r="AF14" s="21" t="s">
        <v>51</v>
      </c>
      <c r="AG14" s="21"/>
      <c r="AH14" s="21" t="s">
        <v>51</v>
      </c>
    </row>
    <row r="15" spans="1:36">
      <c r="A15" s="13" t="s">
        <v>79</v>
      </c>
      <c r="B15" s="13" t="s">
        <v>80</v>
      </c>
      <c r="C15" s="13">
        <v>14</v>
      </c>
      <c r="E15" s="14">
        <v>44691</v>
      </c>
      <c r="H15" s="16">
        <v>19.7</v>
      </c>
      <c r="I15" s="16">
        <v>7.53</v>
      </c>
      <c r="J15" s="16">
        <v>12.75</v>
      </c>
      <c r="K15" s="17">
        <v>0.37743743125979501</v>
      </c>
      <c r="P15" s="18" t="s">
        <v>50</v>
      </c>
      <c r="Q15" s="18">
        <v>1.7605313613783611</v>
      </c>
      <c r="R15" s="18">
        <v>3.39E-2</v>
      </c>
      <c r="S15" s="18">
        <v>0.47064957332577262</v>
      </c>
      <c r="T15" s="18">
        <v>0.83593834859663807</v>
      </c>
      <c r="U15" s="18"/>
      <c r="V15" s="18">
        <v>0.50700000000000001</v>
      </c>
      <c r="W15" s="18">
        <v>1.0394409115490779</v>
      </c>
      <c r="Y15" s="92">
        <v>0.66838609042995201</v>
      </c>
      <c r="Z15" s="20">
        <v>-4.7985233155239326</v>
      </c>
      <c r="AA15" s="10">
        <v>-17.891112256070169</v>
      </c>
      <c r="AB15" s="17">
        <v>0.7637703378467523</v>
      </c>
      <c r="AC15" s="18" t="s">
        <v>154</v>
      </c>
      <c r="AD15" s="21">
        <v>0.32485057511794613</v>
      </c>
      <c r="AE15" s="21">
        <v>0.11714955852228059</v>
      </c>
      <c r="AF15" s="21" t="s">
        <v>51</v>
      </c>
      <c r="AG15" s="21"/>
      <c r="AH15" s="21">
        <v>4.0664614451850142E-2</v>
      </c>
    </row>
    <row r="16" spans="1:36">
      <c r="A16" s="13" t="s">
        <v>79</v>
      </c>
      <c r="B16" s="13" t="s">
        <v>80</v>
      </c>
      <c r="C16" s="13">
        <v>15</v>
      </c>
      <c r="E16" s="14">
        <v>44698</v>
      </c>
      <c r="H16" s="16">
        <v>15.5</v>
      </c>
      <c r="I16" s="16">
        <v>6.71</v>
      </c>
      <c r="J16" s="16">
        <v>4.21</v>
      </c>
      <c r="K16" s="17">
        <v>5.330278457165126E-2</v>
      </c>
      <c r="P16" s="18" t="s">
        <v>50</v>
      </c>
      <c r="Q16" s="18">
        <v>0.39674115925094677</v>
      </c>
      <c r="R16" s="18">
        <v>7.6E-3</v>
      </c>
      <c r="S16" s="18">
        <v>0.23110226910397161</v>
      </c>
      <c r="T16" s="18">
        <v>0.23286994764606411</v>
      </c>
      <c r="U16" s="18"/>
      <c r="V16" s="18">
        <v>0.13400000000000001</v>
      </c>
      <c r="W16" s="18">
        <v>0.67325858950078521</v>
      </c>
      <c r="Y16" s="92">
        <v>0.21255865288154821</v>
      </c>
      <c r="Z16" s="20">
        <v>-8.0578690042269052</v>
      </c>
      <c r="AA16" s="10">
        <v>-48.453280168795281</v>
      </c>
      <c r="AB16" s="17">
        <v>0.21163363661714729</v>
      </c>
      <c r="AC16" s="18" t="s">
        <v>154</v>
      </c>
      <c r="AD16" s="21">
        <v>0.14261168028986729</v>
      </c>
      <c r="AE16" s="21" t="s">
        <v>51</v>
      </c>
      <c r="AF16" s="21" t="s">
        <v>51</v>
      </c>
      <c r="AG16" s="21"/>
      <c r="AH16" s="21" t="s">
        <v>51</v>
      </c>
    </row>
    <row r="17" spans="1:34">
      <c r="A17" s="13" t="s">
        <v>79</v>
      </c>
      <c r="B17" s="13" t="s">
        <v>80</v>
      </c>
      <c r="C17" s="13">
        <v>16</v>
      </c>
      <c r="E17" s="14">
        <v>44705</v>
      </c>
      <c r="H17" s="16">
        <v>16.600000000000001</v>
      </c>
      <c r="I17" s="16">
        <v>6.39</v>
      </c>
      <c r="J17" s="16">
        <v>11.43</v>
      </c>
      <c r="K17" s="17">
        <v>-8.6729058274884908E-3</v>
      </c>
      <c r="P17" s="18" t="s">
        <v>50</v>
      </c>
      <c r="Q17" s="18">
        <v>1.588889965063758</v>
      </c>
      <c r="R17" s="18" t="s">
        <v>50</v>
      </c>
      <c r="S17" s="18">
        <v>0.37591504014977611</v>
      </c>
      <c r="T17" s="18">
        <v>1.1660001762796799</v>
      </c>
      <c r="U17" s="18"/>
      <c r="V17" s="18">
        <v>0.29399999999999998</v>
      </c>
      <c r="W17" s="18">
        <v>0.74688901079887182</v>
      </c>
      <c r="Y17" s="92">
        <v>0.35060072287944388</v>
      </c>
      <c r="Z17" s="20">
        <v>-6.5301433544841672</v>
      </c>
      <c r="AA17" s="10">
        <v>-34.429183854383567</v>
      </c>
      <c r="AB17" s="17">
        <v>0.69545129221133972</v>
      </c>
      <c r="AC17" s="18" t="s">
        <v>154</v>
      </c>
      <c r="AD17" s="21">
        <v>0.1065220244044819</v>
      </c>
      <c r="AE17" s="21">
        <v>0.12844057564772901</v>
      </c>
      <c r="AF17" s="21" t="s">
        <v>51</v>
      </c>
      <c r="AG17" s="21"/>
      <c r="AH17" s="21" t="s">
        <v>51</v>
      </c>
    </row>
    <row r="18" spans="1:34">
      <c r="A18" s="13" t="s">
        <v>79</v>
      </c>
      <c r="B18" s="13" t="s">
        <v>80</v>
      </c>
      <c r="C18" s="13">
        <v>17</v>
      </c>
      <c r="E18" s="14">
        <v>44712</v>
      </c>
      <c r="H18" s="16">
        <v>17.600000000000001</v>
      </c>
      <c r="I18" s="16">
        <v>6.92</v>
      </c>
      <c r="J18" s="16">
        <v>10.45</v>
      </c>
      <c r="K18" s="17">
        <v>0.40254644909163612</v>
      </c>
      <c r="P18" s="18" t="s">
        <v>50</v>
      </c>
      <c r="Q18" s="18">
        <v>0.92107165607066777</v>
      </c>
      <c r="R18" s="18">
        <v>2.4799999999999999E-2</v>
      </c>
      <c r="S18" s="18">
        <v>0.3587917038602001</v>
      </c>
      <c r="T18" s="18">
        <v>1.1795394255762961</v>
      </c>
      <c r="U18" s="18"/>
      <c r="V18" s="18">
        <v>0.61699999999999999</v>
      </c>
      <c r="W18" s="18">
        <v>1.123659326571895</v>
      </c>
      <c r="Y18" s="92">
        <v>0.64150638684964789</v>
      </c>
      <c r="Z18" s="20">
        <v>-11.524073620924369</v>
      </c>
      <c r="AA18" s="10">
        <v>-79.766435233724181</v>
      </c>
      <c r="AB18" s="17">
        <v>0.3706626162952763</v>
      </c>
      <c r="AC18" s="18" t="s">
        <v>51</v>
      </c>
      <c r="AD18" s="21">
        <v>0.24443416713558139</v>
      </c>
      <c r="AE18" s="21">
        <v>6.499265601287238E-2</v>
      </c>
      <c r="AF18" s="21" t="s">
        <v>51</v>
      </c>
      <c r="AG18" s="21"/>
      <c r="AH18" s="21">
        <v>3.9668702048085702E-3</v>
      </c>
    </row>
    <row r="19" spans="1:34">
      <c r="A19" s="13" t="s">
        <v>79</v>
      </c>
      <c r="B19" s="13" t="s">
        <v>80</v>
      </c>
      <c r="C19" s="13">
        <v>18</v>
      </c>
      <c r="E19" s="14">
        <v>44719</v>
      </c>
      <c r="H19" s="16">
        <v>22</v>
      </c>
      <c r="I19" s="16">
        <v>6.55</v>
      </c>
      <c r="J19" s="16">
        <v>10.79</v>
      </c>
      <c r="K19" s="17">
        <v>0.61565662033994228</v>
      </c>
      <c r="P19" s="18" t="s">
        <v>50</v>
      </c>
      <c r="Q19" s="18">
        <v>0.98818949846329351</v>
      </c>
      <c r="R19" s="18">
        <v>6.13E-2</v>
      </c>
      <c r="S19" s="18">
        <v>0.35479614254936492</v>
      </c>
      <c r="T19" s="18">
        <v>0.52026418593544455</v>
      </c>
      <c r="U19" s="18"/>
      <c r="V19" s="18">
        <v>0.82899999999999996</v>
      </c>
      <c r="W19" s="18">
        <v>1.8669435419603759</v>
      </c>
      <c r="Y19" s="92">
        <v>0.85276278807560613</v>
      </c>
      <c r="Z19" s="20">
        <v>-7.111851741169307</v>
      </c>
      <c r="AA19" s="10">
        <v>-45.152338383063338</v>
      </c>
      <c r="AB19" s="17">
        <v>0.19609589904808639</v>
      </c>
      <c r="AC19" s="18" t="s">
        <v>51</v>
      </c>
      <c r="AD19" s="21">
        <v>0.19890643812328701</v>
      </c>
      <c r="AE19" s="21">
        <v>4.3016712480897473E-2</v>
      </c>
      <c r="AF19" s="21" t="s">
        <v>51</v>
      </c>
      <c r="AG19" s="21"/>
      <c r="AH19" s="21">
        <v>0.10737381932585061</v>
      </c>
    </row>
    <row r="20" spans="1:34">
      <c r="A20" s="13" t="s">
        <v>79</v>
      </c>
      <c r="B20" s="13" t="s">
        <v>80</v>
      </c>
      <c r="C20" s="13">
        <v>19</v>
      </c>
      <c r="E20" s="14">
        <v>44726</v>
      </c>
      <c r="H20" s="16">
        <v>16.5</v>
      </c>
      <c r="I20" s="16">
        <v>6.4</v>
      </c>
      <c r="J20" s="16">
        <v>4.79</v>
      </c>
      <c r="K20" s="17">
        <v>0.44201736135185138</v>
      </c>
      <c r="P20" s="18">
        <v>9.7575752392451386E-3</v>
      </c>
      <c r="Q20" s="18">
        <v>0.48133455187306962</v>
      </c>
      <c r="R20" s="18">
        <v>4.7097181078640402E-2</v>
      </c>
      <c r="S20" s="18">
        <v>5.6512123712568987E-2</v>
      </c>
      <c r="T20" s="18">
        <v>0.28637744348168298</v>
      </c>
      <c r="U20" s="18"/>
      <c r="V20" s="18">
        <v>0.24511232744669539</v>
      </c>
      <c r="W20" s="18">
        <v>0.64180513461014044</v>
      </c>
      <c r="Y20" s="92">
        <v>0.31974643647972251</v>
      </c>
      <c r="Z20" s="20">
        <v>-9.0895851385073954</v>
      </c>
      <c r="AA20" s="10">
        <v>-60.950490416602861</v>
      </c>
      <c r="AB20" s="17">
        <v>0.1179162580500779</v>
      </c>
      <c r="AC20" s="18" t="s">
        <v>154</v>
      </c>
      <c r="AD20" s="21">
        <v>0.12645763290560691</v>
      </c>
      <c r="AE20" s="21" t="s">
        <v>51</v>
      </c>
      <c r="AF20" s="21">
        <v>7.3636036769519969E-3</v>
      </c>
      <c r="AG20" s="21"/>
      <c r="AH20" s="21" t="s">
        <v>51</v>
      </c>
    </row>
    <row r="21" spans="1:34">
      <c r="A21" s="13" t="s">
        <v>79</v>
      </c>
      <c r="B21" s="13" t="s">
        <v>80</v>
      </c>
      <c r="C21" s="13">
        <v>20</v>
      </c>
      <c r="E21" s="14">
        <v>44733</v>
      </c>
      <c r="H21" s="16">
        <v>18.399999999999999</v>
      </c>
      <c r="I21" s="16">
        <v>6.16</v>
      </c>
      <c r="J21" s="16">
        <v>16.22</v>
      </c>
      <c r="P21" s="18">
        <v>1.376480221302024E-2</v>
      </c>
      <c r="Q21" s="18">
        <v>1.848103290081244</v>
      </c>
      <c r="R21" s="18">
        <v>0.36804610445660019</v>
      </c>
      <c r="S21" s="18">
        <v>0.52048037818933823</v>
      </c>
      <c r="T21" s="18">
        <v>1.0656141028913959</v>
      </c>
      <c r="U21" s="18"/>
      <c r="V21" s="18">
        <v>0.64212371754911624</v>
      </c>
      <c r="W21" s="18">
        <v>3.0360999999999998</v>
      </c>
      <c r="Y21" s="92">
        <v>0.6052610978132924</v>
      </c>
      <c r="Z21" s="20">
        <v>-5.1335190082148427</v>
      </c>
      <c r="AA21" s="10">
        <v>-27.851782425980421</v>
      </c>
      <c r="AB21" s="17">
        <v>0.39561026173952268</v>
      </c>
      <c r="AC21" s="18" t="s">
        <v>51</v>
      </c>
      <c r="AD21" s="21">
        <v>0.8300660065875084</v>
      </c>
      <c r="AE21" s="21">
        <v>0.21006332395069879</v>
      </c>
      <c r="AF21" s="21">
        <v>7.8658719338868931E-3</v>
      </c>
      <c r="AG21" s="21"/>
      <c r="AH21" s="21">
        <v>0.39681329704486601</v>
      </c>
    </row>
    <row r="22" spans="1:34">
      <c r="A22" s="13" t="s">
        <v>79</v>
      </c>
      <c r="B22" s="13" t="s">
        <v>80</v>
      </c>
      <c r="C22" s="13">
        <v>21</v>
      </c>
      <c r="E22" s="14">
        <v>44740</v>
      </c>
      <c r="H22" s="16">
        <v>20.7</v>
      </c>
      <c r="I22" s="16">
        <v>5.78</v>
      </c>
      <c r="J22" s="16">
        <v>13.86</v>
      </c>
      <c r="P22" s="18">
        <v>2.5693846658822749E-2</v>
      </c>
      <c r="Q22" s="18">
        <v>1.506689169841233</v>
      </c>
      <c r="R22" s="18">
        <v>1.503874872032515E-2</v>
      </c>
      <c r="S22" s="18">
        <v>0.32074020625422889</v>
      </c>
      <c r="T22" s="18">
        <v>0.85673343941003144</v>
      </c>
      <c r="U22" s="18"/>
      <c r="V22" s="18">
        <v>0.52604257730455983</v>
      </c>
      <c r="W22" s="18">
        <v>1.8431999999999999</v>
      </c>
      <c r="Y22" s="92">
        <v>0.60990630886948349</v>
      </c>
      <c r="Z22" s="20">
        <v>-6.1820931835055184</v>
      </c>
      <c r="AA22" s="10">
        <v>-37.629208799777622</v>
      </c>
      <c r="AB22" s="17">
        <v>0.45532947779713712</v>
      </c>
      <c r="AC22" s="18" t="s">
        <v>51</v>
      </c>
      <c r="AD22" s="21">
        <v>0.35003333898885453</v>
      </c>
      <c r="AE22" s="21">
        <v>0.24846779765641941</v>
      </c>
      <c r="AF22" s="21">
        <v>1.210022479728852E-2</v>
      </c>
      <c r="AG22" s="21"/>
      <c r="AH22" s="21">
        <v>0.130387291486425</v>
      </c>
    </row>
    <row r="23" spans="1:34">
      <c r="A23" s="13" t="s">
        <v>174</v>
      </c>
      <c r="B23" s="13" t="s">
        <v>80</v>
      </c>
      <c r="C23" s="13">
        <v>22</v>
      </c>
      <c r="E23" s="14">
        <v>44747</v>
      </c>
      <c r="H23" s="16">
        <v>24</v>
      </c>
      <c r="I23" s="16">
        <v>5.51</v>
      </c>
      <c r="J23" s="16">
        <v>13.81</v>
      </c>
      <c r="P23" s="18">
        <v>6.8827028261538511E-3</v>
      </c>
      <c r="Q23" s="18">
        <v>1.772357676914851</v>
      </c>
      <c r="R23" s="18" t="s">
        <v>50</v>
      </c>
      <c r="S23" s="18">
        <v>0.52214143292714488</v>
      </c>
      <c r="T23" s="18">
        <v>0.6580132290626326</v>
      </c>
      <c r="U23" s="18"/>
      <c r="V23" s="18">
        <v>0.25564985415033281</v>
      </c>
      <c r="W23" s="18">
        <v>2.4819</v>
      </c>
      <c r="X23" s="19">
        <v>0.3574</v>
      </c>
      <c r="Y23" s="92">
        <v>0.45630606254541928</v>
      </c>
      <c r="Z23" s="20">
        <v>-8.3032217791235183</v>
      </c>
      <c r="AA23" s="10">
        <v>-53.381248675379467</v>
      </c>
      <c r="AB23" s="17">
        <v>0.298833890586502</v>
      </c>
      <c r="AC23" s="18" t="s">
        <v>51</v>
      </c>
      <c r="AD23" s="21">
        <v>0.48250683466079752</v>
      </c>
      <c r="AE23" s="21">
        <v>0.39925109438152201</v>
      </c>
      <c r="AF23" s="21">
        <v>1.210790089953535E-2</v>
      </c>
      <c r="AG23" s="21"/>
      <c r="AH23" s="21">
        <v>6.5592403097406035E-2</v>
      </c>
    </row>
    <row r="24" spans="1:34">
      <c r="A24" s="13" t="s">
        <v>174</v>
      </c>
      <c r="B24" s="13" t="s">
        <v>80</v>
      </c>
      <c r="C24" s="13">
        <v>23</v>
      </c>
      <c r="E24" s="14">
        <v>44754</v>
      </c>
      <c r="H24" s="16">
        <v>24.8</v>
      </c>
      <c r="I24" s="16">
        <v>5.73</v>
      </c>
      <c r="J24" s="16">
        <v>18.03</v>
      </c>
      <c r="P24" s="18">
        <v>3.0141823725594631E-2</v>
      </c>
      <c r="Q24" s="18">
        <v>1.767458662821956</v>
      </c>
      <c r="R24" s="18" t="s">
        <v>50</v>
      </c>
      <c r="S24" s="18">
        <v>0.87180604388437866</v>
      </c>
      <c r="T24" s="18">
        <v>1.0882667960770329</v>
      </c>
      <c r="U24" s="18"/>
      <c r="V24" s="18">
        <v>0.35198703242801471</v>
      </c>
      <c r="W24" s="18">
        <v>1.8048554893988531</v>
      </c>
      <c r="X24" s="19">
        <v>0.37815193762941057</v>
      </c>
      <c r="Y24" s="92">
        <v>0.6974263970383926</v>
      </c>
      <c r="Z24" s="20">
        <v>-6.7107014619904968</v>
      </c>
      <c r="AA24" s="10">
        <v>-41.538386582609277</v>
      </c>
      <c r="AB24" s="17">
        <v>0.70634950875646563</v>
      </c>
      <c r="AC24" s="18" t="s">
        <v>51</v>
      </c>
      <c r="AD24" s="21">
        <v>0.39625840743153501</v>
      </c>
      <c r="AE24" s="21">
        <v>0.27744863021029809</v>
      </c>
      <c r="AF24" s="21">
        <v>1.2028961974851459E-2</v>
      </c>
      <c r="AG24" s="21"/>
      <c r="AH24" s="21">
        <v>9.9077178375716141E-2</v>
      </c>
    </row>
    <row r="25" spans="1:34">
      <c r="A25" s="13" t="s">
        <v>174</v>
      </c>
      <c r="B25" s="13" t="s">
        <v>80</v>
      </c>
      <c r="C25" s="13">
        <v>24</v>
      </c>
      <c r="E25" s="14">
        <v>44761</v>
      </c>
      <c r="P25" s="18">
        <v>5.8400000000000001E-2</v>
      </c>
      <c r="Q25" s="18">
        <v>9.2843162690493912</v>
      </c>
      <c r="R25" s="18" t="s">
        <v>50</v>
      </c>
      <c r="S25" s="18">
        <v>0.88549569105663406</v>
      </c>
      <c r="T25" s="18">
        <v>2.0383053040945098</v>
      </c>
      <c r="U25" s="18"/>
      <c r="V25" s="18">
        <v>1.43457463049224</v>
      </c>
      <c r="Y25" s="92"/>
      <c r="Z25" s="20">
        <v>-3.037225439307996</v>
      </c>
      <c r="AA25" s="10">
        <v>-15.709081025872599</v>
      </c>
      <c r="AB25" s="17">
        <v>1.182830308318142</v>
      </c>
      <c r="AC25" s="18">
        <v>0.39997150850257163</v>
      </c>
      <c r="AD25" s="21">
        <v>1.7625214368140329</v>
      </c>
      <c r="AE25" s="21">
        <v>2.610467553510059</v>
      </c>
      <c r="AF25" s="21">
        <v>1.714675412836782E-2</v>
      </c>
      <c r="AG25" s="21"/>
      <c r="AH25" s="21">
        <v>0.25900206968949152</v>
      </c>
    </row>
    <row r="26" spans="1:34">
      <c r="A26" s="13" t="s">
        <v>174</v>
      </c>
      <c r="B26" s="13" t="s">
        <v>80</v>
      </c>
      <c r="C26" s="13">
        <v>25</v>
      </c>
      <c r="E26" s="14">
        <v>44768</v>
      </c>
      <c r="H26" s="16">
        <v>20.8</v>
      </c>
      <c r="I26" s="16">
        <v>6.15</v>
      </c>
      <c r="J26" s="16">
        <v>28.33</v>
      </c>
      <c r="P26" s="18">
        <v>6.6199999999999995E-2</v>
      </c>
      <c r="Q26" s="18">
        <v>2.793062176556091</v>
      </c>
      <c r="R26" s="18">
        <v>4.3200000000000002E-2</v>
      </c>
      <c r="S26" s="18">
        <v>0.69938543897460226</v>
      </c>
      <c r="T26" s="18">
        <v>0.76657993650936707</v>
      </c>
      <c r="U26" s="18"/>
      <c r="V26" s="18">
        <v>0.47851037019366283</v>
      </c>
      <c r="W26" s="18">
        <v>3.5695835767510489</v>
      </c>
      <c r="Y26" s="92">
        <v>0.90284294031324097</v>
      </c>
      <c r="Z26" s="20">
        <v>-5.2313462706144369</v>
      </c>
      <c r="AA26" s="10">
        <v>-32.316360270606509</v>
      </c>
      <c r="AB26" s="17">
        <v>0.68163311848274166</v>
      </c>
      <c r="AC26" s="18" t="s">
        <v>51</v>
      </c>
      <c r="AD26" s="21">
        <v>0.6328960451836303</v>
      </c>
      <c r="AE26" s="21">
        <v>0.7016526317466687</v>
      </c>
      <c r="AF26" s="21">
        <v>1.1744369931870819E-2</v>
      </c>
      <c r="AG26" s="21"/>
      <c r="AH26" s="21">
        <v>9.6486232947438286E-2</v>
      </c>
    </row>
    <row r="27" spans="1:34">
      <c r="A27" s="13" t="s">
        <v>174</v>
      </c>
      <c r="B27" s="13" t="s">
        <v>80</v>
      </c>
      <c r="C27" s="13">
        <v>26</v>
      </c>
      <c r="E27" s="14">
        <v>44775</v>
      </c>
      <c r="H27" s="16">
        <v>23.9</v>
      </c>
      <c r="I27" s="16">
        <v>5.75</v>
      </c>
      <c r="J27" s="16">
        <v>14.67</v>
      </c>
      <c r="K27" s="17">
        <v>0.17390937921444841</v>
      </c>
      <c r="P27" s="18">
        <v>2.52E-2</v>
      </c>
      <c r="Q27" s="18">
        <v>1.6460544452351069</v>
      </c>
      <c r="R27" s="18" t="s">
        <v>50</v>
      </c>
      <c r="S27" s="18">
        <v>0.88139448309122104</v>
      </c>
      <c r="T27" s="18">
        <v>0.85257037489784726</v>
      </c>
      <c r="U27" s="18"/>
      <c r="V27" s="18">
        <v>0.55748929121524171</v>
      </c>
      <c r="W27" s="18">
        <v>3.5822190681710282</v>
      </c>
      <c r="X27" s="19">
        <v>0.69878403436369796</v>
      </c>
      <c r="Y27" s="92">
        <v>1.0089168735285181</v>
      </c>
      <c r="Z27" s="20">
        <v>-5.6780463171160269</v>
      </c>
      <c r="AA27" s="10">
        <v>-30.823298292012769</v>
      </c>
      <c r="AB27" s="17">
        <v>0.2908098900995954</v>
      </c>
      <c r="AC27" s="18" t="s">
        <v>51</v>
      </c>
      <c r="AD27" s="21">
        <v>0.43656551194289023</v>
      </c>
      <c r="AE27" s="21">
        <v>0.36177721059101209</v>
      </c>
      <c r="AF27" s="21">
        <v>1.107009693643415E-2</v>
      </c>
      <c r="AG27" s="21"/>
      <c r="AH27" s="21">
        <v>5.4578734975484829E-2</v>
      </c>
    </row>
    <row r="28" spans="1:34">
      <c r="A28" s="13" t="s">
        <v>174</v>
      </c>
      <c r="B28" s="13" t="s">
        <v>80</v>
      </c>
      <c r="C28" s="13">
        <v>27</v>
      </c>
      <c r="E28" s="14">
        <v>44782</v>
      </c>
      <c r="P28" s="18">
        <v>0.03</v>
      </c>
      <c r="Q28" s="18">
        <v>2.2034402339937338</v>
      </c>
      <c r="R28" s="18">
        <v>3.6299999999999999E-2</v>
      </c>
      <c r="S28" s="18">
        <v>0.60824986492482203</v>
      </c>
      <c r="T28" s="18">
        <v>1.149073423735181</v>
      </c>
      <c r="U28" s="18"/>
      <c r="V28" s="18">
        <v>1.3425286856461001</v>
      </c>
      <c r="W28" s="18">
        <v>4.097267688117479</v>
      </c>
      <c r="Y28" s="92">
        <v>1.711235732601285</v>
      </c>
      <c r="Z28" s="20">
        <v>-5.9405367247545433</v>
      </c>
      <c r="AA28" s="10">
        <v>-36.961331678744877</v>
      </c>
      <c r="AB28" s="17">
        <v>0.64930026699167065</v>
      </c>
      <c r="AC28" s="18" t="s">
        <v>154</v>
      </c>
      <c r="AD28" s="21">
        <v>1.306998916285157</v>
      </c>
      <c r="AE28" s="21">
        <v>0.32148415893238852</v>
      </c>
      <c r="AF28" s="21">
        <v>1.0895814893510099E-2</v>
      </c>
      <c r="AG28" s="21"/>
      <c r="AH28" s="21">
        <v>0.36346309577954222</v>
      </c>
    </row>
    <row r="29" spans="1:34">
      <c r="A29" s="13" t="s">
        <v>79</v>
      </c>
      <c r="B29" s="13" t="s">
        <v>80</v>
      </c>
      <c r="C29" s="13">
        <v>28</v>
      </c>
      <c r="E29" s="14">
        <v>44789</v>
      </c>
      <c r="R29" s="18"/>
      <c r="S29" s="18"/>
      <c r="T29" s="18"/>
      <c r="U29" s="18"/>
      <c r="V29" s="18"/>
      <c r="Y29" s="92"/>
      <c r="AC29" s="18"/>
      <c r="AD29" s="21"/>
      <c r="AE29" s="21"/>
      <c r="AF29" s="21"/>
      <c r="AG29" s="21"/>
      <c r="AH29" s="21"/>
    </row>
    <row r="30" spans="1:34">
      <c r="A30" s="13" t="s">
        <v>79</v>
      </c>
      <c r="B30" s="13" t="s">
        <v>80</v>
      </c>
      <c r="C30" s="13">
        <v>29</v>
      </c>
      <c r="E30" s="14">
        <v>44796</v>
      </c>
      <c r="P30" s="18">
        <v>0.31030342849848191</v>
      </c>
      <c r="Q30" s="18">
        <v>5.8355167820685567</v>
      </c>
      <c r="R30" s="18" t="s">
        <v>50</v>
      </c>
      <c r="S30" s="18">
        <v>2.9527102210877549</v>
      </c>
      <c r="T30" s="18">
        <v>6.8298043803652408</v>
      </c>
      <c r="U30" s="18"/>
      <c r="V30" s="18">
        <v>4.0951783860609234</v>
      </c>
      <c r="Y30" s="92">
        <v>13.627122607642139</v>
      </c>
      <c r="Z30" s="20">
        <v>-5.7100248439349324</v>
      </c>
      <c r="AA30" s="10">
        <v>-42.39949226301119</v>
      </c>
      <c r="AB30" s="17">
        <v>3.4502060602640232</v>
      </c>
      <c r="AC30" s="18">
        <v>0.84952841770537146</v>
      </c>
      <c r="AD30" s="21">
        <v>7.3067321725032501</v>
      </c>
      <c r="AE30" s="21">
        <v>2.6696208795112</v>
      </c>
      <c r="AF30" s="21">
        <v>1.69797806672073E-2</v>
      </c>
      <c r="AG30" s="21"/>
      <c r="AH30" s="21">
        <v>0.3190324476103244</v>
      </c>
    </row>
    <row r="31" spans="1:34">
      <c r="A31" s="13" t="s">
        <v>79</v>
      </c>
      <c r="B31" s="13" t="s">
        <v>80</v>
      </c>
      <c r="C31" s="13">
        <v>30</v>
      </c>
      <c r="E31" s="14">
        <v>44803</v>
      </c>
      <c r="H31" s="16">
        <v>15.3</v>
      </c>
      <c r="I31" s="16">
        <v>5.79</v>
      </c>
      <c r="J31" s="16">
        <v>21.24</v>
      </c>
      <c r="K31" s="17">
        <v>0.53519221648902815</v>
      </c>
      <c r="P31" s="18">
        <v>1.5969440579501049E-2</v>
      </c>
      <c r="Q31" s="18">
        <v>1.0517484767357299</v>
      </c>
      <c r="R31" s="18">
        <v>1.7965907833554551E-2</v>
      </c>
      <c r="S31" s="18">
        <v>2.26118464995649</v>
      </c>
      <c r="T31" s="18">
        <v>1.710818815666874</v>
      </c>
      <c r="U31" s="18"/>
      <c r="V31" s="18">
        <v>0.61689236637584532</v>
      </c>
      <c r="W31" s="18">
        <v>1.608433044614896</v>
      </c>
      <c r="X31" s="19">
        <v>0.6890105191525131</v>
      </c>
      <c r="Y31" s="92">
        <v>1.2388211388635979</v>
      </c>
      <c r="Z31" s="20">
        <v>-8.8180433679172889</v>
      </c>
      <c r="AA31" s="10">
        <v>-57.598792751426927</v>
      </c>
      <c r="AB31" s="17">
        <v>0.83551076243041</v>
      </c>
      <c r="AC31" s="18" t="s">
        <v>154</v>
      </c>
      <c r="AD31" s="21">
        <v>0.81483428914855505</v>
      </c>
      <c r="AE31" s="18">
        <v>0.52537760941656153</v>
      </c>
      <c r="AF31" s="21">
        <v>1.7579098539065651E-2</v>
      </c>
      <c r="AG31" s="21"/>
      <c r="AH31" s="21">
        <v>9.9329782920268686E-2</v>
      </c>
    </row>
    <row r="32" spans="1:34">
      <c r="A32" s="13" t="s">
        <v>79</v>
      </c>
      <c r="B32" s="13" t="s">
        <v>80</v>
      </c>
      <c r="C32" s="13">
        <v>31</v>
      </c>
      <c r="E32" s="14">
        <v>44810</v>
      </c>
      <c r="P32" s="18">
        <v>3.0200000000000001E-2</v>
      </c>
      <c r="Q32" s="18">
        <v>4.3943629895386911</v>
      </c>
      <c r="R32" s="18">
        <v>5.4236916829675658E-2</v>
      </c>
      <c r="S32" s="18">
        <v>1.7765540826971919</v>
      </c>
      <c r="T32" s="18">
        <v>1.5328372978454881</v>
      </c>
      <c r="U32" s="18">
        <v>0.36520123707215651</v>
      </c>
      <c r="V32" s="18">
        <v>1.5500619827204269</v>
      </c>
      <c r="Y32" s="92"/>
      <c r="Z32" s="20">
        <v>-5.8732110703148628</v>
      </c>
      <c r="AA32" s="10">
        <v>-33.837936688067792</v>
      </c>
      <c r="AB32" s="17">
        <v>0.53223258864861167</v>
      </c>
      <c r="AC32" s="18" t="s">
        <v>51</v>
      </c>
      <c r="AD32" s="21">
        <v>0.19820857435951961</v>
      </c>
      <c r="AE32" s="21">
        <v>0.18016517098366261</v>
      </c>
      <c r="AF32" s="21">
        <v>1.6994853536729831E-2</v>
      </c>
      <c r="AG32" s="21"/>
      <c r="AH32" s="21">
        <v>0.14424829014498569</v>
      </c>
    </row>
    <row r="33" spans="1:35">
      <c r="A33" s="13" t="s">
        <v>81</v>
      </c>
      <c r="B33" s="13" t="s">
        <v>80</v>
      </c>
      <c r="C33" s="13">
        <v>31</v>
      </c>
      <c r="E33" s="14">
        <v>44810</v>
      </c>
      <c r="K33" s="17">
        <v>1.3702293502586611</v>
      </c>
      <c r="P33" s="18">
        <v>1.72E-2</v>
      </c>
      <c r="Q33" s="18">
        <v>0.6737405817026082</v>
      </c>
      <c r="R33" s="18">
        <v>1.9334347344228869E-2</v>
      </c>
      <c r="S33" s="18">
        <v>0.83955578753802473</v>
      </c>
      <c r="T33" s="18">
        <v>0.60583044255171281</v>
      </c>
      <c r="U33" s="18">
        <v>0.35616262252098441</v>
      </c>
      <c r="V33" s="18">
        <v>0.9645036107727547</v>
      </c>
      <c r="W33" s="18">
        <v>1.803238874273926</v>
      </c>
      <c r="X33" s="19">
        <v>0.67542288349081181</v>
      </c>
      <c r="Y33" s="92"/>
      <c r="Z33" s="20">
        <v>-7.0887650453427291</v>
      </c>
      <c r="AA33" s="10">
        <v>-43.840193898617102</v>
      </c>
      <c r="AB33" s="17">
        <v>1.681020874601755</v>
      </c>
      <c r="AC33" s="18">
        <v>0.14208455383409391</v>
      </c>
      <c r="AD33" s="21">
        <v>4.8639409742095472</v>
      </c>
      <c r="AE33" s="21">
        <v>0.55081545797512843</v>
      </c>
      <c r="AF33" s="21">
        <v>1.7896140361370799E-2</v>
      </c>
      <c r="AG33" s="21"/>
      <c r="AH33" s="21">
        <v>0.18973351841218691</v>
      </c>
    </row>
    <row r="34" spans="1:35">
      <c r="A34" s="13" t="s">
        <v>79</v>
      </c>
      <c r="B34" s="13" t="s">
        <v>80</v>
      </c>
      <c r="C34" s="13">
        <v>32</v>
      </c>
      <c r="E34" s="14">
        <v>44817</v>
      </c>
      <c r="H34" s="16">
        <v>18.100000000000001</v>
      </c>
      <c r="I34" s="16">
        <v>6.64</v>
      </c>
      <c r="J34" s="16">
        <v>10.85</v>
      </c>
      <c r="K34" s="17">
        <v>1.0787675153677061</v>
      </c>
      <c r="P34" s="18">
        <v>1.49E-2</v>
      </c>
      <c r="Q34" s="18">
        <v>0.50603886148645161</v>
      </c>
      <c r="R34" s="18">
        <v>1.069475640148934E-2</v>
      </c>
      <c r="S34" s="18">
        <v>0.33822109801075712</v>
      </c>
      <c r="T34" s="18">
        <v>0.48626017754914619</v>
      </c>
      <c r="U34" s="18" t="s">
        <v>50</v>
      </c>
      <c r="V34" s="18">
        <v>0.74974231848026152</v>
      </c>
      <c r="W34" s="18">
        <v>1.6948146508596089</v>
      </c>
      <c r="X34" s="19">
        <v>0.64910000000000001</v>
      </c>
      <c r="Y34" s="92">
        <v>0.63728861466907638</v>
      </c>
      <c r="Z34" s="20">
        <v>-5.4854561430853028</v>
      </c>
      <c r="AA34" s="10">
        <v>-26.38713767799161</v>
      </c>
      <c r="AB34" s="17">
        <v>0.3676152301684214</v>
      </c>
      <c r="AC34" s="18" t="s">
        <v>51</v>
      </c>
      <c r="AD34" s="21">
        <v>0.13209370042889279</v>
      </c>
      <c r="AE34" s="21">
        <v>4.232287762012215E-2</v>
      </c>
      <c r="AF34" s="21">
        <v>1.6734025885810959E-2</v>
      </c>
      <c r="AG34" s="21"/>
      <c r="AH34" s="21">
        <v>0.1116404493697566</v>
      </c>
    </row>
    <row r="35" spans="1:35">
      <c r="A35" s="13" t="s">
        <v>79</v>
      </c>
      <c r="B35" s="13" t="s">
        <v>80</v>
      </c>
      <c r="C35" s="13">
        <v>33</v>
      </c>
      <c r="E35" s="14">
        <v>44824</v>
      </c>
      <c r="R35" s="18"/>
      <c r="S35" s="18"/>
      <c r="T35" s="18"/>
      <c r="U35" s="18"/>
      <c r="V35" s="18"/>
      <c r="Y35" s="92">
        <v>1.1317233606707899</v>
      </c>
      <c r="AC35" s="18"/>
      <c r="AD35" s="21"/>
      <c r="AE35" s="21"/>
      <c r="AF35" s="21"/>
      <c r="AG35" s="21"/>
      <c r="AH35" s="21"/>
      <c r="AI35" s="17" t="s">
        <v>82</v>
      </c>
    </row>
    <row r="36" spans="1:35">
      <c r="A36" s="13" t="s">
        <v>79</v>
      </c>
      <c r="B36" s="13" t="s">
        <v>80</v>
      </c>
      <c r="C36" s="13">
        <v>34</v>
      </c>
      <c r="E36" s="14">
        <v>44831</v>
      </c>
      <c r="H36" s="16">
        <v>17.7</v>
      </c>
      <c r="I36" s="16">
        <v>5.7</v>
      </c>
      <c r="J36" s="16">
        <v>13.5</v>
      </c>
      <c r="K36" s="17">
        <v>-8.505048143887349E-2</v>
      </c>
      <c r="P36" s="18" t="s">
        <v>50</v>
      </c>
      <c r="Q36" s="18">
        <v>1.7212095115077699</v>
      </c>
      <c r="R36" s="18" t="s">
        <v>50</v>
      </c>
      <c r="S36" s="18">
        <v>0.13322059671315559</v>
      </c>
      <c r="T36" s="18">
        <v>0.92254260163532742</v>
      </c>
      <c r="U36" s="18">
        <v>2.085309290519885E-2</v>
      </c>
      <c r="V36" s="18">
        <v>2.7847553053270001E-3</v>
      </c>
      <c r="W36" s="18">
        <v>0.96190333209548329</v>
      </c>
      <c r="X36" s="19">
        <v>0.33939999999999998</v>
      </c>
      <c r="Y36" s="92">
        <v>0.14598822981510459</v>
      </c>
      <c r="Z36" s="20">
        <v>-7.2782284861431616</v>
      </c>
      <c r="AA36" s="10">
        <v>-44.159760233865221</v>
      </c>
      <c r="AB36" s="17">
        <v>0.97501437845428918</v>
      </c>
      <c r="AC36" s="18">
        <v>3.9473357204831271E-2</v>
      </c>
      <c r="AD36" s="21">
        <v>7.8010517099189408E-2</v>
      </c>
      <c r="AE36" s="21">
        <v>0.15535078631721741</v>
      </c>
      <c r="AF36" s="21">
        <v>1.7153535803532009E-2</v>
      </c>
      <c r="AG36" s="21"/>
      <c r="AH36" s="21">
        <v>0.13726317050598319</v>
      </c>
    </row>
    <row r="37" spans="1:35">
      <c r="A37" s="13" t="s">
        <v>79</v>
      </c>
      <c r="B37" s="13" t="s">
        <v>80</v>
      </c>
      <c r="C37" s="13">
        <v>35</v>
      </c>
      <c r="E37" s="14">
        <v>44838</v>
      </c>
      <c r="P37" s="18">
        <v>1.6500000000000001E-2</v>
      </c>
      <c r="Q37" s="18">
        <v>1.7136971842421189</v>
      </c>
      <c r="R37" s="18" t="s">
        <v>50</v>
      </c>
      <c r="S37" s="18">
        <v>1.1076145987962429</v>
      </c>
      <c r="T37" s="18">
        <v>1.3151648677897201</v>
      </c>
      <c r="U37" s="18">
        <v>1.9313813681109869E-2</v>
      </c>
      <c r="V37" s="18">
        <v>0.39307355757761192</v>
      </c>
      <c r="W37" s="18">
        <v>1.709604011078</v>
      </c>
      <c r="X37" s="19">
        <v>0.17510000000000001</v>
      </c>
      <c r="Y37" s="92">
        <v>0.64024796266583106</v>
      </c>
      <c r="Z37" s="20">
        <v>-4.6314739111497856</v>
      </c>
      <c r="AA37" s="10">
        <v>-21.1569478468009</v>
      </c>
      <c r="AB37" s="17">
        <v>0.91061820340454824</v>
      </c>
      <c r="AC37" s="18" t="s">
        <v>51</v>
      </c>
      <c r="AD37" s="21">
        <v>0.32731835070484488</v>
      </c>
      <c r="AE37" s="21">
        <v>0.29090427308493899</v>
      </c>
      <c r="AF37" s="21">
        <v>8.986231119696193E-3</v>
      </c>
      <c r="AG37" s="21"/>
      <c r="AH37" s="21">
        <v>0.28959867074040169</v>
      </c>
    </row>
    <row r="38" spans="1:35">
      <c r="A38" s="13" t="s">
        <v>79</v>
      </c>
      <c r="B38" s="13" t="s">
        <v>80</v>
      </c>
      <c r="C38" s="13">
        <v>36</v>
      </c>
      <c r="E38" s="14">
        <v>44845</v>
      </c>
      <c r="K38" s="17">
        <v>0.25765951660107378</v>
      </c>
      <c r="P38" s="18" t="s">
        <v>50</v>
      </c>
      <c r="Q38" s="18">
        <v>0.93369434502140147</v>
      </c>
      <c r="R38" s="18" t="s">
        <v>50</v>
      </c>
      <c r="S38" s="18">
        <v>0.25881971580022189</v>
      </c>
      <c r="T38" s="18">
        <v>0.52524070417641333</v>
      </c>
      <c r="U38" s="18" t="s">
        <v>50</v>
      </c>
      <c r="V38" s="18">
        <v>0.13104775263767771</v>
      </c>
      <c r="W38" s="18">
        <v>0.56520000000000004</v>
      </c>
      <c r="X38" s="19">
        <v>0.24709999999999999</v>
      </c>
      <c r="Y38" s="92">
        <v>0.1451422265421663</v>
      </c>
      <c r="Z38" s="20">
        <v>-4.1582767403438776</v>
      </c>
      <c r="AA38" s="10">
        <v>-11.85277391592656</v>
      </c>
      <c r="AB38" s="17">
        <v>0.58190318351676285</v>
      </c>
      <c r="AC38" s="18" t="s">
        <v>154</v>
      </c>
      <c r="AD38" s="21">
        <v>0.19798530285112739</v>
      </c>
      <c r="AE38" s="21">
        <v>0.1092500097395816</v>
      </c>
      <c r="AF38" s="21">
        <v>8.3353056147782104E-3</v>
      </c>
      <c r="AG38" s="21"/>
      <c r="AH38" s="21">
        <v>5.6647155328348457E-2</v>
      </c>
    </row>
    <row r="39" spans="1:35">
      <c r="A39" s="13" t="s">
        <v>79</v>
      </c>
      <c r="B39" s="13" t="s">
        <v>80</v>
      </c>
      <c r="C39" s="13">
        <v>37</v>
      </c>
      <c r="E39" s="14">
        <v>44853</v>
      </c>
      <c r="H39" s="16">
        <v>20.2</v>
      </c>
      <c r="I39" s="16">
        <v>5.86</v>
      </c>
      <c r="J39" s="16">
        <v>11.37</v>
      </c>
      <c r="K39" s="17">
        <v>0.39284298729568939</v>
      </c>
      <c r="P39" s="18" t="s">
        <v>50</v>
      </c>
      <c r="Q39" s="18">
        <v>1.4566612379384589</v>
      </c>
      <c r="R39" s="18" t="s">
        <v>50</v>
      </c>
      <c r="S39" s="18">
        <v>0.25587389599440519</v>
      </c>
      <c r="T39" s="18">
        <v>0.59413145146602975</v>
      </c>
      <c r="U39" s="18" t="s">
        <v>50</v>
      </c>
      <c r="V39" s="18">
        <v>0.19014026956150509</v>
      </c>
      <c r="W39" s="18">
        <v>0.54779999999999995</v>
      </c>
      <c r="Y39" s="92">
        <v>0.1941076774808721</v>
      </c>
      <c r="Z39" s="20">
        <v>-4.9960516010393494</v>
      </c>
      <c r="AA39" s="10">
        <v>-19.387371241321041</v>
      </c>
      <c r="AB39" s="17">
        <v>0.85902316379234089</v>
      </c>
      <c r="AC39" s="18" t="s">
        <v>51</v>
      </c>
      <c r="AD39" s="21">
        <v>0.19269080649711481</v>
      </c>
      <c r="AE39" s="21">
        <v>8.9278037686305309E-2</v>
      </c>
      <c r="AF39" s="21">
        <v>8.3930621485181107E-3</v>
      </c>
      <c r="AG39" s="21"/>
      <c r="AH39" s="21">
        <v>8.2103795163005658E-2</v>
      </c>
    </row>
    <row r="40" spans="1:35">
      <c r="A40" s="13" t="s">
        <v>173</v>
      </c>
      <c r="B40" s="13" t="s">
        <v>80</v>
      </c>
      <c r="C40" s="13">
        <v>38</v>
      </c>
      <c r="E40" s="14">
        <v>44859</v>
      </c>
      <c r="H40" s="16">
        <v>16.600000000000001</v>
      </c>
      <c r="I40" s="16">
        <v>5.16</v>
      </c>
      <c r="J40" s="16">
        <v>44.73</v>
      </c>
      <c r="K40" s="17">
        <v>1.185738911266712E-2</v>
      </c>
      <c r="P40" s="18" t="s">
        <v>50</v>
      </c>
      <c r="Q40" s="18">
        <v>21.283218253530009</v>
      </c>
      <c r="R40" s="18" t="s">
        <v>50</v>
      </c>
      <c r="S40" s="18">
        <v>0.55299142964516657</v>
      </c>
      <c r="T40" s="18">
        <v>3.787164255699536</v>
      </c>
      <c r="U40" s="18" t="s">
        <v>50</v>
      </c>
      <c r="V40" s="18">
        <v>0.2182795633347564</v>
      </c>
      <c r="W40" s="18">
        <v>1.3816999999999999</v>
      </c>
      <c r="Y40" s="92">
        <v>0.30544474111922942</v>
      </c>
      <c r="Z40" s="20">
        <v>-4.3587259401421807</v>
      </c>
      <c r="AA40" s="10">
        <v>-12.65315863226135</v>
      </c>
      <c r="AB40" s="17">
        <v>12.07570851244607</v>
      </c>
      <c r="AC40" s="18">
        <v>1.2185749414366329</v>
      </c>
      <c r="AD40" s="21">
        <v>0.58430516543913025</v>
      </c>
      <c r="AE40" s="21">
        <v>0.73750333274698887</v>
      </c>
      <c r="AF40" s="21">
        <v>1.3827933041076721E-2</v>
      </c>
      <c r="AG40" s="21"/>
      <c r="AH40" s="21">
        <v>6.5212947808146612E-2</v>
      </c>
    </row>
    <row r="41" spans="1:35">
      <c r="A41" s="13" t="s">
        <v>173</v>
      </c>
      <c r="B41" s="13" t="s">
        <v>80</v>
      </c>
      <c r="C41" s="13">
        <v>39</v>
      </c>
      <c r="E41" s="14">
        <v>44867</v>
      </c>
      <c r="I41" s="16">
        <v>7.34</v>
      </c>
      <c r="J41" s="16">
        <v>104.3</v>
      </c>
      <c r="K41" s="17">
        <v>0.4749307395644416</v>
      </c>
      <c r="P41" s="18">
        <v>1.29E-2</v>
      </c>
      <c r="Q41" s="18">
        <v>2.0905633977842011</v>
      </c>
      <c r="R41" s="18" t="s">
        <v>50</v>
      </c>
      <c r="S41" s="18">
        <v>0.19852488046156991</v>
      </c>
      <c r="T41" s="18">
        <v>0.87693367424647362</v>
      </c>
      <c r="U41" s="18" t="s">
        <v>50</v>
      </c>
      <c r="V41" s="18">
        <v>5.8000000000000003E-2</v>
      </c>
      <c r="W41" s="18">
        <v>0.49659999999999999</v>
      </c>
      <c r="Y41" s="92">
        <v>0.1094870130765776</v>
      </c>
      <c r="Z41" s="20">
        <v>-5.5301583363269886</v>
      </c>
      <c r="AA41" s="10">
        <v>-26.04092213121379</v>
      </c>
      <c r="AB41" s="17">
        <v>1.276116674404272</v>
      </c>
      <c r="AC41" s="18">
        <v>0.1293813246182908</v>
      </c>
      <c r="AD41" s="21">
        <v>0.2472128417069531</v>
      </c>
      <c r="AE41" s="21">
        <v>0.2576559523956477</v>
      </c>
      <c r="AF41" s="21">
        <v>1.7741450145181619E-2</v>
      </c>
      <c r="AG41" s="21"/>
      <c r="AH41" s="21">
        <v>7.0127524159390567E-2</v>
      </c>
    </row>
    <row r="42" spans="1:35">
      <c r="A42" s="13" t="s">
        <v>173</v>
      </c>
      <c r="B42" s="13" t="s">
        <v>80</v>
      </c>
      <c r="C42" s="13">
        <v>40</v>
      </c>
      <c r="E42" s="14">
        <v>44873</v>
      </c>
      <c r="H42" s="16">
        <v>17.2</v>
      </c>
      <c r="I42" s="16">
        <v>5.37</v>
      </c>
      <c r="J42" s="16">
        <v>6.97</v>
      </c>
      <c r="K42" s="17">
        <v>0.31225223651815281</v>
      </c>
      <c r="P42" s="18">
        <v>1.6799999999999999E-2</v>
      </c>
      <c r="Q42" s="18">
        <v>0.50431021504748119</v>
      </c>
      <c r="R42" s="18" t="s">
        <v>50</v>
      </c>
      <c r="S42" s="18">
        <v>0.13999396414105009</v>
      </c>
      <c r="T42" s="18">
        <v>0.27757870318767081</v>
      </c>
      <c r="U42" s="18" t="s">
        <v>50</v>
      </c>
      <c r="V42" s="18" t="s">
        <v>50</v>
      </c>
      <c r="W42" s="18">
        <v>0.20419999999999999</v>
      </c>
      <c r="Y42" s="92">
        <v>1.453941705277974E-2</v>
      </c>
      <c r="Z42" s="20">
        <v>-5.2952666823848471</v>
      </c>
      <c r="AA42" s="10">
        <v>-19.9166451331084</v>
      </c>
      <c r="AB42" s="17">
        <v>0.55127121438912807</v>
      </c>
      <c r="AC42" s="18" t="s">
        <v>154</v>
      </c>
      <c r="AD42" s="21">
        <v>4.2320399596542019E-2</v>
      </c>
      <c r="AE42" s="21">
        <v>0.100260250590596</v>
      </c>
      <c r="AF42" s="21">
        <v>1.7163999573593831E-2</v>
      </c>
      <c r="AG42" s="21"/>
      <c r="AH42" s="21">
        <v>3.623566653131631E-2</v>
      </c>
    </row>
    <row r="43" spans="1:35">
      <c r="A43" s="13" t="s">
        <v>173</v>
      </c>
      <c r="B43" s="13" t="s">
        <v>80</v>
      </c>
      <c r="C43" s="13">
        <v>41</v>
      </c>
      <c r="E43" s="14">
        <v>44880</v>
      </c>
      <c r="H43" s="16">
        <v>19.100000000000001</v>
      </c>
      <c r="I43" s="16">
        <v>6.43</v>
      </c>
      <c r="J43" s="16">
        <v>20.16</v>
      </c>
      <c r="K43" s="17">
        <v>0.99542964191804906</v>
      </c>
      <c r="P43" s="18">
        <v>1.7399999999999999E-2</v>
      </c>
      <c r="Q43" s="18">
        <v>2.2469598508057591</v>
      </c>
      <c r="R43" s="18">
        <v>3.32E-2</v>
      </c>
      <c r="S43" s="18">
        <v>0.60553612943473112</v>
      </c>
      <c r="T43" s="18">
        <v>0.89923132947637818</v>
      </c>
      <c r="U43" s="18">
        <v>4.3514555353428117E-2</v>
      </c>
      <c r="V43" s="18">
        <v>0.36957691923397168</v>
      </c>
      <c r="W43" s="18">
        <v>1.6941683977065141</v>
      </c>
      <c r="Y43" s="92">
        <v>0.55591474395181417</v>
      </c>
      <c r="Z43" s="20">
        <v>-5.8004171995274669</v>
      </c>
      <c r="AA43" s="10">
        <v>-28.400120519908839</v>
      </c>
      <c r="AB43" s="17">
        <v>1.337815352406164</v>
      </c>
      <c r="AC43" s="18">
        <v>0.26261562154397577</v>
      </c>
      <c r="AD43" s="21">
        <v>1.154557899547402</v>
      </c>
      <c r="AE43" s="21">
        <v>0.42312432996494331</v>
      </c>
      <c r="AF43" s="21">
        <v>1.8217238386496241E-2</v>
      </c>
      <c r="AG43" s="21"/>
      <c r="AH43" s="21">
        <v>0.1030023107837946</v>
      </c>
    </row>
    <row r="44" spans="1:35">
      <c r="A44" s="13" t="s">
        <v>173</v>
      </c>
      <c r="B44" s="13" t="s">
        <v>80</v>
      </c>
      <c r="C44" s="13">
        <v>42</v>
      </c>
      <c r="E44" s="14">
        <v>44887</v>
      </c>
      <c r="H44" s="16">
        <v>19.899999999999999</v>
      </c>
      <c r="I44" s="16">
        <v>4.9000000000000004</v>
      </c>
      <c r="J44" s="16">
        <v>14.68</v>
      </c>
      <c r="K44" s="17">
        <v>-5.6450518468031008E-2</v>
      </c>
      <c r="P44" s="18">
        <v>1.29E-2</v>
      </c>
      <c r="Q44" s="18">
        <v>0.66222904842751951</v>
      </c>
      <c r="R44" s="18" t="s">
        <v>50</v>
      </c>
      <c r="S44" s="18">
        <v>0.69465519912620022</v>
      </c>
      <c r="T44" s="18">
        <v>0.62684542550486022</v>
      </c>
      <c r="U44" s="18" t="s">
        <v>50</v>
      </c>
      <c r="V44" s="18">
        <v>4.8405462114904263E-2</v>
      </c>
      <c r="W44" s="18">
        <v>0.33169999999999999</v>
      </c>
      <c r="Y44" s="92">
        <v>0.2485691368975341</v>
      </c>
      <c r="Z44" s="20">
        <v>-3.9913510806719268</v>
      </c>
      <c r="AA44" s="10">
        <v>-13.336835215400489</v>
      </c>
      <c r="AB44" s="17">
        <v>0.48327848801895651</v>
      </c>
      <c r="AC44" s="18">
        <v>7.0399563986899404E-3</v>
      </c>
      <c r="AD44" s="21">
        <v>0.1667139290200392</v>
      </c>
      <c r="AE44" s="21">
        <v>7.2755808106054656E-2</v>
      </c>
      <c r="AF44" s="21">
        <v>1.696654257702751E-2</v>
      </c>
      <c r="AG44" s="21"/>
      <c r="AH44" s="21">
        <v>4.3468839752402871E-2</v>
      </c>
    </row>
    <row r="45" spans="1:35">
      <c r="A45" s="13" t="s">
        <v>173</v>
      </c>
      <c r="B45" s="13" t="s">
        <v>80</v>
      </c>
      <c r="C45" s="13">
        <v>43</v>
      </c>
      <c r="E45" s="14">
        <v>44894</v>
      </c>
      <c r="H45" s="16">
        <v>17.600000000000001</v>
      </c>
      <c r="I45" s="16">
        <v>4.8</v>
      </c>
      <c r="J45" s="16">
        <v>9.92</v>
      </c>
      <c r="K45" s="17">
        <v>-0.42492452351994892</v>
      </c>
      <c r="P45" s="18">
        <v>1.67E-2</v>
      </c>
      <c r="Q45" s="18">
        <v>0.17405088331455459</v>
      </c>
      <c r="R45" s="18" t="s">
        <v>50</v>
      </c>
      <c r="S45" s="18">
        <v>0.64939586392282889</v>
      </c>
      <c r="T45" s="18">
        <v>0.86070854411458919</v>
      </c>
      <c r="U45" s="18" t="s">
        <v>50</v>
      </c>
      <c r="V45" s="18">
        <v>6.0856427573358171E-2</v>
      </c>
      <c r="W45" s="18">
        <v>1.5595000000000001</v>
      </c>
      <c r="Y45" s="92">
        <v>0.17853901941235101</v>
      </c>
      <c r="Z45" s="20">
        <v>-3.25476267629517</v>
      </c>
      <c r="AA45" s="10">
        <v>-9.0206902025317177</v>
      </c>
      <c r="AB45" s="17">
        <v>0.16068352953372109</v>
      </c>
      <c r="AC45" s="18" t="s">
        <v>51</v>
      </c>
      <c r="AD45" s="21" t="s">
        <v>51</v>
      </c>
      <c r="AE45" s="21">
        <v>3.6723446963523788E-2</v>
      </c>
      <c r="AF45" s="21">
        <v>2.1675358946420761E-3</v>
      </c>
      <c r="AG45" s="21"/>
      <c r="AH45" s="21">
        <v>5.0176557058622333E-2</v>
      </c>
    </row>
    <row r="46" spans="1:35">
      <c r="A46" s="13" t="s">
        <v>173</v>
      </c>
      <c r="B46" s="13" t="s">
        <v>80</v>
      </c>
      <c r="C46" s="13">
        <v>44</v>
      </c>
      <c r="E46" s="14">
        <v>44901</v>
      </c>
      <c r="H46" s="16">
        <v>19.2</v>
      </c>
      <c r="I46" s="16">
        <v>5.73</v>
      </c>
      <c r="J46" s="16">
        <v>3.27</v>
      </c>
      <c r="K46" s="17">
        <v>0.30668575442669249</v>
      </c>
      <c r="P46" s="18" t="s">
        <v>50</v>
      </c>
      <c r="Q46" s="18">
        <v>0.27173166147845729</v>
      </c>
      <c r="R46" s="18" t="s">
        <v>50</v>
      </c>
      <c r="S46" s="18">
        <v>7.1026599418245059E-2</v>
      </c>
      <c r="T46" s="18">
        <v>0.1022959116229646</v>
      </c>
      <c r="U46" s="18" t="s">
        <v>50</v>
      </c>
      <c r="V46" s="18">
        <v>9.2728225430833613E-3</v>
      </c>
      <c r="W46" s="18">
        <v>0.25469999999999998</v>
      </c>
      <c r="Y46" s="92"/>
      <c r="Z46" s="20">
        <v>-5.2727271418493116</v>
      </c>
      <c r="AA46" s="10">
        <v>-14.966896856805599</v>
      </c>
      <c r="AB46" s="17">
        <v>0.16306378874815139</v>
      </c>
      <c r="AC46" s="18" t="s">
        <v>154</v>
      </c>
      <c r="AD46" s="21">
        <v>4.1906246463689303E-2</v>
      </c>
      <c r="AE46" s="21">
        <v>7.6274920920421886E-3</v>
      </c>
      <c r="AF46" s="21">
        <v>1.9623125724058379E-3</v>
      </c>
      <c r="AG46" s="21"/>
      <c r="AH46" s="21">
        <v>4.5189076315175422E-2</v>
      </c>
    </row>
    <row r="47" spans="1:35">
      <c r="A47" s="13" t="s">
        <v>79</v>
      </c>
      <c r="B47" s="13" t="s">
        <v>80</v>
      </c>
      <c r="C47" s="13">
        <v>45</v>
      </c>
      <c r="E47" s="14">
        <v>44908</v>
      </c>
      <c r="H47" s="16">
        <v>14.1</v>
      </c>
      <c r="I47" s="16">
        <v>5.85</v>
      </c>
      <c r="J47" s="16">
        <v>7.04</v>
      </c>
      <c r="K47" s="17">
        <v>0.44604225933891861</v>
      </c>
      <c r="P47" s="18" t="s">
        <v>50</v>
      </c>
      <c r="Q47" s="18">
        <v>0.85124692254228873</v>
      </c>
      <c r="R47" s="18" t="s">
        <v>50</v>
      </c>
      <c r="S47" s="18">
        <v>0.2393981385748527</v>
      </c>
      <c r="T47" s="18">
        <v>0.48465913353685242</v>
      </c>
      <c r="U47" s="18" t="s">
        <v>50</v>
      </c>
      <c r="V47" s="18">
        <v>0.15341280246572819</v>
      </c>
      <c r="W47" s="18">
        <v>0.51519999999999999</v>
      </c>
      <c r="Y47" s="92">
        <v>0.1102625221139228</v>
      </c>
      <c r="Z47" s="20">
        <v>-4.388531915654168</v>
      </c>
      <c r="AA47" s="10">
        <v>-6.2526459722172643</v>
      </c>
      <c r="AB47" s="17">
        <v>0.49257857844535352</v>
      </c>
      <c r="AC47" s="18" t="s">
        <v>51</v>
      </c>
      <c r="AD47" s="21">
        <v>0.17421812734003639</v>
      </c>
      <c r="AE47" s="21">
        <v>7.2831523685881819E-2</v>
      </c>
      <c r="AF47" s="21">
        <v>2.4780797316887688E-3</v>
      </c>
      <c r="AG47" s="21"/>
      <c r="AH47" s="21">
        <v>5.9276141852313342E-2</v>
      </c>
    </row>
    <row r="48" spans="1:35">
      <c r="A48" s="13" t="s">
        <v>79</v>
      </c>
      <c r="B48" s="13" t="s">
        <v>80</v>
      </c>
      <c r="C48" s="13">
        <v>46</v>
      </c>
      <c r="E48" s="14">
        <v>44915</v>
      </c>
      <c r="H48" s="16">
        <v>12.9</v>
      </c>
      <c r="I48" s="16">
        <v>5.25</v>
      </c>
      <c r="J48" s="16">
        <v>4.5199999999999996</v>
      </c>
      <c r="K48" s="17">
        <v>0.22795117550452931</v>
      </c>
      <c r="P48" s="18" t="s">
        <v>50</v>
      </c>
      <c r="Q48" s="18">
        <v>0.25118470890855898</v>
      </c>
      <c r="R48" s="18" t="s">
        <v>50</v>
      </c>
      <c r="S48" s="18">
        <v>0.24361364900708479</v>
      </c>
      <c r="T48" s="18">
        <v>0.26178974884353151</v>
      </c>
      <c r="U48" s="18" t="s">
        <v>50</v>
      </c>
      <c r="V48" s="18">
        <v>2.6278291471156508E-2</v>
      </c>
      <c r="W48" s="18">
        <v>0.53820000000000001</v>
      </c>
      <c r="Y48" s="92"/>
      <c r="Z48" s="20">
        <v>-4.9152571810055052</v>
      </c>
      <c r="AA48" s="10">
        <v>-8.2900509474065771</v>
      </c>
      <c r="AB48" s="17">
        <v>0.20755414168620751</v>
      </c>
      <c r="AC48" s="18" t="s">
        <v>154</v>
      </c>
      <c r="AD48" s="21">
        <v>4.6295158427112647E-2</v>
      </c>
      <c r="AE48" s="21">
        <v>4.3744528635521772E-2</v>
      </c>
      <c r="AF48" s="21">
        <v>2.3296642604990541E-3</v>
      </c>
      <c r="AG48" s="21"/>
      <c r="AH48" s="18">
        <v>8.3317041941166223E-2</v>
      </c>
    </row>
    <row r="49" spans="1:34">
      <c r="A49" s="13" t="s">
        <v>79</v>
      </c>
      <c r="B49" s="13" t="s">
        <v>80</v>
      </c>
      <c r="C49" s="13">
        <v>47</v>
      </c>
      <c r="E49" s="14">
        <v>44922</v>
      </c>
      <c r="H49" s="16">
        <v>13.5</v>
      </c>
      <c r="I49" s="16">
        <v>6.6</v>
      </c>
      <c r="J49" s="16">
        <v>5.9</v>
      </c>
      <c r="K49" s="17">
        <v>0.99788454896889633</v>
      </c>
      <c r="P49" s="18" t="s">
        <v>50</v>
      </c>
      <c r="Q49" s="18">
        <v>0.50054908479789484</v>
      </c>
      <c r="R49" s="21" t="s">
        <v>50</v>
      </c>
      <c r="S49" s="21">
        <v>8.629251035899993E-2</v>
      </c>
      <c r="T49" s="21">
        <v>0.2548362383054476</v>
      </c>
      <c r="U49" s="21" t="s">
        <v>50</v>
      </c>
      <c r="V49" s="21" t="s">
        <v>50</v>
      </c>
      <c r="W49" s="18">
        <v>0.1918</v>
      </c>
      <c r="Y49" s="92">
        <v>2.6390823169206951E-2</v>
      </c>
      <c r="Z49" s="20">
        <v>-4.8111531036913</v>
      </c>
      <c r="AA49" s="10">
        <v>-5.7583402845759153</v>
      </c>
      <c r="AB49" s="17">
        <v>0.41046633215843759</v>
      </c>
      <c r="AC49" s="18" t="s">
        <v>154</v>
      </c>
      <c r="AD49" s="21" t="s">
        <v>51</v>
      </c>
      <c r="AE49" s="21">
        <v>4.4758673009523797E-2</v>
      </c>
      <c r="AF49" s="21">
        <v>2.494417505836807E-3</v>
      </c>
      <c r="AG49" s="21"/>
      <c r="AH49" s="21">
        <v>3.5525178679366227E-2</v>
      </c>
    </row>
    <row r="50" spans="1:34">
      <c r="A50" s="13" t="s">
        <v>79</v>
      </c>
      <c r="B50" s="13" t="s">
        <v>80</v>
      </c>
      <c r="C50" s="13">
        <v>48</v>
      </c>
      <c r="E50" s="14">
        <v>44929</v>
      </c>
      <c r="H50" s="16">
        <v>16.5</v>
      </c>
      <c r="I50" s="16">
        <v>5.08</v>
      </c>
      <c r="J50" s="16">
        <v>6.35</v>
      </c>
      <c r="K50" s="17">
        <v>0.8991360229406925</v>
      </c>
      <c r="P50" s="18" t="s">
        <v>50</v>
      </c>
      <c r="Q50" s="18">
        <v>0.50760944230197536</v>
      </c>
      <c r="R50" s="21" t="s">
        <v>50</v>
      </c>
      <c r="S50" s="21">
        <v>0.27637647602949722</v>
      </c>
      <c r="T50" s="21">
        <v>0.36802688317587429</v>
      </c>
      <c r="U50" s="21" t="s">
        <v>50</v>
      </c>
      <c r="V50" s="21">
        <v>5.1049309293040909E-3</v>
      </c>
      <c r="W50" s="18">
        <v>0.12689035395760809</v>
      </c>
      <c r="Y50" s="92"/>
      <c r="Z50" s="20">
        <v>-4.373709149678966</v>
      </c>
      <c r="AA50" s="10">
        <v>-4.9140986279134999</v>
      </c>
      <c r="AB50" s="17">
        <v>0.30220288689786579</v>
      </c>
      <c r="AC50" s="18" t="s">
        <v>154</v>
      </c>
      <c r="AD50" s="21">
        <v>4.9794667657299937E-2</v>
      </c>
      <c r="AE50" s="21">
        <v>2.5938390335507711E-2</v>
      </c>
      <c r="AF50" s="21">
        <v>2.178526673336388E-3</v>
      </c>
      <c r="AG50" s="21"/>
      <c r="AH50" s="21">
        <v>3.07628534784904E-2</v>
      </c>
    </row>
    <row r="51" spans="1:34">
      <c r="A51" s="13" t="s">
        <v>79</v>
      </c>
      <c r="B51" s="13" t="s">
        <v>80</v>
      </c>
      <c r="C51" s="13">
        <v>49</v>
      </c>
      <c r="E51" s="14">
        <v>44936</v>
      </c>
      <c r="H51" s="16">
        <v>13.3</v>
      </c>
      <c r="I51" s="16">
        <v>5.09</v>
      </c>
      <c r="J51" s="16">
        <v>18.2</v>
      </c>
      <c r="K51" s="17">
        <v>0.1982138007745079</v>
      </c>
      <c r="P51" s="18">
        <v>2.6800000000000001E-2</v>
      </c>
      <c r="Q51" s="18">
        <v>1.9304717802922831</v>
      </c>
      <c r="R51" s="21" t="s">
        <v>50</v>
      </c>
      <c r="S51" s="21">
        <v>2.382034084586556</v>
      </c>
      <c r="T51" s="21">
        <v>0.96551722108227356</v>
      </c>
      <c r="U51" s="21" t="s">
        <v>50</v>
      </c>
      <c r="V51" s="21">
        <v>0.38491211071885201</v>
      </c>
      <c r="W51" s="18">
        <v>0.56502761571632165</v>
      </c>
      <c r="Y51" s="92">
        <v>0.84077838987513964</v>
      </c>
      <c r="Z51" s="20">
        <v>-4.2887175871145553</v>
      </c>
      <c r="AA51" s="10">
        <v>-5.7607836856239816</v>
      </c>
      <c r="AB51" s="17">
        <v>1.27580378158318</v>
      </c>
      <c r="AC51" s="18">
        <v>0.14473699411117849</v>
      </c>
      <c r="AD51" s="21">
        <v>0.13783698573154579</v>
      </c>
      <c r="AE51" s="21">
        <v>0.42687470735291461</v>
      </c>
      <c r="AF51" s="21">
        <v>9.138691933332433E-3</v>
      </c>
      <c r="AG51" s="21"/>
      <c r="AH51" s="21">
        <v>7.6179588122664038E-2</v>
      </c>
    </row>
    <row r="52" spans="1:34">
      <c r="A52" s="13" t="s">
        <v>79</v>
      </c>
      <c r="B52" s="13" t="s">
        <v>80</v>
      </c>
      <c r="C52" s="13">
        <v>50</v>
      </c>
      <c r="E52" s="14">
        <v>44943</v>
      </c>
      <c r="P52" s="18" t="s">
        <v>50</v>
      </c>
      <c r="Q52" s="18">
        <v>0.60272756931594917</v>
      </c>
      <c r="R52" s="21" t="s">
        <v>50</v>
      </c>
      <c r="S52" s="21">
        <v>0.5778984496518953</v>
      </c>
      <c r="T52" s="21">
        <v>0.33926227927954788</v>
      </c>
      <c r="U52" s="21" t="s">
        <v>50</v>
      </c>
      <c r="V52" s="21">
        <v>0.36711374013247561</v>
      </c>
      <c r="W52" s="18">
        <v>1.1362665290077649</v>
      </c>
      <c r="Y52" s="92">
        <v>0.49783426346186349</v>
      </c>
      <c r="Z52" s="20">
        <v>-3.7174590266080139</v>
      </c>
      <c r="AA52" s="10">
        <v>-2.035993689296177</v>
      </c>
      <c r="AB52" s="17">
        <v>0.48877374947465663</v>
      </c>
      <c r="AC52" s="18">
        <v>6.8616049654820724E-2</v>
      </c>
      <c r="AD52" s="21">
        <v>0.1142362787618451</v>
      </c>
      <c r="AE52" s="21">
        <v>0.16901945221388101</v>
      </c>
      <c r="AF52" s="21">
        <v>7.859830813858177E-3</v>
      </c>
      <c r="AG52" s="21"/>
      <c r="AH52" s="21">
        <v>0.11530288525882081</v>
      </c>
    </row>
    <row r="53" spans="1:34">
      <c r="A53" s="13" t="s">
        <v>79</v>
      </c>
      <c r="B53" s="13" t="s">
        <v>80</v>
      </c>
      <c r="C53" s="13">
        <v>51</v>
      </c>
      <c r="E53" s="14">
        <v>44950</v>
      </c>
      <c r="H53" s="16">
        <v>16.600000000000001</v>
      </c>
      <c r="I53" s="16">
        <v>4.8899999999999997</v>
      </c>
      <c r="J53" s="16">
        <v>24.3</v>
      </c>
      <c r="K53" s="17">
        <v>-0.30684011721184279</v>
      </c>
      <c r="P53" s="18">
        <v>1.7399999999999999E-2</v>
      </c>
      <c r="Q53" s="18">
        <v>3.3450912249103149</v>
      </c>
      <c r="R53" s="21" t="s">
        <v>50</v>
      </c>
      <c r="S53" s="21">
        <v>1.827108618024277</v>
      </c>
      <c r="T53" s="21">
        <v>1.9301878000648749</v>
      </c>
      <c r="U53" s="21" t="s">
        <v>50</v>
      </c>
      <c r="V53" s="21">
        <v>0.6719031764778588</v>
      </c>
      <c r="W53" s="18">
        <v>0.86567416213507187</v>
      </c>
      <c r="Y53" s="92">
        <v>0.96939944235746489</v>
      </c>
      <c r="Z53" s="20">
        <v>-3.9791703210148328</v>
      </c>
      <c r="AA53" s="10">
        <v>1.250545626768357</v>
      </c>
      <c r="AB53" s="17">
        <v>1.6857167712374359</v>
      </c>
      <c r="AC53" s="18">
        <v>0.21231795799392711</v>
      </c>
      <c r="AD53" s="21">
        <v>0.19702561548699221</v>
      </c>
      <c r="AE53" s="21">
        <v>0.38183767786678152</v>
      </c>
      <c r="AF53" s="21">
        <v>9.5986554770460097E-3</v>
      </c>
      <c r="AG53" s="21"/>
      <c r="AH53" s="21">
        <v>7.0131818361148637E-2</v>
      </c>
    </row>
    <row r="54" spans="1:34">
      <c r="A54" s="13" t="s">
        <v>79</v>
      </c>
      <c r="B54" s="13" t="s">
        <v>80</v>
      </c>
      <c r="C54" s="13">
        <v>52</v>
      </c>
      <c r="E54" s="14">
        <v>44964</v>
      </c>
      <c r="H54" s="16">
        <v>16.600000000000001</v>
      </c>
      <c r="J54" s="16">
        <v>9.6199999999999992</v>
      </c>
      <c r="P54" s="18" t="s">
        <v>50</v>
      </c>
      <c r="Q54" s="18">
        <v>1.3533116288490601</v>
      </c>
      <c r="R54" s="21" t="s">
        <v>50</v>
      </c>
      <c r="S54" s="21">
        <v>0.61099553913396243</v>
      </c>
      <c r="T54" s="21">
        <v>0.70995078662550493</v>
      </c>
      <c r="U54" s="21" t="s">
        <v>50</v>
      </c>
      <c r="V54" s="21">
        <v>0.21591535659857949</v>
      </c>
      <c r="W54" s="18">
        <v>0.74566268658443347</v>
      </c>
      <c r="Y54" s="92">
        <v>0.53863367696655717</v>
      </c>
      <c r="Z54" s="20">
        <v>-3.4208734734778141</v>
      </c>
      <c r="AA54" s="10">
        <v>-1.7369225632078871</v>
      </c>
      <c r="AB54" s="17">
        <v>0.65121447891840711</v>
      </c>
      <c r="AC54" s="18" t="s">
        <v>51</v>
      </c>
      <c r="AD54" s="21">
        <v>2.5802969857328269E-2</v>
      </c>
      <c r="AE54" s="21">
        <v>0.1318562339889405</v>
      </c>
      <c r="AF54" s="21">
        <v>1.533172625887123E-2</v>
      </c>
      <c r="AG54" s="21"/>
      <c r="AH54" s="21">
        <v>5.7493321642812158E-2</v>
      </c>
    </row>
    <row r="55" spans="1:34">
      <c r="A55" s="13" t="s">
        <v>79</v>
      </c>
      <c r="B55" s="13" t="s">
        <v>80</v>
      </c>
      <c r="C55" s="13">
        <v>53</v>
      </c>
      <c r="E55" s="14">
        <v>44971</v>
      </c>
      <c r="H55" s="16">
        <v>17.5</v>
      </c>
      <c r="I55" s="16">
        <v>5.45</v>
      </c>
      <c r="J55" s="16">
        <v>7.74</v>
      </c>
      <c r="P55" s="18">
        <v>0.26851657303404952</v>
      </c>
      <c r="Q55" s="18">
        <v>0.69954899295096773</v>
      </c>
      <c r="R55" s="21">
        <v>1.4043955027770161E-3</v>
      </c>
      <c r="S55" s="21">
        <v>0.86698027213927009</v>
      </c>
      <c r="T55" s="21">
        <v>0.53731713538872405</v>
      </c>
      <c r="U55" s="21" t="s">
        <v>50</v>
      </c>
      <c r="V55" s="21">
        <v>0.46001154584592818</v>
      </c>
      <c r="W55" s="18">
        <v>1.399648633859216</v>
      </c>
      <c r="Y55" s="92">
        <v>1.128148697100875</v>
      </c>
      <c r="Z55" s="20">
        <v>-3.747990891326678</v>
      </c>
      <c r="AA55" s="10">
        <v>-12.58619186159941</v>
      </c>
      <c r="AB55" s="17">
        <v>0.18300029099540069</v>
      </c>
      <c r="AC55" s="18" t="s">
        <v>51</v>
      </c>
      <c r="AD55" s="21">
        <v>5.9344022583679663E-2</v>
      </c>
      <c r="AE55" s="21">
        <v>8.9721516500092108E-2</v>
      </c>
      <c r="AF55" s="21">
        <v>1.505434200743494E-2</v>
      </c>
      <c r="AG55" s="21"/>
      <c r="AH55" s="18">
        <v>7.4985413967053854E-2</v>
      </c>
    </row>
    <row r="56" spans="1:34">
      <c r="A56" s="13" t="s">
        <v>79</v>
      </c>
      <c r="B56" s="13" t="s">
        <v>80</v>
      </c>
      <c r="C56" s="13">
        <v>54</v>
      </c>
      <c r="E56" s="14">
        <v>44978</v>
      </c>
      <c r="H56" s="16">
        <v>18.600000000000001</v>
      </c>
      <c r="I56" s="16">
        <v>4.76</v>
      </c>
      <c r="J56" s="16">
        <v>39.049999999999997</v>
      </c>
      <c r="P56" s="18">
        <v>0.41059975759654221</v>
      </c>
      <c r="Q56" s="18">
        <v>3.9527812654967338</v>
      </c>
      <c r="R56" s="21">
        <v>1.019421905393598E-2</v>
      </c>
      <c r="S56" s="21">
        <v>5.0510832762627453</v>
      </c>
      <c r="T56" s="21">
        <v>2.8864148951905451</v>
      </c>
      <c r="U56" s="21">
        <v>0.13489569853267619</v>
      </c>
      <c r="V56" s="21">
        <v>2.2453759445743571</v>
      </c>
      <c r="W56" s="18">
        <v>2.215221089246334</v>
      </c>
      <c r="Y56" s="92">
        <v>4.9776781749298147</v>
      </c>
      <c r="Z56" s="20">
        <v>-3.1610627311564858</v>
      </c>
      <c r="AA56" s="10">
        <v>0.49976781838075007</v>
      </c>
      <c r="AB56" s="17">
        <v>1.786243694248064</v>
      </c>
      <c r="AC56" s="18">
        <v>7.1464643034117495E-2</v>
      </c>
      <c r="AD56" s="21">
        <v>0.1194867714352545</v>
      </c>
      <c r="AE56" s="21">
        <v>0.24582141735453111</v>
      </c>
      <c r="AF56" s="21">
        <v>1.5815869550523821E-2</v>
      </c>
      <c r="AG56" s="21"/>
      <c r="AH56" s="18">
        <v>5.7426620176480883E-2</v>
      </c>
    </row>
    <row r="57" spans="1:34">
      <c r="A57" s="13" t="s">
        <v>79</v>
      </c>
      <c r="B57" s="13" t="s">
        <v>80</v>
      </c>
      <c r="C57" s="13">
        <v>55</v>
      </c>
      <c r="E57" s="14">
        <v>44986</v>
      </c>
      <c r="H57" s="16">
        <v>11.5</v>
      </c>
      <c r="I57" s="16">
        <v>4.8600000000000003</v>
      </c>
      <c r="J57" s="16">
        <v>25.56</v>
      </c>
      <c r="K57" s="17">
        <v>-0.19076972248568111</v>
      </c>
      <c r="P57" s="18">
        <v>3.8791118033858388E-2</v>
      </c>
      <c r="Q57" s="18">
        <v>4.4988049269194477</v>
      </c>
      <c r="R57" s="21" t="s">
        <v>50</v>
      </c>
      <c r="S57" s="21">
        <v>1.2468794726813071</v>
      </c>
      <c r="T57" s="21">
        <v>1.4808619338656099</v>
      </c>
      <c r="U57" s="21" t="s">
        <v>50</v>
      </c>
      <c r="V57" s="21">
        <v>0.34862473526336463</v>
      </c>
      <c r="W57" s="18">
        <v>0.52690888241215927</v>
      </c>
      <c r="Y57" s="92">
        <v>0.92599377346376943</v>
      </c>
      <c r="Z57" s="20">
        <v>-3.2210458824038262</v>
      </c>
      <c r="AA57" s="10">
        <v>3.5677974843058311</v>
      </c>
      <c r="AB57" s="17">
        <v>2.4904074354588288</v>
      </c>
      <c r="AC57" s="18">
        <v>0.16844922921788949</v>
      </c>
      <c r="AD57" s="21">
        <v>0.1275870305988295</v>
      </c>
      <c r="AE57" s="21">
        <v>0.14663194320979381</v>
      </c>
      <c r="AF57" s="21">
        <v>1.6144537343697189E-2</v>
      </c>
      <c r="AG57" s="21"/>
      <c r="AH57" s="21">
        <v>6.8167702528505028E-2</v>
      </c>
    </row>
    <row r="58" spans="1:34">
      <c r="A58" s="13" t="s">
        <v>79</v>
      </c>
      <c r="B58" s="13" t="s">
        <v>80</v>
      </c>
      <c r="C58" s="13">
        <v>56</v>
      </c>
      <c r="E58" s="14">
        <v>44991</v>
      </c>
      <c r="P58" s="18">
        <v>0.10414351905788399</v>
      </c>
      <c r="Q58" s="18">
        <v>13.04159039467064</v>
      </c>
      <c r="R58" s="21" t="s">
        <v>50</v>
      </c>
      <c r="S58" s="21">
        <v>6.7092389290190289</v>
      </c>
      <c r="T58" s="21">
        <v>4.8998568376784926</v>
      </c>
      <c r="U58" s="21">
        <v>4.9365100084042657E-2</v>
      </c>
      <c r="V58" s="21">
        <v>2.4278080133036841</v>
      </c>
      <c r="Y58" s="92"/>
      <c r="AC58" s="18"/>
      <c r="AD58" s="21"/>
      <c r="AE58" s="21"/>
      <c r="AF58" s="21"/>
      <c r="AG58" s="21"/>
      <c r="AH58" s="21"/>
    </row>
    <row r="59" spans="1:34">
      <c r="A59" s="13" t="s">
        <v>79</v>
      </c>
      <c r="B59" s="13" t="s">
        <v>80</v>
      </c>
      <c r="C59" s="13">
        <v>57</v>
      </c>
      <c r="E59" s="14">
        <v>44999</v>
      </c>
      <c r="P59" s="18">
        <v>0.10414351905788399</v>
      </c>
      <c r="Q59" s="18">
        <v>13.04159039467064</v>
      </c>
      <c r="R59" s="21" t="s">
        <v>50</v>
      </c>
      <c r="S59" s="21">
        <v>6.7092389290190289</v>
      </c>
      <c r="T59" s="21">
        <v>4.8998568376784926</v>
      </c>
      <c r="U59" s="21">
        <v>4.9365100084042657E-2</v>
      </c>
      <c r="V59" s="21">
        <v>2.4278080133036841</v>
      </c>
      <c r="W59" s="18">
        <v>8.2345842886538971</v>
      </c>
      <c r="Y59" s="92">
        <v>3.966728407813402</v>
      </c>
      <c r="Z59" s="20">
        <v>-2.6548703678238819</v>
      </c>
      <c r="AA59" s="10">
        <v>5.266551870503509</v>
      </c>
      <c r="AB59" s="17">
        <v>6.3456002453953131</v>
      </c>
      <c r="AC59" s="18">
        <v>0.83101797271832467</v>
      </c>
      <c r="AD59" s="21">
        <v>0.68238608072829332</v>
      </c>
      <c r="AE59" s="21">
        <v>1.110939943309496</v>
      </c>
      <c r="AF59" s="21">
        <v>1.6797462825532659E-2</v>
      </c>
      <c r="AG59" s="21"/>
      <c r="AH59" s="21">
        <v>0.16398836341976381</v>
      </c>
    </row>
    <row r="60" spans="1:34">
      <c r="A60" s="13" t="s">
        <v>79</v>
      </c>
      <c r="B60" s="13" t="s">
        <v>80</v>
      </c>
      <c r="C60" s="13">
        <v>58</v>
      </c>
      <c r="E60" s="14">
        <v>45007</v>
      </c>
      <c r="H60" s="16">
        <v>19.7</v>
      </c>
      <c r="I60" s="16">
        <v>4.79</v>
      </c>
      <c r="J60" s="16">
        <v>24.03</v>
      </c>
      <c r="P60" s="18">
        <v>3.6683605733598461E-2</v>
      </c>
      <c r="Q60" s="18">
        <v>3.1654326799167718</v>
      </c>
      <c r="R60" s="21">
        <v>4.949642549635553E-3</v>
      </c>
      <c r="S60" s="21">
        <v>1.6471372050360551</v>
      </c>
      <c r="T60" s="21">
        <v>1.3827027356589301</v>
      </c>
      <c r="U60" s="21" t="s">
        <v>50</v>
      </c>
      <c r="V60" s="21">
        <v>0.36626622063250419</v>
      </c>
      <c r="Y60" s="92">
        <v>0.51908853521313625</v>
      </c>
      <c r="Z60" s="20">
        <v>-3.046019722116371</v>
      </c>
      <c r="AA60" s="10">
        <v>-3.5075995158448059</v>
      </c>
      <c r="AB60" s="17">
        <v>1.35855179348412</v>
      </c>
      <c r="AC60" s="18">
        <v>0.18883924714823119</v>
      </c>
      <c r="AD60" s="21">
        <v>0.1827755119764608</v>
      </c>
      <c r="AE60" s="21">
        <v>0.4728738916056705</v>
      </c>
      <c r="AF60" s="21">
        <v>1.334899357926358E-2</v>
      </c>
      <c r="AG60" s="21"/>
      <c r="AH60" s="21">
        <v>0.17553747824819529</v>
      </c>
    </row>
    <row r="61" spans="1:34">
      <c r="A61" s="13" t="s">
        <v>79</v>
      </c>
      <c r="B61" s="13" t="s">
        <v>80</v>
      </c>
      <c r="C61" s="13">
        <v>59</v>
      </c>
      <c r="E61" s="14">
        <v>45014</v>
      </c>
      <c r="H61" s="16">
        <v>17.399999999999999</v>
      </c>
      <c r="I61" s="16">
        <v>4.97</v>
      </c>
      <c r="J61" s="16">
        <v>12.37</v>
      </c>
      <c r="K61" s="17">
        <v>-0.19307634314419631</v>
      </c>
      <c r="P61" s="18">
        <v>2.863405712942485E-2</v>
      </c>
      <c r="Q61" s="18">
        <v>1.0019856476683611</v>
      </c>
      <c r="R61" s="21">
        <v>3.7195097519246022E-3</v>
      </c>
      <c r="S61" s="21">
        <v>1.1677599912542369</v>
      </c>
      <c r="T61" s="21">
        <v>0.83872959438985772</v>
      </c>
      <c r="U61" s="21" t="s">
        <v>50</v>
      </c>
      <c r="V61" s="21">
        <v>0.31080521586887982</v>
      </c>
      <c r="W61" s="18">
        <v>1.754597980205949</v>
      </c>
      <c r="Y61" s="92">
        <v>0.50338106831936147</v>
      </c>
      <c r="Z61" s="20">
        <v>-4.0588980144427822</v>
      </c>
      <c r="AA61" s="10">
        <v>-12.286538606110531</v>
      </c>
      <c r="AB61" s="17">
        <v>0.56590327843589872</v>
      </c>
      <c r="AC61" s="18">
        <v>2.6902563863845579E-2</v>
      </c>
      <c r="AD61" s="21">
        <v>0.16758344543879761</v>
      </c>
      <c r="AE61" s="21">
        <v>0.26383694483028419</v>
      </c>
      <c r="AF61" s="21">
        <v>1.2580681614537041E-2</v>
      </c>
      <c r="AG61" s="21"/>
      <c r="AH61" s="21">
        <v>0.144789466011565</v>
      </c>
    </row>
    <row r="62" spans="1:34">
      <c r="A62" s="13" t="s">
        <v>79</v>
      </c>
      <c r="B62" s="13" t="s">
        <v>80</v>
      </c>
      <c r="C62" s="13">
        <v>60</v>
      </c>
      <c r="E62" s="14">
        <v>45022</v>
      </c>
      <c r="P62" s="18">
        <v>4.8852663456818532E-2</v>
      </c>
      <c r="Q62" s="18">
        <v>3.5622062658502212</v>
      </c>
      <c r="R62" s="21" t="s">
        <v>50</v>
      </c>
      <c r="S62" s="21">
        <v>2.6863332980866912</v>
      </c>
      <c r="T62" s="21">
        <v>2.8580407586277752</v>
      </c>
      <c r="U62" s="21" t="s">
        <v>50</v>
      </c>
      <c r="V62" s="21">
        <v>1.3064351652816879</v>
      </c>
      <c r="Y62" s="92"/>
      <c r="Z62" s="20">
        <v>-2.757969396203737</v>
      </c>
      <c r="AA62" s="10">
        <v>-1.3240645506565929</v>
      </c>
      <c r="AB62" s="17">
        <v>1.9477078149074509</v>
      </c>
      <c r="AC62" s="18">
        <v>0.15953201536446471</v>
      </c>
      <c r="AD62" s="21">
        <v>0.14945639544123179</v>
      </c>
      <c r="AE62" s="21">
        <v>0.54589639799852485</v>
      </c>
      <c r="AF62" s="21">
        <v>1.296301314929227E-2</v>
      </c>
      <c r="AG62" s="21"/>
      <c r="AH62" s="21">
        <v>0.2138830713331859</v>
      </c>
    </row>
    <row r="63" spans="1:34">
      <c r="A63" s="13" t="s">
        <v>79</v>
      </c>
      <c r="B63" s="13" t="s">
        <v>80</v>
      </c>
      <c r="C63" s="13">
        <v>61</v>
      </c>
      <c r="E63" s="14">
        <v>45027</v>
      </c>
      <c r="W63" s="34"/>
      <c r="Y63" s="92"/>
      <c r="Z63" s="20">
        <v>-1.262479198178309</v>
      </c>
      <c r="AA63" s="10">
        <v>2.0760572533555259</v>
      </c>
      <c r="AB63" s="17">
        <v>3.5477144237673168</v>
      </c>
      <c r="AC63" s="18">
        <v>0.42479149621915008</v>
      </c>
      <c r="AD63" s="21">
        <v>0.43473275779682069</v>
      </c>
      <c r="AE63" s="21">
        <v>1.148807044181944</v>
      </c>
      <c r="AF63" s="21">
        <v>1.421911839030562E-2</v>
      </c>
      <c r="AG63" s="21"/>
      <c r="AH63" s="21">
        <v>0.2259137385831875</v>
      </c>
    </row>
    <row r="64" spans="1:34">
      <c r="A64" s="13" t="s">
        <v>79</v>
      </c>
      <c r="B64" s="13" t="s">
        <v>80</v>
      </c>
      <c r="C64" s="13">
        <v>62</v>
      </c>
      <c r="E64" s="14">
        <v>45034</v>
      </c>
      <c r="P64" s="18">
        <v>9.9476204775203886E-2</v>
      </c>
      <c r="Q64" s="18">
        <v>9.1396400508956308</v>
      </c>
      <c r="R64" s="21" t="s">
        <v>50</v>
      </c>
      <c r="S64" s="21">
        <v>1.777254674490693</v>
      </c>
      <c r="T64" s="21">
        <v>3.9135345013250298</v>
      </c>
      <c r="U64" s="21" t="s">
        <v>50</v>
      </c>
      <c r="V64" s="21">
        <v>1.7128185323757239</v>
      </c>
      <c r="Y64" s="92">
        <v>1.962286745101506</v>
      </c>
      <c r="Z64" s="20">
        <v>-3.0035328977846021</v>
      </c>
      <c r="AA64" s="10">
        <v>-11.589070759159361</v>
      </c>
      <c r="AB64" s="17">
        <v>0.35204130798642702</v>
      </c>
      <c r="AC64" s="18">
        <v>1.14246555215672E-2</v>
      </c>
      <c r="AD64" s="21">
        <v>0.18263289799093421</v>
      </c>
      <c r="AE64" s="21">
        <v>0.2402346459441291</v>
      </c>
      <c r="AF64" s="21">
        <v>1.0807003306779851E-2</v>
      </c>
      <c r="AG64" s="21"/>
      <c r="AH64" s="21">
        <v>0.13994366167935501</v>
      </c>
    </row>
    <row r="65" spans="1:35">
      <c r="A65" s="13" t="s">
        <v>79</v>
      </c>
      <c r="B65" s="13" t="s">
        <v>80</v>
      </c>
      <c r="C65" s="13">
        <v>63</v>
      </c>
      <c r="E65" s="14">
        <v>45041</v>
      </c>
      <c r="H65" s="16">
        <v>20.9</v>
      </c>
      <c r="I65" s="16">
        <v>5.35</v>
      </c>
      <c r="J65" s="16">
        <v>12.49</v>
      </c>
      <c r="P65" s="18">
        <v>2.910346674060622E-2</v>
      </c>
      <c r="Q65" s="18">
        <v>0.79395504216432733</v>
      </c>
      <c r="R65" s="21" t="s">
        <v>50</v>
      </c>
      <c r="S65" s="21">
        <v>1.269412798975343</v>
      </c>
      <c r="T65" s="21">
        <v>1.3882299607552551</v>
      </c>
      <c r="U65" s="21" t="s">
        <v>50</v>
      </c>
      <c r="V65" s="21">
        <v>0.61239005521996037</v>
      </c>
      <c r="W65" s="18">
        <v>2.262524046990964</v>
      </c>
      <c r="Y65" s="92">
        <v>0.32775751700664818</v>
      </c>
      <c r="AC65" s="18"/>
      <c r="AD65" s="21"/>
      <c r="AE65" s="21"/>
      <c r="AF65" s="21"/>
      <c r="AG65" s="21"/>
      <c r="AH65" s="21"/>
    </row>
    <row r="66" spans="1:35">
      <c r="A66" s="13" t="s">
        <v>79</v>
      </c>
      <c r="B66" s="13" t="s">
        <v>80</v>
      </c>
      <c r="C66" s="13">
        <v>64</v>
      </c>
      <c r="E66" s="14">
        <v>45048</v>
      </c>
      <c r="Y66" s="92"/>
      <c r="AC66" s="18"/>
      <c r="AD66" s="21"/>
      <c r="AE66" s="21"/>
      <c r="AF66" s="21"/>
      <c r="AG66" s="21"/>
      <c r="AH66" s="21"/>
    </row>
    <row r="67" spans="1:35">
      <c r="A67" s="13" t="s">
        <v>79</v>
      </c>
      <c r="B67" s="13" t="s">
        <v>80</v>
      </c>
      <c r="C67" s="13">
        <v>65</v>
      </c>
      <c r="E67" s="14">
        <v>45055</v>
      </c>
      <c r="H67" s="16">
        <v>21</v>
      </c>
      <c r="I67" s="16">
        <v>8.3000000000000007</v>
      </c>
      <c r="J67" s="16">
        <v>10.7</v>
      </c>
      <c r="P67" s="18">
        <v>3.1320546179784803E-2</v>
      </c>
      <c r="Q67" s="18">
        <v>0.98789326581384918</v>
      </c>
      <c r="R67" s="21">
        <v>3.9695400897542636E-3</v>
      </c>
      <c r="S67" s="21">
        <v>0.19596401465447291</v>
      </c>
      <c r="T67" s="21">
        <v>0.34805928343690529</v>
      </c>
      <c r="U67" s="21" t="s">
        <v>50</v>
      </c>
      <c r="V67" s="21">
        <v>0.31259717118509178</v>
      </c>
      <c r="W67" s="34">
        <v>2.9291383051252522</v>
      </c>
      <c r="Y67" s="92">
        <v>0.10827936391879051</v>
      </c>
      <c r="Z67" s="20">
        <v>-5.5163290185660463</v>
      </c>
      <c r="AA67" s="10">
        <v>-31.048961559239711</v>
      </c>
      <c r="AB67" s="17">
        <v>0.27743069907782641</v>
      </c>
      <c r="AC67" s="18" t="s">
        <v>51</v>
      </c>
      <c r="AD67" s="21">
        <v>0.1159153374683739</v>
      </c>
      <c r="AE67" s="21">
        <v>0.1129477367286663</v>
      </c>
      <c r="AF67" s="21">
        <v>1.0460627458885719E-2</v>
      </c>
      <c r="AG67" s="21"/>
      <c r="AH67" s="21">
        <v>0.127133054781118</v>
      </c>
    </row>
    <row r="68" spans="1:35">
      <c r="A68" s="13" t="s">
        <v>79</v>
      </c>
      <c r="B68" s="13" t="s">
        <v>80</v>
      </c>
      <c r="C68" s="13">
        <v>66</v>
      </c>
      <c r="E68" s="14">
        <v>45062</v>
      </c>
      <c r="P68" s="18">
        <v>5.2050153004577972E-2</v>
      </c>
      <c r="Q68" s="18">
        <v>8.5641830829576264</v>
      </c>
      <c r="R68" s="21" t="s">
        <v>50</v>
      </c>
      <c r="S68" s="21">
        <v>0.57436465864169228</v>
      </c>
      <c r="T68" s="21">
        <v>5.2461409624674031</v>
      </c>
      <c r="U68" s="21">
        <v>3.1753100873307183E-2</v>
      </c>
      <c r="V68" s="21">
        <v>0.87988627093147742</v>
      </c>
      <c r="Y68" s="92"/>
      <c r="Z68" s="20">
        <v>-1.06351162334883</v>
      </c>
      <c r="AA68" s="10">
        <v>6.1894238337727083</v>
      </c>
      <c r="AB68" s="17">
        <v>3.8540033203271848</v>
      </c>
      <c r="AC68" s="18">
        <v>0.55027186945910911</v>
      </c>
      <c r="AD68" s="21">
        <v>0.35168801001310951</v>
      </c>
      <c r="AE68" s="21">
        <v>1.324784347612838</v>
      </c>
      <c r="AF68" s="21">
        <v>1.5662125095695041E-2</v>
      </c>
      <c r="AG68" s="21"/>
      <c r="AH68" s="21">
        <v>0.35892029978135581</v>
      </c>
    </row>
    <row r="69" spans="1:35">
      <c r="A69" s="13" t="s">
        <v>79</v>
      </c>
      <c r="B69" s="13" t="s">
        <v>80</v>
      </c>
      <c r="C69" s="13">
        <v>67</v>
      </c>
      <c r="E69" s="14">
        <v>45069</v>
      </c>
      <c r="H69" s="16">
        <v>19.5</v>
      </c>
      <c r="I69" s="16">
        <v>5.35</v>
      </c>
      <c r="J69" s="16">
        <v>8.84</v>
      </c>
      <c r="P69" s="18">
        <v>5.2861867462486993E-2</v>
      </c>
      <c r="Q69" s="18">
        <v>0.98779502183752221</v>
      </c>
      <c r="R69" s="21" t="s">
        <v>50</v>
      </c>
      <c r="S69" s="21">
        <v>0.27647124129914102</v>
      </c>
      <c r="T69" s="21">
        <v>0.75173775581935953</v>
      </c>
      <c r="U69" s="21" t="s">
        <v>50</v>
      </c>
      <c r="V69" s="21">
        <v>0.28120691236565509</v>
      </c>
      <c r="W69" s="18">
        <v>3.204111011148532</v>
      </c>
      <c r="Y69" s="92">
        <v>0.16978442159564611</v>
      </c>
      <c r="Z69" s="20">
        <v>-2.781724039364859</v>
      </c>
      <c r="AA69" s="10">
        <v>-11.113196074213899</v>
      </c>
      <c r="AB69" s="17">
        <v>0.18353091305270119</v>
      </c>
      <c r="AC69" s="18">
        <v>2.463764131409581E-2</v>
      </c>
      <c r="AD69" s="21">
        <v>0.31902192600452828</v>
      </c>
      <c r="AE69" s="21">
        <v>0.28372564162950442</v>
      </c>
      <c r="AF69" s="21">
        <v>1.35795657005065E-2</v>
      </c>
      <c r="AG69" s="21"/>
      <c r="AH69" s="21">
        <v>0.17475197065231851</v>
      </c>
    </row>
    <row r="70" spans="1:35">
      <c r="A70" s="13" t="s">
        <v>79</v>
      </c>
      <c r="B70" s="13" t="s">
        <v>80</v>
      </c>
      <c r="C70" s="13">
        <v>68</v>
      </c>
      <c r="E70" s="14">
        <v>45076</v>
      </c>
      <c r="H70" s="16">
        <v>19.5</v>
      </c>
      <c r="I70" s="16">
        <v>4.91</v>
      </c>
      <c r="J70" s="16">
        <v>27.74</v>
      </c>
      <c r="P70" s="18">
        <v>5.4904929833064359E-2</v>
      </c>
      <c r="Q70" s="18">
        <v>5.0488648350115701</v>
      </c>
      <c r="R70" s="21" t="s">
        <v>50</v>
      </c>
      <c r="S70" s="21">
        <v>0.25188060928665379</v>
      </c>
      <c r="T70" s="21">
        <v>1.9865756594873609</v>
      </c>
      <c r="U70" s="21">
        <v>3.0406169859707351E-2</v>
      </c>
      <c r="V70" s="21">
        <v>0.34000789709576829</v>
      </c>
      <c r="W70" s="18">
        <v>3.5221317290809631</v>
      </c>
      <c r="Y70" s="92">
        <v>0.1139807436745993</v>
      </c>
      <c r="Z70" s="20">
        <v>-2.237036733859183</v>
      </c>
      <c r="AA70" s="10">
        <v>-4.1621170998163386</v>
      </c>
      <c r="AB70" s="17">
        <v>2.4702100221608192</v>
      </c>
      <c r="AC70" s="18">
        <v>0.20098249990789011</v>
      </c>
      <c r="AD70" s="21">
        <v>0.31289092289750697</v>
      </c>
      <c r="AE70" s="21">
        <v>0.49614035965649739</v>
      </c>
      <c r="AF70" s="21">
        <v>1.4466071013788891E-2</v>
      </c>
      <c r="AG70" s="21"/>
      <c r="AH70" s="21">
        <v>0.19021557456595831</v>
      </c>
    </row>
    <row r="71" spans="1:35">
      <c r="A71" s="13" t="s">
        <v>79</v>
      </c>
      <c r="B71" s="13" t="s">
        <v>80</v>
      </c>
      <c r="C71" s="13">
        <v>69</v>
      </c>
      <c r="E71" s="14">
        <v>45083</v>
      </c>
      <c r="H71" s="16">
        <v>20.3</v>
      </c>
      <c r="I71" s="16">
        <v>5.29</v>
      </c>
      <c r="J71" s="16">
        <v>8.51</v>
      </c>
      <c r="P71" s="18">
        <v>4.2435697450335139E-2</v>
      </c>
      <c r="Q71" s="18">
        <v>1.085219791778919</v>
      </c>
      <c r="R71" s="21" t="s">
        <v>50</v>
      </c>
      <c r="S71" s="21">
        <v>0.3838308448568799</v>
      </c>
      <c r="T71" s="21">
        <v>0.68299876342498755</v>
      </c>
      <c r="U71" s="21" t="s">
        <v>50</v>
      </c>
      <c r="V71" s="21">
        <v>0.2483653331491617</v>
      </c>
      <c r="W71" s="18">
        <v>0.75190505846500477</v>
      </c>
      <c r="Y71" s="92">
        <v>0.15625156474756211</v>
      </c>
      <c r="Z71" s="20">
        <v>-5.3160777941733119</v>
      </c>
      <c r="AA71" s="10">
        <v>-33.465242009650332</v>
      </c>
      <c r="AB71" s="17">
        <v>0.53786959451129646</v>
      </c>
      <c r="AC71" s="18">
        <v>3.1272616356451989E-2</v>
      </c>
      <c r="AD71" s="21">
        <v>7.3271367939215487E-2</v>
      </c>
      <c r="AE71" s="21">
        <v>0.12496959775353381</v>
      </c>
      <c r="AF71" s="21">
        <v>1.317545768850378E-2</v>
      </c>
      <c r="AG71" s="21"/>
      <c r="AH71" s="21">
        <v>7.0678927777791806E-2</v>
      </c>
    </row>
    <row r="72" spans="1:35">
      <c r="A72" s="13" t="s">
        <v>79</v>
      </c>
      <c r="B72" s="13" t="s">
        <v>80</v>
      </c>
      <c r="E72" s="14">
        <v>45084</v>
      </c>
      <c r="W72" s="18">
        <v>4.2931254220379662</v>
      </c>
      <c r="Y72" s="92"/>
      <c r="AC72" s="18"/>
      <c r="AD72" s="21"/>
      <c r="AE72" s="21"/>
      <c r="AF72" s="21"/>
      <c r="AG72" s="21"/>
      <c r="AH72" s="21"/>
    </row>
    <row r="73" spans="1:35">
      <c r="A73" s="13" t="s">
        <v>79</v>
      </c>
      <c r="B73" s="13" t="s">
        <v>80</v>
      </c>
      <c r="C73" s="13">
        <v>70</v>
      </c>
      <c r="E73" s="14">
        <v>45090</v>
      </c>
      <c r="H73" s="16">
        <v>19.5</v>
      </c>
      <c r="I73" s="16">
        <v>4.79</v>
      </c>
      <c r="J73" s="16">
        <v>6.12</v>
      </c>
      <c r="P73" s="18">
        <v>1.3899999999999999E-2</v>
      </c>
      <c r="Q73" s="18">
        <v>0.37360063223843959</v>
      </c>
      <c r="R73" s="21">
        <v>2.5999999999999999E-3</v>
      </c>
      <c r="S73" s="21">
        <v>0.40780232515452841</v>
      </c>
      <c r="T73" s="21">
        <v>0.39151039642707192</v>
      </c>
      <c r="U73" s="21" t="s">
        <v>50</v>
      </c>
      <c r="V73" s="21">
        <v>0.1030570456821585</v>
      </c>
      <c r="W73" s="18">
        <v>0.8031367488024278</v>
      </c>
      <c r="Y73" s="92">
        <v>0.14179355279005151</v>
      </c>
      <c r="Z73" s="20">
        <v>-7.0572149929692287</v>
      </c>
      <c r="AA73" s="10">
        <v>-44.568741960647067</v>
      </c>
      <c r="AB73" s="17">
        <v>0.28249609733198461</v>
      </c>
      <c r="AC73" s="18" t="s">
        <v>51</v>
      </c>
      <c r="AD73" s="21">
        <v>0.12630817363393931</v>
      </c>
      <c r="AE73" s="21">
        <v>0.14771040894018769</v>
      </c>
      <c r="AF73" s="21">
        <v>1.354906136870394E-2</v>
      </c>
      <c r="AG73" s="21"/>
      <c r="AH73" s="21">
        <v>0.17897134364468439</v>
      </c>
    </row>
    <row r="74" spans="1:35">
      <c r="A74" s="13" t="s">
        <v>79</v>
      </c>
      <c r="B74" s="13" t="s">
        <v>80</v>
      </c>
      <c r="C74" s="13">
        <v>71</v>
      </c>
      <c r="E74" s="14">
        <v>45098</v>
      </c>
      <c r="H74" s="16">
        <v>23.5</v>
      </c>
      <c r="I74" s="16">
        <v>5.25</v>
      </c>
      <c r="J74" s="16">
        <v>5.91</v>
      </c>
      <c r="P74" s="18">
        <v>2.3300000000000001E-2</v>
      </c>
      <c r="Q74" s="18">
        <v>0.43682028656897881</v>
      </c>
      <c r="R74" s="21" t="s">
        <v>50</v>
      </c>
      <c r="S74" s="21">
        <v>0.28017977519442711</v>
      </c>
      <c r="T74" s="21">
        <v>0.50629929746190039</v>
      </c>
      <c r="U74" s="21">
        <v>2.2903238518933701E-2</v>
      </c>
      <c r="V74" s="21">
        <v>0.26624385418787999</v>
      </c>
      <c r="Y74" s="92">
        <v>0.15270029158292259</v>
      </c>
      <c r="Z74" s="20">
        <v>-6.024421969249067</v>
      </c>
      <c r="AA74" s="10">
        <v>-37.20374265100466</v>
      </c>
      <c r="AB74" s="17">
        <v>6.8105610769405273E-2</v>
      </c>
      <c r="AC74" s="18" t="s">
        <v>51</v>
      </c>
      <c r="AD74" s="21">
        <v>6.2276858920768563E-2</v>
      </c>
      <c r="AE74" s="21">
        <v>0.1552308539609997</v>
      </c>
      <c r="AF74" s="21">
        <v>1.306860343775742E-2</v>
      </c>
      <c r="AG74" s="21"/>
      <c r="AH74" s="21">
        <v>0.17543972761227719</v>
      </c>
    </row>
    <row r="75" spans="1:35">
      <c r="A75" s="13" t="s">
        <v>79</v>
      </c>
      <c r="B75" s="13" t="s">
        <v>80</v>
      </c>
      <c r="C75" s="13">
        <v>72</v>
      </c>
      <c r="E75" s="14">
        <v>45104</v>
      </c>
      <c r="P75" s="18">
        <v>3.8699999999999998E-2</v>
      </c>
      <c r="Q75" s="18">
        <v>1.187985107706764</v>
      </c>
      <c r="R75" s="21">
        <v>1.32E-2</v>
      </c>
      <c r="S75" s="21">
        <v>0.84305913225507545</v>
      </c>
      <c r="T75" s="21">
        <v>1.067749084597817</v>
      </c>
      <c r="U75" s="21" t="s">
        <v>50</v>
      </c>
      <c r="V75" s="21">
        <v>0.84085745569089232</v>
      </c>
      <c r="Y75" s="92">
        <v>0.40442989482204561</v>
      </c>
      <c r="Z75" s="20">
        <v>-4.1181954556351918</v>
      </c>
      <c r="AA75" s="10">
        <v>-20.942586623528381</v>
      </c>
      <c r="AB75" s="17">
        <v>0.16096654981135661</v>
      </c>
      <c r="AC75" s="18">
        <v>1.5032080404369789E-2</v>
      </c>
      <c r="AD75" s="21">
        <v>0.7192546567598701</v>
      </c>
      <c r="AE75" s="21">
        <v>0.20785666085151019</v>
      </c>
      <c r="AF75" s="21">
        <v>1.320621472263806E-2</v>
      </c>
      <c r="AG75" s="21"/>
      <c r="AH75" s="21">
        <v>0.2190816194613234</v>
      </c>
    </row>
    <row r="76" spans="1:35">
      <c r="A76" s="13" t="s">
        <v>79</v>
      </c>
      <c r="B76" s="13" t="s">
        <v>80</v>
      </c>
      <c r="C76" s="13">
        <v>73</v>
      </c>
      <c r="E76" s="14">
        <v>45111</v>
      </c>
      <c r="H76" s="16">
        <v>25.4</v>
      </c>
      <c r="I76" s="16">
        <v>4.99</v>
      </c>
      <c r="J76" s="16">
        <v>9.08</v>
      </c>
      <c r="P76" s="18">
        <v>3.15E-2</v>
      </c>
      <c r="Q76" s="18">
        <v>0.85933530896205212</v>
      </c>
      <c r="R76" s="21" t="s">
        <v>50</v>
      </c>
      <c r="S76" s="21">
        <v>0.46824989511418652</v>
      </c>
      <c r="T76" s="21">
        <v>0.58061185648646763</v>
      </c>
      <c r="U76" s="21" t="s">
        <v>50</v>
      </c>
      <c r="V76" s="21">
        <v>0.31183470325044399</v>
      </c>
      <c r="W76" s="18">
        <v>2.0319324677452291</v>
      </c>
      <c r="Y76" s="92">
        <v>0.19541265868655761</v>
      </c>
      <c r="Z76" s="20">
        <v>-9.4981016953536344</v>
      </c>
      <c r="AA76" s="10">
        <v>-63.030980241425368</v>
      </c>
      <c r="AB76" s="17">
        <v>0.10413844286705549</v>
      </c>
      <c r="AC76" s="18" t="s">
        <v>51</v>
      </c>
      <c r="AD76" s="21">
        <v>0.21521557001530489</v>
      </c>
      <c r="AE76" s="21">
        <v>0.18705784706123549</v>
      </c>
      <c r="AF76" s="21">
        <v>1.317711830181459E-2</v>
      </c>
      <c r="AG76" s="21"/>
      <c r="AH76" s="21">
        <v>0.17369581291867331</v>
      </c>
    </row>
    <row r="77" spans="1:35">
      <c r="A77" s="13" t="s">
        <v>79</v>
      </c>
      <c r="B77" s="13" t="s">
        <v>80</v>
      </c>
      <c r="C77" s="13">
        <v>74</v>
      </c>
      <c r="E77" s="14">
        <v>45118</v>
      </c>
      <c r="Y77" s="92"/>
      <c r="AC77" s="18"/>
      <c r="AD77" s="21"/>
      <c r="AE77" s="21"/>
      <c r="AF77" s="21"/>
      <c r="AG77" s="21"/>
      <c r="AH77" s="21"/>
      <c r="AI77" s="35"/>
    </row>
    <row r="78" spans="1:35">
      <c r="A78" s="13" t="s">
        <v>79</v>
      </c>
      <c r="B78" s="13" t="s">
        <v>80</v>
      </c>
      <c r="C78" s="13">
        <v>75</v>
      </c>
      <c r="E78" s="14">
        <v>45125</v>
      </c>
      <c r="P78" s="18">
        <v>9.5100000000000004E-2</v>
      </c>
      <c r="Q78" s="18">
        <v>4.8400900005652954</v>
      </c>
      <c r="R78" s="21" t="s">
        <v>50</v>
      </c>
      <c r="S78" s="21">
        <v>0.43751526394354312</v>
      </c>
      <c r="T78" s="21">
        <v>0.82097659929870814</v>
      </c>
      <c r="U78" s="21" t="s">
        <v>50</v>
      </c>
      <c r="V78" s="21">
        <v>0.17190843413360779</v>
      </c>
      <c r="W78" s="18">
        <v>27.802098553552199</v>
      </c>
      <c r="Y78" s="92">
        <v>0.6471996714617928</v>
      </c>
      <c r="Z78" s="20">
        <v>-6.7961518465434319</v>
      </c>
      <c r="AA78" s="10">
        <v>-42.017740499566628</v>
      </c>
      <c r="AB78" s="17">
        <v>0.9872026544565583</v>
      </c>
      <c r="AC78" s="18">
        <v>0.18277680500447591</v>
      </c>
      <c r="AD78" s="21">
        <v>4.0242954558390789</v>
      </c>
      <c r="AE78" s="21">
        <v>0.69056774379182073</v>
      </c>
      <c r="AF78" s="21">
        <v>1.4696843056087939E-2</v>
      </c>
      <c r="AG78" s="21"/>
      <c r="AH78" s="21">
        <v>0.1989243417448204</v>
      </c>
    </row>
    <row r="79" spans="1:35">
      <c r="A79" s="13" t="s">
        <v>79</v>
      </c>
      <c r="B79" s="13" t="s">
        <v>80</v>
      </c>
      <c r="C79" s="13">
        <v>76</v>
      </c>
      <c r="E79" s="14">
        <v>45132</v>
      </c>
      <c r="H79" s="16">
        <v>22.9</v>
      </c>
      <c r="I79" s="16">
        <v>6.3</v>
      </c>
      <c r="J79" s="16">
        <v>11.74</v>
      </c>
      <c r="P79" s="18">
        <v>1.8E-3</v>
      </c>
      <c r="Q79" s="18">
        <v>0.71547543092481647</v>
      </c>
      <c r="R79" s="21" t="s">
        <v>50</v>
      </c>
      <c r="S79" s="21">
        <v>1.107911491040722</v>
      </c>
      <c r="T79" s="21">
        <v>1.312796071080653</v>
      </c>
      <c r="U79" s="21">
        <v>6.8551398919354217E-2</v>
      </c>
      <c r="V79" s="21">
        <v>0.2476446744365601</v>
      </c>
      <c r="W79" s="18">
        <v>3.677538693810348</v>
      </c>
      <c r="Y79" s="92">
        <v>0.35145056637705302</v>
      </c>
      <c r="Z79" s="20">
        <v>-6.8545239903944681</v>
      </c>
      <c r="AA79" s="10">
        <v>-44.331520390363892</v>
      </c>
      <c r="AB79" s="17">
        <v>0.20753886044769851</v>
      </c>
      <c r="AC79" s="18">
        <v>6.451845874524699E-2</v>
      </c>
      <c r="AD79" s="21">
        <v>0.84990206534151402</v>
      </c>
      <c r="AE79" s="21">
        <v>0.24584119449024841</v>
      </c>
      <c r="AF79" s="21">
        <v>1.3492532386641399E-2</v>
      </c>
      <c r="AG79" s="21"/>
      <c r="AH79" s="21">
        <v>0.1755117321139926</v>
      </c>
    </row>
    <row r="80" spans="1:35">
      <c r="A80" s="13" t="s">
        <v>79</v>
      </c>
      <c r="B80" s="13" t="s">
        <v>80</v>
      </c>
      <c r="C80" s="13">
        <v>77</v>
      </c>
      <c r="E80" s="14">
        <v>45139</v>
      </c>
      <c r="H80" s="16">
        <v>23.2</v>
      </c>
      <c r="I80" s="16">
        <v>5.95</v>
      </c>
      <c r="J80" s="16">
        <v>12.92</v>
      </c>
      <c r="P80" s="18" t="s">
        <v>50</v>
      </c>
      <c r="Q80" s="18">
        <v>2.9040124454543288</v>
      </c>
      <c r="R80" s="21" t="s">
        <v>50</v>
      </c>
      <c r="S80" s="21">
        <v>8.5057914426732245E-2</v>
      </c>
      <c r="T80" s="21">
        <v>0.60737003182434646</v>
      </c>
      <c r="U80" s="21" t="s">
        <v>50</v>
      </c>
      <c r="V80" s="21">
        <v>0.26322966601516479</v>
      </c>
      <c r="W80" s="18">
        <v>0.87054567015743745</v>
      </c>
      <c r="Y80" s="92">
        <v>0.16714888314035559</v>
      </c>
      <c r="Z80" s="20">
        <v>-6.7456581515557277</v>
      </c>
      <c r="AA80" s="10">
        <v>-42.338093969113267</v>
      </c>
      <c r="AB80" s="17">
        <v>1.521646937426981</v>
      </c>
      <c r="AC80" s="18">
        <v>0.1150191959478977</v>
      </c>
      <c r="AD80" s="21">
        <v>0.20217842536953051</v>
      </c>
      <c r="AE80" s="21">
        <v>0.1868782772837245</v>
      </c>
      <c r="AF80" s="21">
        <v>1.3530919881970631E-2</v>
      </c>
      <c r="AG80" s="21"/>
      <c r="AH80" s="21">
        <v>7.9990646875270785E-2</v>
      </c>
    </row>
    <row r="81" spans="1:36">
      <c r="A81" s="13" t="s">
        <v>79</v>
      </c>
      <c r="B81" s="13" t="s">
        <v>80</v>
      </c>
      <c r="C81" s="13">
        <v>78</v>
      </c>
      <c r="E81" s="14">
        <v>45146</v>
      </c>
      <c r="H81" s="16">
        <v>21.9</v>
      </c>
      <c r="I81" s="16">
        <v>6.85</v>
      </c>
      <c r="J81" s="16">
        <v>28.72</v>
      </c>
      <c r="P81" s="18">
        <v>1.9400000000000001E-2</v>
      </c>
      <c r="Q81" s="18">
        <v>1.530888768586872</v>
      </c>
      <c r="R81" s="21">
        <v>1.179738653184295E-2</v>
      </c>
      <c r="S81" s="21">
        <v>0.58511159288956482</v>
      </c>
      <c r="T81" s="21">
        <v>0.94913020513882695</v>
      </c>
      <c r="U81" s="21" t="s">
        <v>50</v>
      </c>
      <c r="V81" s="21">
        <v>0.24742971688328089</v>
      </c>
      <c r="W81" s="18">
        <v>1.785724631747069</v>
      </c>
      <c r="Y81" s="92">
        <v>0.1567923261850718</v>
      </c>
      <c r="Z81" s="20">
        <v>-5.178563050377007</v>
      </c>
      <c r="AA81" s="10">
        <v>-35.687194195821853</v>
      </c>
      <c r="AB81" s="17">
        <v>0.89797545194907447</v>
      </c>
      <c r="AC81" s="18">
        <v>9.1885625330993204E-2</v>
      </c>
      <c r="AD81" s="21">
        <v>0.2471613537544341</v>
      </c>
      <c r="AE81" s="21">
        <v>0.16014535512726091</v>
      </c>
      <c r="AF81" s="21">
        <v>1.665562251087653E-2</v>
      </c>
      <c r="AG81" s="21"/>
      <c r="AH81" s="21">
        <v>9.4061068807127585E-2</v>
      </c>
    </row>
    <row r="82" spans="1:36">
      <c r="A82" s="13" t="s">
        <v>79</v>
      </c>
      <c r="B82" s="13" t="s">
        <v>80</v>
      </c>
      <c r="C82" s="13">
        <v>79</v>
      </c>
      <c r="E82" s="14">
        <v>45153</v>
      </c>
      <c r="P82" s="18">
        <v>1.6199999999999999E-2</v>
      </c>
      <c r="Q82" s="18">
        <v>0.40195363498767439</v>
      </c>
      <c r="R82" s="21">
        <v>8.6498490952977188E-3</v>
      </c>
      <c r="S82" s="21">
        <v>1.0686871010534471</v>
      </c>
      <c r="T82" s="21">
        <v>0.75784366624796196</v>
      </c>
      <c r="U82" s="21">
        <v>4.2271636801464701E-2</v>
      </c>
      <c r="V82" s="21">
        <v>0.39881049310977928</v>
      </c>
      <c r="W82" s="18">
        <v>2.260622988058973</v>
      </c>
      <c r="Y82" s="92">
        <v>0.29248426626613472</v>
      </c>
      <c r="Z82" s="20">
        <v>-7.079059782999372</v>
      </c>
      <c r="AA82" s="10">
        <v>-47.0877428579943</v>
      </c>
      <c r="AB82" s="17">
        <v>0.38720108017922977</v>
      </c>
      <c r="AC82" s="18" t="s">
        <v>51</v>
      </c>
      <c r="AD82" s="21">
        <v>0.2817863606598191</v>
      </c>
      <c r="AE82" s="21">
        <v>9.3641932908489212E-2</v>
      </c>
      <c r="AF82" s="21">
        <v>1.6213312930827631E-2</v>
      </c>
      <c r="AG82" s="21"/>
      <c r="AH82" s="21">
        <v>0.11439606932587371</v>
      </c>
    </row>
    <row r="83" spans="1:36">
      <c r="A83" s="13" t="s">
        <v>79</v>
      </c>
      <c r="B83" s="13" t="s">
        <v>80</v>
      </c>
      <c r="C83" s="13">
        <v>80</v>
      </c>
      <c r="E83" s="14">
        <v>45160</v>
      </c>
      <c r="H83" s="16">
        <v>21.4</v>
      </c>
      <c r="I83" s="16">
        <v>4.88</v>
      </c>
      <c r="J83" s="16">
        <v>11.95</v>
      </c>
      <c r="P83" s="18">
        <v>1.4200000000000001E-2</v>
      </c>
      <c r="Q83" s="18">
        <v>0.36359550261956008</v>
      </c>
      <c r="R83" s="21" t="s">
        <v>50</v>
      </c>
      <c r="S83" s="21">
        <v>1.542961015448221</v>
      </c>
      <c r="T83" s="21">
        <v>0.90323957004061328</v>
      </c>
      <c r="U83" s="21" t="s">
        <v>50</v>
      </c>
      <c r="V83" s="21">
        <v>0.38300202634648922</v>
      </c>
      <c r="W83" s="18">
        <v>2.3695218356703909</v>
      </c>
      <c r="Y83" s="92">
        <v>0.31428490930330721</v>
      </c>
      <c r="Z83" s="20">
        <v>-5.5839450555265309</v>
      </c>
      <c r="AA83" s="10">
        <v>-30.524668468339431</v>
      </c>
      <c r="AB83" s="17">
        <v>0.26890702232907732</v>
      </c>
      <c r="AC83" s="18" t="s">
        <v>51</v>
      </c>
      <c r="AD83" s="21">
        <v>0.13443914367579371</v>
      </c>
      <c r="AE83" s="21">
        <v>0.15382939190949141</v>
      </c>
      <c r="AF83" s="21">
        <v>1.645192106842492E-2</v>
      </c>
      <c r="AG83" s="21"/>
      <c r="AH83" s="21">
        <v>0.11339045566846639</v>
      </c>
    </row>
    <row r="84" spans="1:36" ht="16.2">
      <c r="A84" s="13" t="s">
        <v>79</v>
      </c>
      <c r="B84" s="13" t="s">
        <v>80</v>
      </c>
      <c r="C84" s="13">
        <v>81</v>
      </c>
      <c r="E84" s="14">
        <v>45168</v>
      </c>
      <c r="P84" s="18">
        <v>1.8E-3</v>
      </c>
      <c r="Q84" s="18">
        <v>0.81679562934381345</v>
      </c>
      <c r="R84" s="21" t="s">
        <v>50</v>
      </c>
      <c r="S84" s="21">
        <v>0.41004193102923908</v>
      </c>
      <c r="T84" s="21">
        <v>0.57685692126711774</v>
      </c>
      <c r="U84" s="21" t="s">
        <v>50</v>
      </c>
      <c r="V84" s="21">
        <v>0.61880042665640622</v>
      </c>
      <c r="Y84" s="94">
        <v>0.78938041994701968</v>
      </c>
      <c r="Z84" s="20">
        <v>-5.4639777660167326</v>
      </c>
      <c r="AA84" s="10">
        <v>-29.797003475623271</v>
      </c>
      <c r="AB84" s="17">
        <v>0.41044505006953691</v>
      </c>
      <c r="AC84" s="18" t="s">
        <v>51</v>
      </c>
      <c r="AD84" s="21">
        <v>0.1619367462128557</v>
      </c>
      <c r="AE84" s="21">
        <v>6.4583037878284691E-2</v>
      </c>
      <c r="AF84" s="21">
        <v>1.609087182189985E-2</v>
      </c>
      <c r="AG84" s="21"/>
      <c r="AH84" s="21">
        <v>0.19408649160817351</v>
      </c>
    </row>
    <row r="85" spans="1:36">
      <c r="A85" s="13" t="s">
        <v>79</v>
      </c>
      <c r="B85" s="13" t="s">
        <v>80</v>
      </c>
      <c r="C85" s="13">
        <v>82</v>
      </c>
      <c r="E85" s="14">
        <v>45174</v>
      </c>
      <c r="H85" s="16">
        <v>21.9</v>
      </c>
      <c r="I85" s="16">
        <v>5.41</v>
      </c>
      <c r="J85" s="16">
        <v>8.7200000000000006</v>
      </c>
      <c r="P85" s="18" t="s">
        <v>50</v>
      </c>
      <c r="Q85" s="18">
        <v>1.617487977983884</v>
      </c>
      <c r="R85" s="21" t="s">
        <v>50</v>
      </c>
      <c r="S85" s="21">
        <v>0.17942333879837899</v>
      </c>
      <c r="T85" s="21">
        <v>0.48667030126005678</v>
      </c>
      <c r="U85" s="21" t="s">
        <v>50</v>
      </c>
      <c r="V85" s="21">
        <v>0.16551049558105099</v>
      </c>
      <c r="W85" s="18">
        <v>0.44431351472619512</v>
      </c>
      <c r="Y85" s="92">
        <v>8.874472739769039E-2</v>
      </c>
      <c r="Z85" s="20">
        <v>-8.0448859913812285</v>
      </c>
      <c r="AA85" s="10">
        <v>-50.954593586496003</v>
      </c>
      <c r="AB85" s="17">
        <v>0.88661741218110313</v>
      </c>
      <c r="AC85" s="18">
        <v>2.3898498594868121E-2</v>
      </c>
      <c r="AD85" s="21">
        <v>0.1223415642459206</v>
      </c>
      <c r="AE85" s="21">
        <v>3.2049413710532548E-2</v>
      </c>
      <c r="AF85" s="21">
        <v>1.6065532683480741E-2</v>
      </c>
      <c r="AG85" s="21"/>
      <c r="AH85" s="21">
        <v>7.5002492899116271E-2</v>
      </c>
    </row>
    <row r="86" spans="1:36" ht="16.2">
      <c r="A86" s="13" t="s">
        <v>79</v>
      </c>
      <c r="B86" s="13" t="s">
        <v>80</v>
      </c>
      <c r="C86" s="13">
        <v>83</v>
      </c>
      <c r="E86" s="14">
        <v>45181</v>
      </c>
      <c r="H86" s="16">
        <v>20.8</v>
      </c>
      <c r="I86" s="16">
        <v>7.45</v>
      </c>
      <c r="J86" s="16">
        <v>10.35</v>
      </c>
      <c r="P86" s="18">
        <v>9.2299999999999993E-2</v>
      </c>
      <c r="Q86" s="18">
        <v>0.47859244781950588</v>
      </c>
      <c r="R86" s="21" t="s">
        <v>50</v>
      </c>
      <c r="S86" s="21">
        <v>0.41088910309295612</v>
      </c>
      <c r="T86" s="21">
        <v>0.39271171792429099</v>
      </c>
      <c r="U86" s="21" t="s">
        <v>50</v>
      </c>
      <c r="V86" s="21">
        <v>0.17758106249031991</v>
      </c>
      <c r="W86" s="18">
        <v>2.4405683333640358</v>
      </c>
      <c r="Y86" s="94">
        <v>0.30163597930986308</v>
      </c>
      <c r="Z86" s="20">
        <v>-6.4166983693590263</v>
      </c>
      <c r="AA86" s="10">
        <v>-38.570461879842377</v>
      </c>
      <c r="AB86" s="17">
        <v>0.33342890520379848</v>
      </c>
      <c r="AC86" s="18">
        <v>2.0087579541407351E-2</v>
      </c>
      <c r="AD86" s="21">
        <v>0.40791628187312051</v>
      </c>
      <c r="AE86" s="21">
        <v>0.15263665001451349</v>
      </c>
      <c r="AF86" s="21">
        <v>1.006404688283972E-2</v>
      </c>
      <c r="AG86" s="21"/>
      <c r="AH86" s="21">
        <v>6.974369618856649E-2</v>
      </c>
    </row>
    <row r="87" spans="1:36" ht="16.2">
      <c r="A87" s="13" t="s">
        <v>79</v>
      </c>
      <c r="B87" s="13" t="s">
        <v>80</v>
      </c>
      <c r="C87" s="13">
        <v>84</v>
      </c>
      <c r="E87" s="14">
        <v>45188</v>
      </c>
      <c r="H87" s="16">
        <v>24.2</v>
      </c>
      <c r="I87" s="16">
        <v>6.91</v>
      </c>
      <c r="J87" s="16">
        <v>17.96</v>
      </c>
      <c r="P87" s="18">
        <v>2.1000000000000001E-2</v>
      </c>
      <c r="Q87" s="18">
        <v>0.64647606299880778</v>
      </c>
      <c r="R87" s="21" t="s">
        <v>50</v>
      </c>
      <c r="S87" s="21">
        <v>2.5034219493711749</v>
      </c>
      <c r="T87" s="21">
        <v>1.4168218086705071</v>
      </c>
      <c r="U87" s="21" t="s">
        <v>50</v>
      </c>
      <c r="V87" s="21">
        <v>0.86210485107217349</v>
      </c>
      <c r="W87" s="18">
        <v>3.3195072898990139</v>
      </c>
      <c r="Y87" s="94">
        <v>1.3169670287454425</v>
      </c>
      <c r="Z87" s="20">
        <v>-6.0087921074826696</v>
      </c>
      <c r="AA87" s="10">
        <v>-35.457495206963067</v>
      </c>
      <c r="AB87" s="17">
        <v>0.45017769142808978</v>
      </c>
      <c r="AC87" s="18">
        <v>8.4532359412170674E-2</v>
      </c>
      <c r="AD87" s="21">
        <v>0.45960484702154281</v>
      </c>
      <c r="AE87" s="21">
        <v>0.2570943103038979</v>
      </c>
      <c r="AF87" s="21">
        <v>1.0499713646808771E-2</v>
      </c>
      <c r="AG87" s="21"/>
      <c r="AH87" s="21">
        <v>0.1714781405620435</v>
      </c>
    </row>
    <row r="88" spans="1:36" s="39" customFormat="1" ht="16.2">
      <c r="A88" s="36" t="s">
        <v>79</v>
      </c>
      <c r="B88" s="36" t="s">
        <v>80</v>
      </c>
      <c r="C88" s="36">
        <v>85</v>
      </c>
      <c r="D88" s="37"/>
      <c r="E88" s="37">
        <v>45196</v>
      </c>
      <c r="F88" s="38"/>
      <c r="K88" s="40"/>
      <c r="M88" s="36"/>
      <c r="N88" s="36"/>
      <c r="O88" s="36"/>
      <c r="P88" s="41" t="s">
        <v>50</v>
      </c>
      <c r="Q88" s="41">
        <v>0.99975163815214818</v>
      </c>
      <c r="R88" s="42" t="s">
        <v>50</v>
      </c>
      <c r="S88" s="42">
        <v>0.71097092558162578</v>
      </c>
      <c r="T88" s="42">
        <v>0.68912238273365067</v>
      </c>
      <c r="U88" s="42" t="s">
        <v>50</v>
      </c>
      <c r="V88" s="42">
        <v>0.548294535748026</v>
      </c>
      <c r="W88" s="41"/>
      <c r="X88" s="43"/>
      <c r="Y88" s="94">
        <v>0.6659658643565104</v>
      </c>
      <c r="Z88" s="40">
        <v>-4.2352529042293847</v>
      </c>
      <c r="AA88" s="44">
        <v>-21.69716038954461</v>
      </c>
      <c r="AB88" s="40">
        <v>0.59237253590430439</v>
      </c>
      <c r="AC88" s="41">
        <v>2.947646870242096E-2</v>
      </c>
      <c r="AD88" s="42">
        <v>0.25171591247571312</v>
      </c>
      <c r="AE88" s="42">
        <v>0.1727599451772274</v>
      </c>
      <c r="AF88" s="42">
        <v>1.018024457047288E-2</v>
      </c>
      <c r="AG88" s="42"/>
      <c r="AH88" s="42">
        <v>0.221225385415982</v>
      </c>
      <c r="AI88" s="45"/>
      <c r="AJ88" s="40"/>
    </row>
    <row r="89" spans="1:36" ht="16.2">
      <c r="A89" s="13" t="s">
        <v>174</v>
      </c>
      <c r="B89" s="13" t="s">
        <v>80</v>
      </c>
      <c r="C89" s="13">
        <v>86</v>
      </c>
      <c r="E89" s="14">
        <v>45204</v>
      </c>
      <c r="P89" s="18" t="s">
        <v>50</v>
      </c>
      <c r="Q89" s="18">
        <v>2.618852289390909</v>
      </c>
      <c r="R89" s="21" t="s">
        <v>50</v>
      </c>
      <c r="S89" s="21">
        <v>0.73996702799851388</v>
      </c>
      <c r="T89" s="21">
        <v>2.5249996684902971</v>
      </c>
      <c r="U89" s="21">
        <v>6.6472358699084286E-2</v>
      </c>
      <c r="V89" s="21">
        <v>0.44517500182406539</v>
      </c>
      <c r="W89" s="18">
        <v>1.0916141064199369</v>
      </c>
      <c r="Y89" s="94">
        <v>0.55125096933953244</v>
      </c>
      <c r="Z89" s="20">
        <v>-3.867671976226736</v>
      </c>
      <c r="AA89" s="10">
        <v>-16.919109780459578</v>
      </c>
      <c r="AB89" s="17">
        <v>1.4025449688368441</v>
      </c>
      <c r="AC89" s="18">
        <v>0.17077510800095019</v>
      </c>
      <c r="AD89" s="21">
        <v>0.2595478964027727</v>
      </c>
      <c r="AE89" s="21">
        <v>0.35750171004254228</v>
      </c>
      <c r="AF89" s="21">
        <v>1.136632687474831E-2</v>
      </c>
      <c r="AG89" s="21"/>
      <c r="AH89" s="21">
        <v>0.19542489318480619</v>
      </c>
    </row>
    <row r="90" spans="1:36" ht="16.2">
      <c r="A90" s="13" t="s">
        <v>174</v>
      </c>
      <c r="B90" s="13" t="s">
        <v>80</v>
      </c>
      <c r="C90" s="13">
        <v>87</v>
      </c>
      <c r="E90" s="14">
        <v>45210</v>
      </c>
      <c r="H90" s="16">
        <v>15.2</v>
      </c>
      <c r="I90" s="16">
        <v>6.49</v>
      </c>
      <c r="J90" s="16">
        <v>6.25</v>
      </c>
      <c r="P90" s="18" t="s">
        <v>50</v>
      </c>
      <c r="Q90" s="18">
        <v>0.90605476341841462</v>
      </c>
      <c r="R90" s="21" t="s">
        <v>50</v>
      </c>
      <c r="S90" s="21">
        <v>5.5784637137403073E-2</v>
      </c>
      <c r="T90" s="21">
        <v>0.43633806639125933</v>
      </c>
      <c r="U90" s="21">
        <v>3.0785597222154699E-2</v>
      </c>
      <c r="V90" s="21">
        <v>9.7440807656101219E-2</v>
      </c>
      <c r="W90" s="18">
        <v>0.44755916817611002</v>
      </c>
      <c r="Y90" s="92">
        <v>7.5333791304670633E-2</v>
      </c>
      <c r="Z90" s="20">
        <v>-6.695098270525591</v>
      </c>
      <c r="AA90" s="10">
        <v>-41.348608018494808</v>
      </c>
      <c r="AB90" s="17">
        <v>0.66735781663801086</v>
      </c>
      <c r="AC90" s="18">
        <v>1.7555799198802961E-2</v>
      </c>
      <c r="AD90" s="21">
        <v>0.14625710571546771</v>
      </c>
      <c r="AE90" s="21">
        <v>0.1095701455228891</v>
      </c>
      <c r="AF90" s="21">
        <v>1.0224171764984221E-2</v>
      </c>
      <c r="AG90" s="21"/>
      <c r="AH90" s="21">
        <v>0.15528012367862551</v>
      </c>
      <c r="AI90" s="46"/>
    </row>
    <row r="91" spans="1:36">
      <c r="A91" s="13" t="s">
        <v>174</v>
      </c>
      <c r="B91" s="13" t="s">
        <v>80</v>
      </c>
      <c r="C91" s="13">
        <v>88</v>
      </c>
      <c r="E91" s="14">
        <v>45216</v>
      </c>
      <c r="P91" s="18" t="s">
        <v>50</v>
      </c>
      <c r="Q91" s="18">
        <v>8.7639760409999994</v>
      </c>
      <c r="R91" s="21" t="s">
        <v>50</v>
      </c>
      <c r="S91" s="21">
        <v>5.2238601310000004</v>
      </c>
      <c r="T91" s="21">
        <v>3.5287818729999998</v>
      </c>
      <c r="U91" s="21" t="s">
        <v>50</v>
      </c>
      <c r="V91" s="21">
        <v>1.6627744120000001</v>
      </c>
      <c r="Y91" s="92"/>
      <c r="Z91" s="20">
        <v>-3.6385155116174892</v>
      </c>
      <c r="AA91" s="10">
        <v>-2.5571501871744129</v>
      </c>
      <c r="AB91" s="17">
        <v>4.9710894768448508</v>
      </c>
      <c r="AC91" s="18">
        <v>0.63143523372186472</v>
      </c>
      <c r="AD91" s="21">
        <v>0.41952895461650253</v>
      </c>
      <c r="AE91" s="21">
        <v>0.60538016420718077</v>
      </c>
      <c r="AF91" s="21">
        <v>1.3477753983950109E-2</v>
      </c>
      <c r="AG91" s="21"/>
      <c r="AH91" s="21">
        <v>0.29735079754674237</v>
      </c>
    </row>
    <row r="92" spans="1:36">
      <c r="A92" s="13" t="s">
        <v>174</v>
      </c>
      <c r="B92" s="13" t="s">
        <v>80</v>
      </c>
      <c r="C92" s="13">
        <v>89</v>
      </c>
      <c r="E92" s="14">
        <v>45224</v>
      </c>
      <c r="H92" s="16">
        <v>16.2</v>
      </c>
      <c r="I92" s="16">
        <v>6.07</v>
      </c>
      <c r="J92" s="16">
        <v>9.2100000000000009</v>
      </c>
      <c r="P92" s="18">
        <v>8.0000000000000004E-4</v>
      </c>
      <c r="Q92" s="18">
        <v>1.7913102540487971</v>
      </c>
      <c r="R92" s="21" t="s">
        <v>50</v>
      </c>
      <c r="S92" s="21">
        <v>0.26918834755262561</v>
      </c>
      <c r="T92" s="21">
        <v>0.77013843485496969</v>
      </c>
      <c r="U92" s="21">
        <v>2.6076220535241019E-2</v>
      </c>
      <c r="V92" s="21">
        <v>0.15578365531077529</v>
      </c>
      <c r="W92" s="18">
        <v>1.164718783371149</v>
      </c>
      <c r="Y92" s="92"/>
      <c r="Z92" s="20">
        <v>-6.7067305783737758</v>
      </c>
      <c r="AA92" s="10">
        <v>-41.358754095289548</v>
      </c>
      <c r="AB92" s="17">
        <v>1.0289700617987669</v>
      </c>
      <c r="AC92" s="18">
        <v>5.0542129441612203E-2</v>
      </c>
      <c r="AD92" s="21">
        <v>0.1226529644451666</v>
      </c>
      <c r="AE92" s="21">
        <v>0.14899574987798431</v>
      </c>
      <c r="AF92" s="21">
        <v>1.0574507342949331E-2</v>
      </c>
      <c r="AG92" s="21"/>
      <c r="AH92" s="21">
        <v>0.18182894614740461</v>
      </c>
    </row>
    <row r="93" spans="1:36" ht="16.2">
      <c r="A93" s="13" t="s">
        <v>174</v>
      </c>
      <c r="B93" s="13" t="s">
        <v>80</v>
      </c>
      <c r="C93" s="13">
        <v>90</v>
      </c>
      <c r="E93" s="14">
        <v>45230</v>
      </c>
      <c r="H93" s="16">
        <v>16.899999999999999</v>
      </c>
      <c r="I93" s="16">
        <v>5.27</v>
      </c>
      <c r="J93" s="16">
        <v>6.23</v>
      </c>
      <c r="P93" s="18">
        <v>1.83E-2</v>
      </c>
      <c r="Q93" s="18">
        <v>1.698740732259225</v>
      </c>
      <c r="R93" s="21" t="s">
        <v>50</v>
      </c>
      <c r="S93" s="21">
        <v>0.19159661580514639</v>
      </c>
      <c r="T93" s="21">
        <v>1.404374793382076</v>
      </c>
      <c r="U93" s="21" t="s">
        <v>50</v>
      </c>
      <c r="V93" s="21">
        <v>0.1043726311398249</v>
      </c>
      <c r="W93" s="18">
        <v>2.117675117740776</v>
      </c>
      <c r="Y93" s="94">
        <v>0.14458586505884755</v>
      </c>
      <c r="Z93" s="20">
        <v>-5.0743300436784704</v>
      </c>
      <c r="AA93" s="10">
        <v>-15.006386414337451</v>
      </c>
      <c r="AB93" s="17">
        <v>0.4095525688077431</v>
      </c>
      <c r="AC93" s="18">
        <v>3.5466061462408639E-2</v>
      </c>
      <c r="AD93" s="21">
        <v>0.34903025532483611</v>
      </c>
      <c r="AE93" s="21">
        <v>0.15519508065005999</v>
      </c>
      <c r="AF93" s="21">
        <v>1.051207909863063E-2</v>
      </c>
      <c r="AG93" s="21"/>
      <c r="AH93" s="21">
        <v>0.1875885479261401</v>
      </c>
      <c r="AI93" s="46" t="s">
        <v>176</v>
      </c>
    </row>
    <row r="94" spans="1:36" ht="16.2">
      <c r="A94" s="13" t="s">
        <v>174</v>
      </c>
      <c r="B94" s="13" t="s">
        <v>80</v>
      </c>
      <c r="C94" s="13">
        <v>91</v>
      </c>
      <c r="E94" s="14">
        <v>45237</v>
      </c>
      <c r="H94" s="16">
        <v>17.5</v>
      </c>
      <c r="I94" s="16">
        <v>5.04</v>
      </c>
      <c r="J94" s="16">
        <v>9.1999999999999993</v>
      </c>
      <c r="P94" s="18">
        <v>1.55E-2</v>
      </c>
      <c r="Q94" s="18">
        <v>1.4318931894967191</v>
      </c>
      <c r="R94" s="21" t="s">
        <v>50</v>
      </c>
      <c r="S94" s="21">
        <v>8.8825998794413566E-2</v>
      </c>
      <c r="T94" s="21">
        <v>0.80611509321785846</v>
      </c>
      <c r="U94" s="21" t="s">
        <v>50</v>
      </c>
      <c r="V94" s="21">
        <v>2.180161256653794E-2</v>
      </c>
      <c r="W94" s="18">
        <v>1.0219798786381531</v>
      </c>
      <c r="Y94" s="94">
        <v>9.1042453673192539E-2</v>
      </c>
      <c r="Z94" s="20">
        <v>-3.9122624896447791</v>
      </c>
      <c r="AA94" s="10">
        <v>-5.4611828342061983</v>
      </c>
      <c r="AB94" s="17">
        <v>1.0693852915836071</v>
      </c>
      <c r="AC94" s="18">
        <v>5.8726388782944977E-2</v>
      </c>
      <c r="AD94" s="21">
        <v>8.6751185451248658E-2</v>
      </c>
      <c r="AE94" s="21">
        <v>0.17410400899841591</v>
      </c>
      <c r="AF94" s="21">
        <v>1.0650054943049001E-2</v>
      </c>
      <c r="AG94" s="21"/>
      <c r="AH94" s="21">
        <v>0.15910389864926339</v>
      </c>
      <c r="AI94" s="46"/>
    </row>
    <row r="95" spans="1:36" ht="16.2">
      <c r="A95" s="13" t="s">
        <v>174</v>
      </c>
      <c r="B95" s="13" t="s">
        <v>80</v>
      </c>
      <c r="C95" s="13">
        <v>92</v>
      </c>
      <c r="E95" s="14">
        <v>45244</v>
      </c>
      <c r="H95" s="16">
        <v>17</v>
      </c>
      <c r="I95" s="16">
        <v>5.13</v>
      </c>
      <c r="J95" s="16">
        <v>7.88</v>
      </c>
      <c r="P95" s="18" t="s">
        <v>50</v>
      </c>
      <c r="Q95" s="18">
        <v>0.65857633893418588</v>
      </c>
      <c r="R95" s="21" t="s">
        <v>50</v>
      </c>
      <c r="S95" s="21">
        <v>0.70774267865212592</v>
      </c>
      <c r="T95" s="21">
        <v>0.41723667871401859</v>
      </c>
      <c r="U95" s="21">
        <v>0.2263164439845996</v>
      </c>
      <c r="V95" s="21">
        <v>0.17395431061475841</v>
      </c>
      <c r="W95" s="18">
        <v>0.87242957824759093</v>
      </c>
      <c r="Y95" s="92">
        <v>0.22607583545358187</v>
      </c>
      <c r="Z95" s="20">
        <v>-4.7114020388150948</v>
      </c>
      <c r="AA95" s="10">
        <v>-14.61745347053855</v>
      </c>
      <c r="AB95" s="17">
        <v>0.37918313284380278</v>
      </c>
      <c r="AC95" s="18">
        <v>1.22794324959142E-2</v>
      </c>
      <c r="AD95" s="21">
        <v>4.9935131238889638E-2</v>
      </c>
      <c r="AE95" s="21">
        <v>0.12440626489871789</v>
      </c>
      <c r="AF95" s="21">
        <v>1.022978815028603E-2</v>
      </c>
      <c r="AG95" s="21"/>
      <c r="AH95" s="21">
        <v>0.19434720175326681</v>
      </c>
      <c r="AI95" s="46"/>
    </row>
    <row r="96" spans="1:36" ht="16.2">
      <c r="A96" s="13" t="s">
        <v>174</v>
      </c>
      <c r="B96" s="13" t="s">
        <v>80</v>
      </c>
      <c r="C96" s="13">
        <v>93</v>
      </c>
      <c r="E96" s="14">
        <v>45252</v>
      </c>
      <c r="H96" s="16">
        <v>14.5</v>
      </c>
      <c r="I96" s="16">
        <v>6.97</v>
      </c>
      <c r="J96" s="16">
        <v>6.84</v>
      </c>
      <c r="P96" s="18" t="s">
        <v>50</v>
      </c>
      <c r="Q96" s="18">
        <v>0.24685644780472571</v>
      </c>
      <c r="R96" s="21" t="s">
        <v>50</v>
      </c>
      <c r="S96" s="21">
        <v>0.29143578002078879</v>
      </c>
      <c r="T96" s="21">
        <v>0.24521045389265839</v>
      </c>
      <c r="U96" s="21" t="s">
        <v>50</v>
      </c>
      <c r="V96" s="21">
        <v>1.743359252687611E-2</v>
      </c>
      <c r="W96" s="18">
        <v>0.54088330046107835</v>
      </c>
      <c r="Y96" s="92">
        <v>7.2573586720625013E-2</v>
      </c>
      <c r="Z96" s="20">
        <v>-3.5384776641230982</v>
      </c>
      <c r="AA96" s="10">
        <v>4.4372545306313036</v>
      </c>
      <c r="AB96" s="17">
        <v>0.26355493299424049</v>
      </c>
      <c r="AC96" s="18" t="s">
        <v>51</v>
      </c>
      <c r="AD96" s="21">
        <v>7.0058820755380266E-2</v>
      </c>
      <c r="AE96" s="21">
        <v>9.4383245835148122E-2</v>
      </c>
      <c r="AF96" s="21">
        <v>1.0149320858232469E-2</v>
      </c>
      <c r="AG96" s="21"/>
      <c r="AH96" s="21">
        <v>0.18222197738754259</v>
      </c>
      <c r="AI96" s="46"/>
    </row>
    <row r="97" spans="1:36" ht="16.2">
      <c r="A97" s="13" t="s">
        <v>174</v>
      </c>
      <c r="B97" s="13" t="s">
        <v>80</v>
      </c>
      <c r="C97" s="13">
        <v>94</v>
      </c>
      <c r="E97" s="14">
        <v>45258</v>
      </c>
      <c r="H97" s="16">
        <v>14.9</v>
      </c>
      <c r="I97" s="16">
        <v>5.34</v>
      </c>
      <c r="J97" s="16">
        <v>33.17</v>
      </c>
      <c r="P97" s="18">
        <v>4.0300000000000002E-2</v>
      </c>
      <c r="Q97" s="18">
        <v>6.02350211640222</v>
      </c>
      <c r="R97" s="21" t="s">
        <v>50</v>
      </c>
      <c r="S97" s="21">
        <v>2.413595901068605</v>
      </c>
      <c r="T97" s="21">
        <v>1.963687763878966</v>
      </c>
      <c r="U97" s="21" t="s">
        <v>50</v>
      </c>
      <c r="V97" s="21">
        <v>0.51281610624600515</v>
      </c>
      <c r="W97" s="18">
        <v>0.67535803985665999</v>
      </c>
      <c r="Y97" s="94">
        <v>0.96968064704475221</v>
      </c>
      <c r="Z97" s="20">
        <v>-3.1840800183483919</v>
      </c>
      <c r="AA97" s="10">
        <v>4.8303210612725103</v>
      </c>
      <c r="AB97" s="17">
        <v>3.442774621066099</v>
      </c>
      <c r="AC97" s="18">
        <v>0.37803957896902568</v>
      </c>
      <c r="AD97" s="21">
        <v>0.2081935340434905</v>
      </c>
      <c r="AE97" s="21">
        <v>0.4782891943540552</v>
      </c>
      <c r="AF97" s="21">
        <v>1.252891988610985E-2</v>
      </c>
      <c r="AG97" s="21"/>
      <c r="AH97" s="21">
        <v>8.598958822963422E-2</v>
      </c>
      <c r="AI97" s="46"/>
    </row>
    <row r="98" spans="1:36" ht="16.2">
      <c r="A98" s="13" t="s">
        <v>174</v>
      </c>
      <c r="B98" s="13" t="s">
        <v>80</v>
      </c>
      <c r="C98" s="13">
        <v>95</v>
      </c>
      <c r="E98" s="14">
        <v>45265</v>
      </c>
      <c r="H98" s="16">
        <v>14.2</v>
      </c>
      <c r="I98" s="16">
        <v>5.22</v>
      </c>
      <c r="J98" s="16">
        <v>5.55</v>
      </c>
      <c r="P98" s="18">
        <v>2.52E-2</v>
      </c>
      <c r="Q98" s="18">
        <v>0.276101199630573</v>
      </c>
      <c r="R98" s="21">
        <v>4.4000000000000003E-3</v>
      </c>
      <c r="S98" s="21">
        <v>0.41623356588836558</v>
      </c>
      <c r="T98" s="21">
        <v>0.33892629318603351</v>
      </c>
      <c r="U98" s="21" t="s">
        <v>50</v>
      </c>
      <c r="V98" s="21">
        <v>3.6311323383250112E-2</v>
      </c>
      <c r="W98" s="18">
        <v>0.33176353139638309</v>
      </c>
      <c r="Y98" s="94">
        <v>0.13672959626743147</v>
      </c>
      <c r="Z98" s="20">
        <v>-4.5594065495988092</v>
      </c>
      <c r="AA98" s="10">
        <v>-8.8180311307816268</v>
      </c>
      <c r="AB98" s="17">
        <v>0.46798254463982081</v>
      </c>
      <c r="AC98" s="18" t="s">
        <v>154</v>
      </c>
      <c r="AD98" s="21">
        <v>4.7057194199399813E-2</v>
      </c>
      <c r="AE98" s="18">
        <v>0.1159741957129813</v>
      </c>
      <c r="AF98" s="18">
        <v>1.04960951093794E-2</v>
      </c>
      <c r="AG98" s="21"/>
      <c r="AH98" s="21">
        <v>0.131349512951113</v>
      </c>
      <c r="AI98" s="46"/>
    </row>
    <row r="99" spans="1:36" ht="16.2">
      <c r="A99" s="13" t="s">
        <v>174</v>
      </c>
      <c r="B99" s="13" t="s">
        <v>80</v>
      </c>
      <c r="C99" s="13">
        <v>96</v>
      </c>
      <c r="E99" s="14">
        <v>45272</v>
      </c>
      <c r="P99" s="18" t="s">
        <v>50</v>
      </c>
      <c r="Q99" s="18">
        <v>0.37355804969371459</v>
      </c>
      <c r="R99" s="21" t="s">
        <v>50</v>
      </c>
      <c r="S99" s="21">
        <v>1.1739691311148659</v>
      </c>
      <c r="T99" s="21">
        <v>0.37654096245093022</v>
      </c>
      <c r="U99" s="21" t="s">
        <v>50</v>
      </c>
      <c r="V99" s="21">
        <v>0.12544334663373241</v>
      </c>
      <c r="W99" s="18">
        <v>1.2277289874694179</v>
      </c>
      <c r="Y99" s="94">
        <v>0.40325726180469412</v>
      </c>
      <c r="Z99" s="20">
        <v>-4.5594142521250589</v>
      </c>
      <c r="AA99" s="10">
        <v>-14.326146153020479</v>
      </c>
      <c r="AB99" s="17">
        <v>0.1096490975443256</v>
      </c>
      <c r="AC99" s="18">
        <v>9.0444500335627089E-3</v>
      </c>
      <c r="AD99" s="21">
        <v>1.338429714025396E-3</v>
      </c>
      <c r="AE99" s="21">
        <v>0.27887650484364879</v>
      </c>
      <c r="AF99" s="18">
        <v>5.957014644099954E-4</v>
      </c>
      <c r="AG99" s="21"/>
      <c r="AH99" s="21">
        <v>0.40228276836683408</v>
      </c>
      <c r="AI99" s="46"/>
    </row>
    <row r="100" spans="1:36" ht="16.2">
      <c r="A100" s="13" t="s">
        <v>174</v>
      </c>
      <c r="B100" s="13" t="s">
        <v>80</v>
      </c>
      <c r="C100" s="13">
        <v>97</v>
      </c>
      <c r="E100" s="14">
        <v>45279</v>
      </c>
      <c r="H100" s="16">
        <v>17.2</v>
      </c>
      <c r="I100" s="16">
        <v>4.9400000000000004</v>
      </c>
      <c r="J100" s="16">
        <v>8.5399999999999991</v>
      </c>
      <c r="P100" s="18" t="s">
        <v>50</v>
      </c>
      <c r="Q100" s="18">
        <v>0.50699233200711302</v>
      </c>
      <c r="R100" s="21" t="s">
        <v>50</v>
      </c>
      <c r="S100" s="21">
        <v>0.75147298935539764</v>
      </c>
      <c r="T100" s="21">
        <v>0.47326406407473359</v>
      </c>
      <c r="U100" s="21" t="s">
        <v>50</v>
      </c>
      <c r="V100" s="21">
        <v>0.13691969092406109</v>
      </c>
      <c r="W100" s="18">
        <v>0.474497071776594</v>
      </c>
      <c r="Y100" s="94">
        <v>0.30078907940671146</v>
      </c>
      <c r="Z100" s="20">
        <v>-4.4378345581250329</v>
      </c>
      <c r="AA100" s="10">
        <v>-7.2296030987008058</v>
      </c>
      <c r="AB100" s="17">
        <v>0.15486885396887071</v>
      </c>
      <c r="AC100" s="18" t="s">
        <v>154</v>
      </c>
      <c r="AD100" s="21">
        <v>0.10284992539173859</v>
      </c>
      <c r="AE100" s="21">
        <v>8.2284091546228941E-2</v>
      </c>
      <c r="AF100" s="18">
        <v>2.2634737414441519E-4</v>
      </c>
      <c r="AG100" s="21"/>
      <c r="AH100" s="21">
        <v>0.1235124251003446</v>
      </c>
      <c r="AI100" s="46"/>
    </row>
    <row r="101" spans="1:36" ht="16.2">
      <c r="A101" s="13" t="s">
        <v>174</v>
      </c>
      <c r="B101" s="13" t="s">
        <v>80</v>
      </c>
      <c r="C101" s="13">
        <v>98</v>
      </c>
      <c r="E101" s="14">
        <v>45286</v>
      </c>
      <c r="H101" s="16">
        <v>10</v>
      </c>
      <c r="I101" s="16">
        <v>4.92</v>
      </c>
      <c r="J101" s="16">
        <v>16.75</v>
      </c>
      <c r="P101" s="18" t="s">
        <v>50</v>
      </c>
      <c r="Q101" s="18">
        <v>2.493948302253298</v>
      </c>
      <c r="R101" s="21" t="s">
        <v>50</v>
      </c>
      <c r="S101" s="21">
        <v>1.445429082775946</v>
      </c>
      <c r="T101" s="21">
        <v>0.92145386051086631</v>
      </c>
      <c r="U101" s="21" t="s">
        <v>50</v>
      </c>
      <c r="V101" s="21">
        <v>0.13567222619468119</v>
      </c>
      <c r="W101" s="18">
        <v>0.41324345014360148</v>
      </c>
      <c r="Y101" s="92">
        <v>0.32682382122942222</v>
      </c>
      <c r="Z101" s="20">
        <v>-5.1751108366091509</v>
      </c>
      <c r="AA101" s="10">
        <v>-5.8415740164509522</v>
      </c>
      <c r="AB101" s="17">
        <v>1.063315763182922</v>
      </c>
      <c r="AC101" s="18">
        <v>7.0790127878474579E-2</v>
      </c>
      <c r="AD101" s="21">
        <v>7.8621038086864395E-2</v>
      </c>
      <c r="AE101" s="21">
        <v>0.1690740410231546</v>
      </c>
      <c r="AF101" s="21">
        <v>9.4822813324297456E-4</v>
      </c>
      <c r="AG101" s="21"/>
      <c r="AH101" s="21">
        <v>0.11749666111229259</v>
      </c>
      <c r="AI101" s="46"/>
    </row>
    <row r="102" spans="1:36" ht="16.2">
      <c r="A102" s="13" t="s">
        <v>174</v>
      </c>
      <c r="B102" s="13" t="s">
        <v>80</v>
      </c>
      <c r="C102" s="13">
        <v>99</v>
      </c>
      <c r="E102" s="14">
        <v>44929</v>
      </c>
      <c r="H102" s="16">
        <v>9.6</v>
      </c>
      <c r="I102" s="16">
        <v>4.4800000000000004</v>
      </c>
      <c r="J102" s="16">
        <v>46.6</v>
      </c>
      <c r="P102" s="18">
        <v>1.9599999999999999E-2</v>
      </c>
      <c r="Q102" s="18">
        <v>4.8728333140583624</v>
      </c>
      <c r="R102" s="21" t="s">
        <v>50</v>
      </c>
      <c r="S102" s="21">
        <v>5.9928859436753896</v>
      </c>
      <c r="T102" s="21">
        <v>3.3977558427204482</v>
      </c>
      <c r="U102" s="21" t="s">
        <v>50</v>
      </c>
      <c r="V102" s="21">
        <v>1.4076388070000001</v>
      </c>
      <c r="W102" s="18">
        <v>1.364402471675829</v>
      </c>
      <c r="Y102" s="92">
        <v>2.0299173025762944</v>
      </c>
      <c r="Z102" s="20">
        <v>-3.7441568288012759</v>
      </c>
      <c r="AA102" s="10">
        <v>-4.9371429094845913</v>
      </c>
      <c r="AB102" s="17">
        <v>2.4344355280799661</v>
      </c>
      <c r="AC102" s="18">
        <v>0.26093310293155281</v>
      </c>
      <c r="AD102" s="21">
        <v>0.17784580021624519</v>
      </c>
      <c r="AE102" s="21">
        <v>0.52731315621626484</v>
      </c>
      <c r="AF102" s="21">
        <v>3.29011720442051E-3</v>
      </c>
      <c r="AG102" s="21"/>
      <c r="AH102" s="21">
        <v>0.13938716149605501</v>
      </c>
      <c r="AI102" s="46"/>
    </row>
    <row r="103" spans="1:36" ht="16.2">
      <c r="A103" s="13" t="s">
        <v>174</v>
      </c>
      <c r="B103" s="13" t="s">
        <v>80</v>
      </c>
      <c r="C103" s="13">
        <v>100</v>
      </c>
      <c r="E103" s="14">
        <v>45300</v>
      </c>
      <c r="H103" s="16">
        <v>13.3</v>
      </c>
      <c r="I103" s="16">
        <v>4.38</v>
      </c>
      <c r="J103" s="16">
        <v>38.869999999999997</v>
      </c>
      <c r="P103" s="18">
        <v>6.8516157999999994E-2</v>
      </c>
      <c r="Q103" s="18">
        <v>22.854489610000002</v>
      </c>
      <c r="R103" s="21" t="s">
        <v>50</v>
      </c>
      <c r="S103" s="21">
        <v>16.92253886</v>
      </c>
      <c r="T103" s="21">
        <v>11.00631323</v>
      </c>
      <c r="U103" s="21">
        <v>0.15424885799999999</v>
      </c>
      <c r="Y103" s="95">
        <v>9.155727263735546</v>
      </c>
      <c r="Z103" s="20">
        <v>-3.0880518329002662</v>
      </c>
      <c r="AA103" s="10">
        <v>5.5960325649347986</v>
      </c>
      <c r="AB103" s="17">
        <v>12.455920662076069</v>
      </c>
      <c r="AC103" s="18">
        <v>1.793460159658707</v>
      </c>
      <c r="AD103" s="21">
        <v>0.85164139490515567</v>
      </c>
      <c r="AE103" s="21">
        <v>2.1368594032967492</v>
      </c>
      <c r="AF103" s="21">
        <v>1.4017600343693939E-2</v>
      </c>
      <c r="AG103" s="21"/>
      <c r="AH103" s="21">
        <v>0.316573661753696</v>
      </c>
    </row>
    <row r="104" spans="1:36" s="48" customFormat="1" ht="16.2">
      <c r="A104" s="12" t="s">
        <v>174</v>
      </c>
      <c r="B104" s="12" t="s">
        <v>80</v>
      </c>
      <c r="C104" s="12">
        <v>101</v>
      </c>
      <c r="D104" s="47"/>
      <c r="E104" s="47">
        <v>45307</v>
      </c>
      <c r="F104" s="3"/>
      <c r="K104" s="20"/>
      <c r="M104" s="12"/>
      <c r="N104" s="12"/>
      <c r="O104" s="12"/>
      <c r="P104" s="11"/>
      <c r="Q104" s="11"/>
      <c r="R104" s="49"/>
      <c r="S104" s="49"/>
      <c r="T104" s="49"/>
      <c r="U104" s="49"/>
      <c r="V104" s="49"/>
      <c r="W104" s="11">
        <v>1.79940849504216</v>
      </c>
      <c r="X104" s="50"/>
      <c r="Y104" s="94">
        <v>1.3981511251844634</v>
      </c>
      <c r="Z104" s="20">
        <v>-3.16532405824139</v>
      </c>
      <c r="AA104" s="10">
        <v>6.0624816758465352</v>
      </c>
      <c r="AB104" s="20">
        <v>2.448358322952783</v>
      </c>
      <c r="AC104" s="49">
        <v>0.16276991377515901</v>
      </c>
      <c r="AD104" s="50">
        <v>0.17741049007689561</v>
      </c>
      <c r="AE104" s="50">
        <v>0.27208886194760618</v>
      </c>
      <c r="AF104" s="50">
        <v>1.8578461624474019E-3</v>
      </c>
      <c r="AG104" s="50"/>
      <c r="AH104" s="50">
        <v>0.13457973610782431</v>
      </c>
      <c r="AI104" s="51"/>
      <c r="AJ104" s="20"/>
    </row>
    <row r="105" spans="1:36" ht="16.2">
      <c r="A105" s="13" t="s">
        <v>174</v>
      </c>
      <c r="B105" s="13" t="s">
        <v>80</v>
      </c>
      <c r="C105" s="13">
        <v>102</v>
      </c>
      <c r="E105" s="14">
        <v>45314</v>
      </c>
      <c r="P105" s="18" t="s">
        <v>50</v>
      </c>
      <c r="Q105" s="18">
        <v>1.1525918930000001</v>
      </c>
      <c r="R105" s="21" t="s">
        <v>50</v>
      </c>
      <c r="S105" s="21">
        <v>0.41715307200000001</v>
      </c>
      <c r="T105" s="21">
        <v>0.53054344799999997</v>
      </c>
      <c r="U105" s="21" t="s">
        <v>50</v>
      </c>
      <c r="V105" s="21">
        <v>5.4016882000000002E-2</v>
      </c>
      <c r="Y105" s="94">
        <v>0.51019350180558409</v>
      </c>
      <c r="Z105" s="20">
        <v>-5.2534464411980881</v>
      </c>
      <c r="AA105" s="10">
        <v>-13.55787702916586</v>
      </c>
      <c r="AB105" s="17">
        <v>0.77287191638673969</v>
      </c>
      <c r="AC105" s="18">
        <v>2.5442746446454119E-2</v>
      </c>
      <c r="AD105" s="21">
        <v>3.6955722989831822E-4</v>
      </c>
      <c r="AE105" s="21">
        <v>6.9606117909884066E-2</v>
      </c>
      <c r="AF105" s="21">
        <v>1.105116280591662E-4</v>
      </c>
      <c r="AG105" s="21"/>
      <c r="AH105" s="21">
        <v>0.15912214355715171</v>
      </c>
    </row>
    <row r="106" spans="1:36" ht="16.2">
      <c r="A106" s="13" t="s">
        <v>174</v>
      </c>
      <c r="B106" s="13" t="s">
        <v>80</v>
      </c>
      <c r="C106" s="13">
        <v>103</v>
      </c>
      <c r="E106" s="14">
        <v>45321</v>
      </c>
      <c r="H106" s="16">
        <v>18.7</v>
      </c>
      <c r="I106" s="16">
        <v>4.09</v>
      </c>
      <c r="J106" s="16">
        <v>49.47</v>
      </c>
      <c r="P106" s="18">
        <v>1.9599999999999999E-2</v>
      </c>
      <c r="Q106" s="18">
        <v>2.720073382180773</v>
      </c>
      <c r="R106" s="21" t="s">
        <v>50</v>
      </c>
      <c r="S106" s="21">
        <v>6.0737360386900736</v>
      </c>
      <c r="T106" s="21">
        <v>2.1781845902906092</v>
      </c>
      <c r="U106" s="21" t="s">
        <v>50</v>
      </c>
      <c r="V106" s="21">
        <v>1.330343390861341E-2</v>
      </c>
      <c r="W106" s="18">
        <v>1.2013225596712049</v>
      </c>
      <c r="Y106" s="94">
        <v>2.1498432236379816</v>
      </c>
      <c r="Z106" s="20">
        <v>-4.8330571785624317</v>
      </c>
      <c r="AA106" s="10">
        <v>-2.8878536170598621</v>
      </c>
      <c r="AB106" s="17">
        <v>0.91429316384699577</v>
      </c>
      <c r="AC106" s="18">
        <v>8.0815957091425333E-2</v>
      </c>
      <c r="AD106" s="21">
        <v>6.355344624563543E-3</v>
      </c>
      <c r="AE106" s="21">
        <v>0.28658197340373809</v>
      </c>
      <c r="AF106" s="21">
        <v>1.0454897757641241E-3</v>
      </c>
      <c r="AG106" s="21"/>
      <c r="AH106" s="21">
        <v>0.17633910631668401</v>
      </c>
    </row>
    <row r="107" spans="1:36" ht="16.2">
      <c r="A107" s="13" t="s">
        <v>174</v>
      </c>
      <c r="B107" s="13" t="s">
        <v>80</v>
      </c>
      <c r="C107" s="13">
        <v>104</v>
      </c>
      <c r="E107" s="14">
        <v>45328</v>
      </c>
      <c r="H107" s="16">
        <v>15.5</v>
      </c>
      <c r="I107" s="16">
        <v>4.88</v>
      </c>
      <c r="J107" s="16">
        <v>8.0299999999999994</v>
      </c>
      <c r="P107" s="18">
        <v>1.35E-2</v>
      </c>
      <c r="Q107" s="18">
        <v>0.40529267772364452</v>
      </c>
      <c r="R107" s="21" t="s">
        <v>50</v>
      </c>
      <c r="S107" s="21">
        <v>0.49031923354878199</v>
      </c>
      <c r="T107" s="21">
        <v>0.4883871435885378</v>
      </c>
      <c r="U107" s="21" t="s">
        <v>50</v>
      </c>
      <c r="V107" s="21">
        <v>1.8725316930610959E-2</v>
      </c>
      <c r="W107" s="18">
        <v>0.98770358891852394</v>
      </c>
      <c r="Y107" s="94">
        <v>0.17158869578499625</v>
      </c>
      <c r="Z107" s="20">
        <v>-3.175603390970255</v>
      </c>
      <c r="AA107" s="10">
        <v>-4.0707822814235257</v>
      </c>
      <c r="AB107" s="17">
        <v>0.1083369356783291</v>
      </c>
      <c r="AC107" s="18" t="s">
        <v>51</v>
      </c>
      <c r="AD107" s="21">
        <v>2.7411514355148319E-3</v>
      </c>
      <c r="AE107" s="21">
        <v>6.6476079466763038E-2</v>
      </c>
      <c r="AF107" s="21">
        <v>5.9713063191011237E-5</v>
      </c>
      <c r="AG107" s="21"/>
      <c r="AH107" s="21">
        <v>0.16261978192712681</v>
      </c>
      <c r="AI107" s="46"/>
    </row>
    <row r="108" spans="1:36" s="56" customFormat="1" ht="16.2">
      <c r="A108" s="52" t="s">
        <v>174</v>
      </c>
      <c r="B108" s="52" t="s">
        <v>80</v>
      </c>
      <c r="C108" s="52">
        <v>105</v>
      </c>
      <c r="D108" s="53"/>
      <c r="E108" s="53">
        <v>45335</v>
      </c>
      <c r="F108" s="54"/>
      <c r="G108" s="55"/>
      <c r="K108" s="57"/>
      <c r="M108" s="52"/>
      <c r="N108" s="52"/>
      <c r="O108" s="52"/>
      <c r="P108" s="58"/>
      <c r="Q108" s="58"/>
      <c r="R108" s="59"/>
      <c r="S108" s="59"/>
      <c r="T108" s="59"/>
      <c r="U108" s="59"/>
      <c r="V108" s="59"/>
      <c r="W108" s="58"/>
      <c r="X108" s="60"/>
      <c r="Y108" s="96"/>
      <c r="Z108" s="57"/>
      <c r="AA108" s="61"/>
      <c r="AB108" s="57"/>
      <c r="AC108" s="59"/>
      <c r="AD108" s="57"/>
      <c r="AE108" s="60"/>
      <c r="AF108" s="57"/>
      <c r="AG108" s="57"/>
      <c r="AH108" s="57"/>
      <c r="AI108" s="62"/>
      <c r="AJ108" s="57"/>
    </row>
    <row r="109" spans="1:36">
      <c r="A109" s="13" t="s">
        <v>174</v>
      </c>
      <c r="B109" s="13" t="s">
        <v>80</v>
      </c>
      <c r="C109" s="13">
        <v>106</v>
      </c>
      <c r="E109" s="14">
        <v>45342</v>
      </c>
      <c r="H109" s="16">
        <v>14.8</v>
      </c>
      <c r="I109" s="16">
        <v>4.8600000000000003</v>
      </c>
      <c r="J109" s="16">
        <v>9.32</v>
      </c>
      <c r="P109" s="18" t="s">
        <v>50</v>
      </c>
      <c r="Q109" s="18">
        <v>0.22327539900000001</v>
      </c>
      <c r="R109" s="21" t="s">
        <v>50</v>
      </c>
      <c r="S109" s="21">
        <v>0.48366160600000002</v>
      </c>
      <c r="T109" s="21">
        <v>0.79336002100000003</v>
      </c>
      <c r="U109" s="21" t="s">
        <v>50</v>
      </c>
      <c r="V109" s="21">
        <v>0.133582533</v>
      </c>
      <c r="W109" s="18">
        <v>0.57653828485278125</v>
      </c>
      <c r="Y109" s="92">
        <v>0.15672990753383048</v>
      </c>
      <c r="Z109" s="20">
        <v>-5.7755656518745813</v>
      </c>
      <c r="AA109" s="10">
        <v>-22.071259257879941</v>
      </c>
      <c r="AB109" s="17">
        <v>6.7519939428343945E-2</v>
      </c>
      <c r="AC109" s="18" t="s">
        <v>51</v>
      </c>
      <c r="AD109" s="21">
        <v>0.1139984092757831</v>
      </c>
      <c r="AE109" s="21">
        <v>0.1144939693319091</v>
      </c>
      <c r="AF109" s="21">
        <v>6.4175969039457158E-4</v>
      </c>
      <c r="AG109" s="21"/>
      <c r="AH109" s="21">
        <v>0.1594036822947128</v>
      </c>
    </row>
    <row r="110" spans="1:36" ht="16.2">
      <c r="A110" s="13" t="s">
        <v>174</v>
      </c>
      <c r="B110" s="13" t="s">
        <v>80</v>
      </c>
      <c r="C110" s="13">
        <v>107</v>
      </c>
      <c r="E110" s="14">
        <v>45349</v>
      </c>
      <c r="H110" s="16">
        <v>16.399999999999999</v>
      </c>
      <c r="I110" s="16">
        <v>4.84</v>
      </c>
      <c r="J110" s="16">
        <v>11.38</v>
      </c>
      <c r="P110" s="18" t="s">
        <v>50</v>
      </c>
      <c r="Q110" s="18">
        <v>0.71891088299999995</v>
      </c>
      <c r="R110" s="21" t="s">
        <v>50</v>
      </c>
      <c r="S110" s="21">
        <v>0.75427550600000004</v>
      </c>
      <c r="T110" s="21">
        <v>0.83429077699999998</v>
      </c>
      <c r="U110" s="21" t="s">
        <v>50</v>
      </c>
      <c r="V110" s="21">
        <v>9.8828583999999997E-2</v>
      </c>
      <c r="W110" s="18">
        <v>1.2927285840346829</v>
      </c>
      <c r="Y110" s="92">
        <v>0.18606192281375217</v>
      </c>
      <c r="Z110" s="20">
        <v>-4.9720054002767471</v>
      </c>
      <c r="AA110" s="10">
        <v>-16.5033659736585</v>
      </c>
      <c r="AB110" s="17">
        <v>0.48229595618200799</v>
      </c>
      <c r="AC110" s="18" t="s">
        <v>154</v>
      </c>
      <c r="AD110" s="21">
        <v>0.17066681910334761</v>
      </c>
      <c r="AE110" s="21">
        <v>0.15705230362436379</v>
      </c>
      <c r="AF110" s="21">
        <v>7.2629764701109779E-4</v>
      </c>
      <c r="AG110" s="21"/>
      <c r="AH110" s="21">
        <v>0.26461669168391272</v>
      </c>
      <c r="AI110" s="46"/>
    </row>
    <row r="111" spans="1:36" ht="16.2">
      <c r="A111" s="13" t="s">
        <v>174</v>
      </c>
      <c r="B111" s="13" t="s">
        <v>80</v>
      </c>
      <c r="C111" s="13">
        <v>108</v>
      </c>
      <c r="E111" s="14">
        <v>45356</v>
      </c>
      <c r="H111" s="16">
        <v>15.8</v>
      </c>
      <c r="I111" s="16">
        <v>6.11</v>
      </c>
      <c r="J111" s="16">
        <v>74.8</v>
      </c>
      <c r="P111" s="18">
        <v>1.9E-3</v>
      </c>
      <c r="Q111" s="18">
        <v>0.42719347699999999</v>
      </c>
      <c r="R111" s="21" t="s">
        <v>50</v>
      </c>
      <c r="S111" s="21">
        <v>0.99221203199999997</v>
      </c>
      <c r="T111" s="21">
        <v>0.97539637499999998</v>
      </c>
      <c r="U111" s="21" t="s">
        <v>50</v>
      </c>
      <c r="V111" s="21">
        <v>0.248370752</v>
      </c>
      <c r="W111" s="18">
        <v>1.211109044242173</v>
      </c>
      <c r="Y111" s="92">
        <v>0.47629355786241212</v>
      </c>
      <c r="Z111" s="20">
        <v>-5.0666461533321607</v>
      </c>
      <c r="AA111" s="10">
        <v>-12.91376568336274</v>
      </c>
      <c r="AB111" s="17">
        <v>0.26446466607412189</v>
      </c>
      <c r="AC111" s="18" t="s">
        <v>154</v>
      </c>
      <c r="AD111" s="21">
        <v>0.14605237745637539</v>
      </c>
      <c r="AE111" s="21">
        <v>0.1648288380216052</v>
      </c>
      <c r="AF111" s="21">
        <v>6.3250545593749295E-4</v>
      </c>
      <c r="AG111" s="21"/>
      <c r="AH111" s="21">
        <v>0.1392188828528006</v>
      </c>
      <c r="AI111" s="46"/>
    </row>
    <row r="112" spans="1:36" ht="16.2">
      <c r="A112" s="13" t="s">
        <v>174</v>
      </c>
      <c r="B112" s="13" t="s">
        <v>80</v>
      </c>
      <c r="C112" s="13">
        <v>109</v>
      </c>
      <c r="E112" s="14">
        <v>45363</v>
      </c>
      <c r="H112" s="16">
        <v>16.5</v>
      </c>
      <c r="I112" s="16">
        <v>4.7300000000000004</v>
      </c>
      <c r="J112" s="16">
        <v>18.46</v>
      </c>
      <c r="P112" s="18">
        <v>2.5000000000000001E-3</v>
      </c>
      <c r="Q112" s="18">
        <v>1.0160265230000001</v>
      </c>
      <c r="R112" s="21" t="s">
        <v>50</v>
      </c>
      <c r="S112" s="21">
        <v>1.3085689069999999</v>
      </c>
      <c r="T112" s="21">
        <v>1.2777832600000001</v>
      </c>
      <c r="U112" s="21" t="s">
        <v>50</v>
      </c>
      <c r="V112" s="21">
        <v>0.25730298899999998</v>
      </c>
      <c r="W112" s="18">
        <v>1.673136719495399</v>
      </c>
      <c r="Y112" s="92">
        <v>0.61064857258354688</v>
      </c>
      <c r="Z112" s="20">
        <v>-3.2554521520419439</v>
      </c>
      <c r="AA112" s="10">
        <v>-4.1563359315245796</v>
      </c>
      <c r="AB112" s="17">
        <v>0.55068520794376619</v>
      </c>
      <c r="AC112" s="18">
        <v>9.2367767512869011E-3</v>
      </c>
      <c r="AD112" s="21">
        <v>0.152399618149646</v>
      </c>
      <c r="AE112" s="21">
        <v>0.19541804196568921</v>
      </c>
      <c r="AF112" s="21">
        <v>7.1717081402453142E-3</v>
      </c>
      <c r="AG112" s="21"/>
      <c r="AH112" s="21">
        <v>0.25866943913636359</v>
      </c>
      <c r="AI112" s="46"/>
    </row>
    <row r="113" spans="1:36" ht="16.2">
      <c r="A113" s="13" t="s">
        <v>174</v>
      </c>
      <c r="B113" s="13" t="s">
        <v>80</v>
      </c>
      <c r="C113" s="13">
        <v>110</v>
      </c>
      <c r="E113" s="14">
        <v>45370</v>
      </c>
      <c r="P113" s="18">
        <v>2.4400000000000002E-2</v>
      </c>
      <c r="Q113" s="18">
        <v>1.6526551700000001</v>
      </c>
      <c r="R113" s="21" t="s">
        <v>50</v>
      </c>
      <c r="S113" s="21">
        <v>1.815540323</v>
      </c>
      <c r="T113" s="21">
        <v>1.6633125820000001</v>
      </c>
      <c r="U113" s="21" t="s">
        <v>50</v>
      </c>
      <c r="V113" s="21">
        <v>0.241364194</v>
      </c>
      <c r="Y113" s="92"/>
      <c r="Z113" s="20">
        <v>-1.561622552479744</v>
      </c>
      <c r="AA113" s="10">
        <v>7.1837114640596811</v>
      </c>
      <c r="AB113" s="17">
        <v>0.84452592029404105</v>
      </c>
      <c r="AC113" s="18">
        <v>7.9331195464848195E-2</v>
      </c>
      <c r="AD113" s="21">
        <v>0.21900009292985681</v>
      </c>
      <c r="AE113" s="21">
        <v>0.42597703133622339</v>
      </c>
      <c r="AF113" s="21">
        <v>7.846797810579462E-3</v>
      </c>
      <c r="AG113" s="21"/>
      <c r="AH113" s="21">
        <v>0.35884917069547623</v>
      </c>
      <c r="AI113" s="46"/>
    </row>
    <row r="114" spans="1:36" ht="16.2">
      <c r="A114" s="13" t="s">
        <v>174</v>
      </c>
      <c r="B114" s="13" t="s">
        <v>80</v>
      </c>
      <c r="C114" s="13">
        <v>111</v>
      </c>
      <c r="E114" s="14">
        <v>45377</v>
      </c>
      <c r="H114" s="16">
        <v>12.4</v>
      </c>
      <c r="I114" s="16">
        <v>7.14</v>
      </c>
      <c r="J114" s="16">
        <v>63.7</v>
      </c>
      <c r="P114" s="18">
        <v>5.4502983999999997E-2</v>
      </c>
      <c r="Q114" s="18">
        <v>2.3869264079999999</v>
      </c>
      <c r="R114" s="21" t="s">
        <v>50</v>
      </c>
      <c r="S114" s="21">
        <v>1.750767033</v>
      </c>
      <c r="T114" s="21">
        <v>6.502757302</v>
      </c>
      <c r="U114" s="21" t="s">
        <v>50</v>
      </c>
      <c r="V114" s="21">
        <v>2.6691697E-2</v>
      </c>
      <c r="W114" s="18">
        <v>0.17965123681505701</v>
      </c>
      <c r="Y114" s="92"/>
      <c r="Z114" s="20">
        <v>-6.5954379282843174</v>
      </c>
      <c r="AA114" s="10">
        <v>-31.734377779099521</v>
      </c>
      <c r="AB114" s="17">
        <v>3.971504893440275</v>
      </c>
      <c r="AC114" s="18">
        <v>1.5434006138271701</v>
      </c>
      <c r="AD114" s="21">
        <v>0.32832215294920408</v>
      </c>
      <c r="AE114" s="21">
        <v>5.3496906267689068</v>
      </c>
      <c r="AF114" s="21">
        <v>3.9656243716864062E-2</v>
      </c>
      <c r="AG114" s="21"/>
      <c r="AH114" s="21">
        <v>5.4003478552161051</v>
      </c>
      <c r="AI114" s="46"/>
    </row>
    <row r="115" spans="1:36" s="66" customFormat="1" ht="16.2">
      <c r="A115" s="63" t="s">
        <v>174</v>
      </c>
      <c r="B115" s="63" t="s">
        <v>80</v>
      </c>
      <c r="C115" s="63">
        <v>112</v>
      </c>
      <c r="D115" s="64"/>
      <c r="E115" s="64">
        <v>45384</v>
      </c>
      <c r="F115" s="65"/>
      <c r="H115" s="66">
        <v>17.8</v>
      </c>
      <c r="I115" s="66">
        <v>5.25</v>
      </c>
      <c r="J115" s="66">
        <v>14.94</v>
      </c>
      <c r="K115" s="67"/>
      <c r="M115" s="63"/>
      <c r="N115" s="63"/>
      <c r="O115" s="63"/>
      <c r="P115" s="68" t="s">
        <v>50</v>
      </c>
      <c r="Q115" s="68">
        <v>0.83132164799999997</v>
      </c>
      <c r="R115" s="69" t="s">
        <v>50</v>
      </c>
      <c r="S115" s="69">
        <v>1.574658756</v>
      </c>
      <c r="T115" s="69">
        <v>1.2366497299999999</v>
      </c>
      <c r="U115" s="69">
        <v>5.0507469999999999E-2</v>
      </c>
      <c r="V115" s="69">
        <v>0.44709185299999998</v>
      </c>
      <c r="W115" s="68">
        <v>3.3310395927508578</v>
      </c>
      <c r="X115" s="70"/>
      <c r="Y115" s="97">
        <v>0.71942044767045532</v>
      </c>
      <c r="Z115" s="67">
        <v>-4.3622582608926059</v>
      </c>
      <c r="AA115" s="71">
        <v>-17.76453018641099</v>
      </c>
      <c r="AB115" s="67">
        <v>0.44237332868168872</v>
      </c>
      <c r="AC115" s="68">
        <v>1.2022156723133099E-2</v>
      </c>
      <c r="AD115" s="69">
        <v>0.1976066162194639</v>
      </c>
      <c r="AE115" s="69">
        <v>0.2229124605408884</v>
      </c>
      <c r="AF115" s="69">
        <v>7.1106676361823136E-3</v>
      </c>
      <c r="AG115" s="69"/>
      <c r="AH115" s="69">
        <v>0.32085494091223637</v>
      </c>
      <c r="AI115" s="72"/>
      <c r="AJ115" s="67"/>
    </row>
    <row r="116" spans="1:36" s="66" customFormat="1" ht="16.2">
      <c r="A116" s="63" t="s">
        <v>174</v>
      </c>
      <c r="B116" s="63" t="s">
        <v>80</v>
      </c>
      <c r="C116" s="63">
        <v>113</v>
      </c>
      <c r="D116" s="64"/>
      <c r="E116" s="64">
        <v>45391</v>
      </c>
      <c r="F116" s="65"/>
      <c r="H116" s="66">
        <v>19.5</v>
      </c>
      <c r="I116" s="66">
        <v>5.85</v>
      </c>
      <c r="J116" s="66">
        <v>19.149999999999999</v>
      </c>
      <c r="K116" s="67"/>
      <c r="M116" s="63"/>
      <c r="N116" s="63"/>
      <c r="O116" s="63"/>
      <c r="P116" s="68">
        <v>4.5999999999999999E-3</v>
      </c>
      <c r="Q116" s="68">
        <v>1.0692261439999999</v>
      </c>
      <c r="R116" s="69" t="s">
        <v>50</v>
      </c>
      <c r="S116" s="69">
        <v>1.4316876590000001</v>
      </c>
      <c r="T116" s="69">
        <v>2.894247172</v>
      </c>
      <c r="U116" s="69">
        <v>3.8199191E-2</v>
      </c>
      <c r="V116" s="69">
        <v>0.51999401300000003</v>
      </c>
      <c r="W116" s="68">
        <v>4.3012998699809781</v>
      </c>
      <c r="X116" s="70"/>
      <c r="Y116" s="97">
        <v>0.82819930165436495</v>
      </c>
      <c r="Z116" s="67">
        <v>-2.8320836951045321</v>
      </c>
      <c r="AA116" s="71">
        <v>-6.9173342055902971</v>
      </c>
      <c r="AB116" s="67">
        <v>0.64849315269356278</v>
      </c>
      <c r="AC116" s="68">
        <v>0.1036866687290382</v>
      </c>
      <c r="AD116" s="69">
        <v>0.2347521347188537</v>
      </c>
      <c r="AE116" s="69">
        <v>0.87276701794022782</v>
      </c>
      <c r="AF116" s="69">
        <v>8.0333508387547773E-3</v>
      </c>
      <c r="AG116" s="69"/>
      <c r="AH116" s="69">
        <v>0.32263032981573347</v>
      </c>
      <c r="AI116" s="72"/>
      <c r="AJ116" s="67"/>
    </row>
    <row r="117" spans="1:36" ht="16.2">
      <c r="A117" s="13" t="s">
        <v>174</v>
      </c>
      <c r="B117" s="13" t="s">
        <v>80</v>
      </c>
      <c r="C117" s="13">
        <v>114</v>
      </c>
      <c r="E117" s="14">
        <v>45398</v>
      </c>
      <c r="H117" s="16">
        <v>17.899999999999999</v>
      </c>
      <c r="I117" s="16">
        <v>5.55</v>
      </c>
      <c r="J117" s="16">
        <v>58.1</v>
      </c>
      <c r="P117" s="18">
        <v>0.31472845700000002</v>
      </c>
      <c r="Q117" s="18">
        <v>7.4492483509999996</v>
      </c>
      <c r="R117" s="21" t="s">
        <v>50</v>
      </c>
      <c r="S117" s="21">
        <v>6.3774533829999998</v>
      </c>
      <c r="T117" s="21">
        <v>4.5883333860000004</v>
      </c>
      <c r="U117" s="21" t="s">
        <v>50</v>
      </c>
      <c r="V117" s="21">
        <v>1.776639318</v>
      </c>
      <c r="W117" s="18">
        <v>2.4933543555170838</v>
      </c>
      <c r="Y117" s="92"/>
      <c r="Z117" s="20">
        <v>-3.7944464480589009</v>
      </c>
      <c r="AA117" s="10">
        <v>-9.4533724262273502</v>
      </c>
      <c r="AB117" s="17">
        <v>4.2906412724848462</v>
      </c>
      <c r="AC117" s="18">
        <v>0.53883180093695016</v>
      </c>
      <c r="AD117" s="21">
        <v>0.37449128465307169</v>
      </c>
      <c r="AE117" s="21">
        <v>0.99738993102689155</v>
      </c>
      <c r="AF117" s="21">
        <v>1.1901842569979009E-2</v>
      </c>
      <c r="AG117" s="21"/>
      <c r="AH117" s="21">
        <v>0.42500943496169158</v>
      </c>
      <c r="AI117" s="46"/>
    </row>
    <row r="118" spans="1:36" ht="16.2">
      <c r="A118" s="13" t="s">
        <v>174</v>
      </c>
      <c r="B118" s="13" t="s">
        <v>80</v>
      </c>
      <c r="C118" s="13">
        <v>115</v>
      </c>
      <c r="E118" s="14">
        <v>45405</v>
      </c>
      <c r="G118" s="73"/>
      <c r="H118" s="16">
        <v>16.7</v>
      </c>
      <c r="I118" s="16">
        <v>5.6</v>
      </c>
      <c r="J118" s="16">
        <v>15.69</v>
      </c>
      <c r="P118" s="18" t="s">
        <v>50</v>
      </c>
      <c r="Q118" s="18">
        <v>0.94990288599999995</v>
      </c>
      <c r="R118" s="21" t="s">
        <v>50</v>
      </c>
      <c r="S118" s="21">
        <v>1.4741855159999999</v>
      </c>
      <c r="T118" s="21">
        <v>1.4408196689999999</v>
      </c>
      <c r="U118" s="21" t="s">
        <v>50</v>
      </c>
      <c r="V118" s="21">
        <v>0.36439492400000001</v>
      </c>
      <c r="W118" s="18">
        <v>0.28950651426106622</v>
      </c>
      <c r="Y118" s="92"/>
      <c r="Z118" s="20">
        <v>-3.5486081255851598</v>
      </c>
      <c r="AA118" s="10">
        <v>-15.55614370771432</v>
      </c>
      <c r="AB118" s="17">
        <v>0.63835576884427514</v>
      </c>
      <c r="AC118" s="18">
        <v>2.345262294717753E-2</v>
      </c>
      <c r="AD118" s="21">
        <v>0.27207157269427101</v>
      </c>
      <c r="AE118" s="21">
        <v>0.21617023358475029</v>
      </c>
      <c r="AF118" s="21">
        <v>7.4950319619516096E-3</v>
      </c>
      <c r="AG118" s="21"/>
      <c r="AH118" s="21">
        <v>0.50259719151654381</v>
      </c>
      <c r="AI118" s="46"/>
    </row>
    <row r="119" spans="1:36" ht="16.2">
      <c r="A119" s="13" t="s">
        <v>174</v>
      </c>
      <c r="B119" s="13" t="s">
        <v>80</v>
      </c>
      <c r="C119" s="13">
        <v>116</v>
      </c>
      <c r="E119" s="14">
        <v>45412</v>
      </c>
      <c r="G119" s="73"/>
      <c r="H119" s="16">
        <v>20.5</v>
      </c>
      <c r="I119" s="16">
        <v>5.1100000000000003</v>
      </c>
      <c r="J119" s="16">
        <v>8.4600000000000009</v>
      </c>
      <c r="P119" s="18" t="s">
        <v>50</v>
      </c>
      <c r="Q119" s="18">
        <v>0.21729585900000001</v>
      </c>
      <c r="R119" s="21" t="s">
        <v>50</v>
      </c>
      <c r="S119" s="21">
        <v>0.86017998699999998</v>
      </c>
      <c r="T119" s="21">
        <v>0.68641481500000001</v>
      </c>
      <c r="U119" s="21" t="s">
        <v>50</v>
      </c>
      <c r="V119" s="21">
        <v>0.31624611499999999</v>
      </c>
      <c r="W119" s="18">
        <v>0.89228697131084989</v>
      </c>
      <c r="Y119" s="92"/>
      <c r="Z119" s="20">
        <v>-4.7824247715170456</v>
      </c>
      <c r="AA119" s="10">
        <v>-22.232133812365319</v>
      </c>
      <c r="AB119" s="17">
        <v>0.117248291284884</v>
      </c>
      <c r="AC119" s="18" t="s">
        <v>51</v>
      </c>
      <c r="AD119" s="21">
        <v>0.1053606406022476</v>
      </c>
      <c r="AE119" s="21">
        <v>6.1863742273009913E-2</v>
      </c>
      <c r="AF119" s="21">
        <v>6.4618094792838459E-3</v>
      </c>
      <c r="AG119" s="21"/>
      <c r="AH119" s="21">
        <v>0.22518266406368409</v>
      </c>
      <c r="AI119" s="46"/>
    </row>
    <row r="120" spans="1:36" ht="16.2">
      <c r="A120" s="13" t="s">
        <v>174</v>
      </c>
      <c r="B120" s="13" t="s">
        <v>80</v>
      </c>
      <c r="C120" s="13">
        <v>117</v>
      </c>
      <c r="E120" s="14">
        <v>45419</v>
      </c>
      <c r="H120" s="16">
        <v>16.7</v>
      </c>
      <c r="I120" s="16">
        <v>4.7699999999999996</v>
      </c>
      <c r="J120" s="16">
        <v>12.26</v>
      </c>
      <c r="P120" s="18" t="s">
        <v>50</v>
      </c>
      <c r="Q120" s="18">
        <v>0.42007996800000003</v>
      </c>
      <c r="R120" s="21" t="s">
        <v>50</v>
      </c>
      <c r="S120" s="21">
        <v>0.88431263000000004</v>
      </c>
      <c r="T120" s="21">
        <v>0.86218934999999997</v>
      </c>
      <c r="U120" s="21" t="s">
        <v>50</v>
      </c>
      <c r="V120" s="21">
        <v>0.225642336</v>
      </c>
      <c r="W120" s="18">
        <v>1.199962051776003</v>
      </c>
      <c r="Y120" s="92"/>
      <c r="Z120" s="20">
        <v>-4.1921993344925363</v>
      </c>
      <c r="AA120" s="10">
        <v>-16.85782096343133</v>
      </c>
      <c r="AB120" s="17">
        <v>0.18423600301188239</v>
      </c>
      <c r="AC120" s="18" t="s">
        <v>51</v>
      </c>
      <c r="AD120" s="21">
        <v>0.11168535764155441</v>
      </c>
      <c r="AE120" s="21">
        <v>5.8067137780308822E-2</v>
      </c>
      <c r="AF120" s="21">
        <v>6.4895115932603773E-3</v>
      </c>
      <c r="AG120" s="21"/>
      <c r="AH120" s="21">
        <v>0.25100842106475291</v>
      </c>
      <c r="AI120" s="46"/>
    </row>
    <row r="121" spans="1:36" ht="16.2">
      <c r="A121" s="13" t="s">
        <v>174</v>
      </c>
      <c r="B121" s="13" t="s">
        <v>80</v>
      </c>
      <c r="C121" s="13">
        <v>118</v>
      </c>
      <c r="E121" s="14">
        <v>45426</v>
      </c>
      <c r="P121" s="18">
        <v>2.0799999999999999E-2</v>
      </c>
      <c r="Q121" s="18">
        <v>1.0519967619999999</v>
      </c>
      <c r="R121" s="21" t="s">
        <v>50</v>
      </c>
      <c r="S121" s="21">
        <v>0.94673079900000001</v>
      </c>
      <c r="T121" s="21">
        <v>1.184245988</v>
      </c>
      <c r="U121" s="21">
        <v>7.8729413999999998E-2</v>
      </c>
      <c r="V121" s="21">
        <v>0.34259569200000001</v>
      </c>
      <c r="W121" s="18">
        <v>3.7574863117955939</v>
      </c>
      <c r="Y121" s="92">
        <v>0.74075180197490276</v>
      </c>
      <c r="Z121" s="20">
        <v>-3.9250147032656488</v>
      </c>
      <c r="AA121" s="10">
        <v>-10.16774938978708</v>
      </c>
      <c r="AB121" s="17">
        <v>0.62301612818801833</v>
      </c>
      <c r="AC121" s="18">
        <v>4.5636284441193893E-2</v>
      </c>
      <c r="AD121" s="21">
        <v>0.25959349489432682</v>
      </c>
      <c r="AE121" s="21">
        <v>0.21631727482600061</v>
      </c>
      <c r="AF121" s="21">
        <v>7.2912152857780689E-3</v>
      </c>
      <c r="AG121" s="21"/>
      <c r="AH121" s="21">
        <v>0.21702815878468051</v>
      </c>
      <c r="AI121" s="46"/>
    </row>
    <row r="122" spans="1:36" ht="16.2">
      <c r="A122" s="13" t="s">
        <v>174</v>
      </c>
      <c r="B122" s="13" t="s">
        <v>80</v>
      </c>
      <c r="C122" s="13">
        <v>119</v>
      </c>
      <c r="E122" s="14">
        <v>45433</v>
      </c>
      <c r="G122" s="74"/>
      <c r="H122" s="16">
        <v>17.3</v>
      </c>
      <c r="I122" s="16">
        <v>5.47</v>
      </c>
      <c r="J122" s="16">
        <v>22.35</v>
      </c>
      <c r="P122" s="18">
        <v>1.3858037E-2</v>
      </c>
      <c r="Q122" s="18">
        <v>3.5047877629999999</v>
      </c>
      <c r="R122" s="21" t="s">
        <v>50</v>
      </c>
      <c r="S122" s="21">
        <v>1.470032314</v>
      </c>
      <c r="T122" s="21">
        <v>1.4916562179999999</v>
      </c>
      <c r="U122" s="21">
        <v>7.7136053999999996E-2</v>
      </c>
      <c r="V122" s="21">
        <v>0.17750422099999999</v>
      </c>
      <c r="W122" s="18">
        <v>3.039390884606699</v>
      </c>
      <c r="Y122" s="92">
        <v>0.48945940251612091</v>
      </c>
      <c r="Z122" s="20">
        <v>-5.3577077924143532</v>
      </c>
      <c r="AA122" s="10">
        <v>-26.671917950796409</v>
      </c>
      <c r="AB122" s="17">
        <v>1.9130149509862471</v>
      </c>
      <c r="AC122" s="18">
        <v>0.18281611722201091</v>
      </c>
      <c r="AD122" s="21">
        <v>0.17196453070427081</v>
      </c>
      <c r="AE122" s="21">
        <v>0.38617407806966458</v>
      </c>
      <c r="AF122" s="21">
        <v>8.2853290056415108E-3</v>
      </c>
      <c r="AG122" s="21"/>
      <c r="AH122" s="21">
        <v>0.2982252045881561</v>
      </c>
      <c r="AI122" s="46"/>
    </row>
    <row r="123" spans="1:36" ht="16.2">
      <c r="A123" s="13" t="s">
        <v>174</v>
      </c>
      <c r="B123" s="32" t="s">
        <v>175</v>
      </c>
      <c r="C123" s="13">
        <v>120</v>
      </c>
      <c r="E123" s="14">
        <v>45440</v>
      </c>
      <c r="H123" s="16">
        <v>15.7</v>
      </c>
      <c r="I123" s="16">
        <v>7.33</v>
      </c>
      <c r="J123" s="16">
        <v>4.97</v>
      </c>
      <c r="P123" s="18" t="s">
        <v>50</v>
      </c>
      <c r="Q123" s="18">
        <v>0.12554179500000001</v>
      </c>
      <c r="R123" s="21" t="s">
        <v>50</v>
      </c>
      <c r="S123" s="21">
        <v>0.21079872999999999</v>
      </c>
      <c r="T123" s="21">
        <v>0.33848603100000002</v>
      </c>
      <c r="U123" s="21" t="s">
        <v>50</v>
      </c>
      <c r="V123" s="21">
        <v>0.23177341900000001</v>
      </c>
      <c r="W123" s="18">
        <v>0.92722546821497775</v>
      </c>
      <c r="Y123" s="92"/>
      <c r="Z123" s="20">
        <v>-8.4550571924959552</v>
      </c>
      <c r="AA123" s="10">
        <v>-52.676956676686942</v>
      </c>
      <c r="AB123" s="17">
        <v>0.13093410139761369</v>
      </c>
      <c r="AC123" s="18" t="s">
        <v>51</v>
      </c>
      <c r="AD123" s="21">
        <v>0.25875737996863918</v>
      </c>
      <c r="AE123" s="21" t="s">
        <v>51</v>
      </c>
      <c r="AF123" s="21">
        <v>6.642401026443567E-3</v>
      </c>
      <c r="AG123" s="21"/>
      <c r="AH123" s="21">
        <v>0.18628842535295809</v>
      </c>
      <c r="AI123" s="46"/>
    </row>
    <row r="124" spans="1:36" ht="16.2">
      <c r="A124" s="13" t="s">
        <v>174</v>
      </c>
      <c r="B124" s="32" t="s">
        <v>175</v>
      </c>
      <c r="C124" s="13">
        <v>121</v>
      </c>
      <c r="E124" s="14">
        <v>45447</v>
      </c>
      <c r="H124" s="16">
        <v>18.8</v>
      </c>
      <c r="I124" s="16">
        <v>9.82</v>
      </c>
      <c r="J124" s="16">
        <v>3.78</v>
      </c>
      <c r="P124" s="18" t="s">
        <v>50</v>
      </c>
      <c r="Q124" s="18">
        <v>0.46504661800000002</v>
      </c>
      <c r="R124" s="21" t="s">
        <v>50</v>
      </c>
      <c r="S124" s="21">
        <v>9.9413509999999993E-3</v>
      </c>
      <c r="T124" s="21">
        <v>0.27423483199999998</v>
      </c>
      <c r="U124" s="21">
        <v>7.4600855999999993E-2</v>
      </c>
      <c r="V124" s="21">
        <v>1.9451920000000001E-3</v>
      </c>
      <c r="W124" s="18">
        <v>1.8464</v>
      </c>
      <c r="Y124" s="92">
        <v>3.8682031594125803E-2</v>
      </c>
      <c r="Z124" s="20">
        <v>-8.9495800119438567</v>
      </c>
      <c r="AA124" s="10">
        <v>-56.667164158723942</v>
      </c>
      <c r="AB124" s="17">
        <v>0.27298670073732861</v>
      </c>
      <c r="AC124" s="18" t="s">
        <v>51</v>
      </c>
      <c r="AD124" s="21">
        <v>0.16885868107152791</v>
      </c>
      <c r="AE124" s="21" t="s">
        <v>51</v>
      </c>
      <c r="AF124" s="21">
        <v>6.512673081282924E-3</v>
      </c>
      <c r="AG124" s="21"/>
      <c r="AH124" s="21">
        <v>0.21202931748797529</v>
      </c>
      <c r="AI124" s="46"/>
    </row>
    <row r="125" spans="1:36" ht="16.2">
      <c r="A125" s="13" t="s">
        <v>174</v>
      </c>
      <c r="B125" s="32" t="s">
        <v>175</v>
      </c>
      <c r="C125" s="13">
        <v>122</v>
      </c>
      <c r="E125" s="14">
        <v>45454</v>
      </c>
      <c r="H125" s="16">
        <v>15</v>
      </c>
      <c r="I125" s="16">
        <v>5.38</v>
      </c>
      <c r="J125" s="16">
        <v>6.32</v>
      </c>
      <c r="P125" s="18">
        <v>3.0515928000000001E-2</v>
      </c>
      <c r="Q125" s="18">
        <v>0.52488226800000004</v>
      </c>
      <c r="R125" s="21" t="s">
        <v>50</v>
      </c>
      <c r="S125" s="21">
        <v>0.65179952100000005</v>
      </c>
      <c r="T125" s="21">
        <v>1.453814487</v>
      </c>
      <c r="U125" s="21" t="s">
        <v>50</v>
      </c>
      <c r="V125" s="21">
        <v>0.23621421200000001</v>
      </c>
      <c r="W125" s="18">
        <v>3.2985000000000002</v>
      </c>
      <c r="Y125" s="92">
        <v>0.43742552759406411</v>
      </c>
      <c r="Z125" s="20">
        <v>-7.6702245740052586</v>
      </c>
      <c r="AA125" s="10">
        <v>-44.772787715454392</v>
      </c>
      <c r="AB125" s="17">
        <v>0.79861506333983612</v>
      </c>
      <c r="AC125" s="18">
        <v>4.2405479003627768E-2</v>
      </c>
      <c r="AD125" s="21">
        <v>0.31620200346482469</v>
      </c>
      <c r="AE125" s="21">
        <v>0.36028333757431902</v>
      </c>
      <c r="AF125" s="21">
        <v>9.8100253119117551E-3</v>
      </c>
      <c r="AG125" s="21"/>
      <c r="AH125" s="21">
        <v>0.28677443864377711</v>
      </c>
      <c r="AI125" s="46"/>
    </row>
    <row r="126" spans="1:36" ht="16.2">
      <c r="A126" s="13" t="s">
        <v>79</v>
      </c>
      <c r="B126" s="13" t="s">
        <v>80</v>
      </c>
      <c r="C126" s="13">
        <v>123</v>
      </c>
      <c r="E126" s="14">
        <v>45461</v>
      </c>
      <c r="H126" s="16">
        <v>22.2</v>
      </c>
      <c r="I126" s="16">
        <v>5.79</v>
      </c>
      <c r="J126" s="16">
        <v>4.1900000000000004</v>
      </c>
      <c r="P126" s="18">
        <v>2.461843E-2</v>
      </c>
      <c r="Q126" s="18">
        <v>0.339091103</v>
      </c>
      <c r="R126" s="21" t="s">
        <v>50</v>
      </c>
      <c r="S126" s="21">
        <v>6.0491667999999998E-2</v>
      </c>
      <c r="T126" s="21">
        <v>0.213564264</v>
      </c>
      <c r="U126" s="21" t="s">
        <v>50</v>
      </c>
      <c r="V126" s="21">
        <v>2.8120131999999999E-2</v>
      </c>
      <c r="Y126" s="92">
        <v>0.15653272787046479</v>
      </c>
      <c r="Z126" s="20">
        <v>-6.8274011500685123</v>
      </c>
      <c r="AA126" s="10">
        <v>-43.356398005011933</v>
      </c>
      <c r="AB126" s="17">
        <v>0.27660678263448568</v>
      </c>
      <c r="AC126" s="18" t="s">
        <v>51</v>
      </c>
      <c r="AD126" s="21">
        <v>0.41801839293757082</v>
      </c>
      <c r="AE126" s="21">
        <v>4.2451642743899967E-2</v>
      </c>
      <c r="AF126" s="21">
        <v>6.5643682952601081E-3</v>
      </c>
      <c r="AG126" s="21"/>
      <c r="AH126" s="21">
        <v>0.47169100495781963</v>
      </c>
      <c r="AI126" s="46"/>
    </row>
    <row r="127" spans="1:36" ht="16.2">
      <c r="A127" s="13" t="s">
        <v>79</v>
      </c>
      <c r="B127" s="13" t="s">
        <v>80</v>
      </c>
      <c r="C127" s="13">
        <v>124</v>
      </c>
      <c r="E127" s="14">
        <v>45467</v>
      </c>
      <c r="H127" s="16">
        <v>18.3</v>
      </c>
      <c r="I127" s="16">
        <v>5.3</v>
      </c>
      <c r="J127" s="16">
        <v>6.31</v>
      </c>
      <c r="P127" s="18">
        <v>9.1138087000000007E-2</v>
      </c>
      <c r="Q127" s="18">
        <v>0.40955764900000002</v>
      </c>
      <c r="R127" s="21" t="s">
        <v>50</v>
      </c>
      <c r="S127" s="21">
        <v>0.50074266300000003</v>
      </c>
      <c r="T127" s="21">
        <v>0.64675647800000002</v>
      </c>
      <c r="U127" s="21" t="s">
        <v>50</v>
      </c>
      <c r="V127" s="21">
        <v>3.3666666999999997E-2</v>
      </c>
      <c r="W127" s="18">
        <v>3.6581000000000001</v>
      </c>
      <c r="Y127" s="92">
        <v>0.28269831307838472</v>
      </c>
      <c r="Z127" s="20">
        <v>-7.1643036366621011</v>
      </c>
      <c r="AA127" s="10">
        <v>-43.215857779833136</v>
      </c>
      <c r="AB127" s="17">
        <v>0.51291994902666027</v>
      </c>
      <c r="AC127" s="18">
        <v>4.8038837658668848E-3</v>
      </c>
      <c r="AD127" s="21">
        <v>0.33075583863249702</v>
      </c>
      <c r="AE127" s="21">
        <v>0.18236941789074509</v>
      </c>
      <c r="AF127" s="21">
        <v>6.6400107152876408E-3</v>
      </c>
      <c r="AG127" s="21"/>
      <c r="AH127" s="21">
        <v>0.15897669273215501</v>
      </c>
      <c r="AI127" s="46"/>
    </row>
    <row r="128" spans="1:36" ht="16.2">
      <c r="A128" s="13" t="s">
        <v>79</v>
      </c>
      <c r="B128" s="13" t="s">
        <v>80</v>
      </c>
      <c r="C128" s="13">
        <v>125</v>
      </c>
      <c r="E128" s="14">
        <v>45477</v>
      </c>
      <c r="H128" s="16">
        <v>18.600000000000001</v>
      </c>
      <c r="I128" s="16">
        <v>5</v>
      </c>
      <c r="J128" s="16">
        <v>8.9</v>
      </c>
      <c r="P128" s="18">
        <v>8.3552547000000005E-2</v>
      </c>
      <c r="Q128" s="18">
        <v>0.44961186800000003</v>
      </c>
      <c r="R128" s="21" t="s">
        <v>50</v>
      </c>
      <c r="S128" s="21">
        <v>0.70582573000000004</v>
      </c>
      <c r="T128" s="21">
        <v>0.72148169299999998</v>
      </c>
      <c r="U128" s="21" t="s">
        <v>50</v>
      </c>
      <c r="V128" s="21">
        <v>4.0166667000000003E-2</v>
      </c>
      <c r="W128" s="18">
        <v>4.9039000000000001</v>
      </c>
      <c r="Y128" s="92">
        <v>0.28439118991293699</v>
      </c>
      <c r="Z128" s="20">
        <v>-6.158366025224951</v>
      </c>
      <c r="AA128" s="10">
        <v>-34.465252660470888</v>
      </c>
      <c r="AB128" s="17">
        <v>0.38932949815809198</v>
      </c>
      <c r="AC128" s="18">
        <v>8.1129976838039027E-3</v>
      </c>
      <c r="AD128" s="21">
        <v>0.15722061458256451</v>
      </c>
      <c r="AE128" s="21">
        <v>0.20457065608788511</v>
      </c>
      <c r="AF128" s="21">
        <v>6.7303172689534103E-3</v>
      </c>
      <c r="AG128" s="21"/>
      <c r="AH128" s="21">
        <v>0.20923129991790371</v>
      </c>
      <c r="AI128" s="46"/>
    </row>
    <row r="129" spans="1:35" ht="16.2">
      <c r="A129" s="13" t="s">
        <v>79</v>
      </c>
      <c r="B129" s="13" t="s">
        <v>80</v>
      </c>
      <c r="C129" s="13">
        <v>126</v>
      </c>
      <c r="E129" s="14">
        <v>45482</v>
      </c>
      <c r="H129" s="16">
        <v>22.5</v>
      </c>
      <c r="I129" s="16">
        <v>4.96</v>
      </c>
      <c r="J129" s="16">
        <v>10.69</v>
      </c>
      <c r="P129" s="18">
        <v>0.17483295800000001</v>
      </c>
      <c r="Q129" s="18">
        <v>0.63844214600000004</v>
      </c>
      <c r="R129" s="21" t="s">
        <v>50</v>
      </c>
      <c r="S129" s="21">
        <v>1.4205360730000001</v>
      </c>
      <c r="T129" s="21">
        <v>0.66749902699999997</v>
      </c>
      <c r="U129" s="21" t="s">
        <v>50</v>
      </c>
      <c r="V129" s="21">
        <v>0.20772222200000001</v>
      </c>
      <c r="W129" s="18">
        <v>4.4786999999999999</v>
      </c>
      <c r="Y129" s="92">
        <v>0.55887262496695911</v>
      </c>
      <c r="Z129" s="20">
        <v>-4.7524641129440566</v>
      </c>
      <c r="AA129" s="10">
        <v>-24.499803081141749</v>
      </c>
      <c r="AB129" s="17">
        <v>0.54679472600428713</v>
      </c>
      <c r="AC129" s="18">
        <v>1.434259512349652E-2</v>
      </c>
      <c r="AD129" s="21">
        <v>0.30327785970388449</v>
      </c>
      <c r="AE129" s="21">
        <v>0.23809984837677539</v>
      </c>
      <c r="AF129" s="21">
        <v>7.9125279492004517E-3</v>
      </c>
      <c r="AG129" s="21"/>
      <c r="AH129" s="21">
        <v>0.1763354192007994</v>
      </c>
      <c r="AI129" s="46"/>
    </row>
    <row r="130" spans="1:35" ht="16.2">
      <c r="A130" s="13" t="s">
        <v>79</v>
      </c>
      <c r="B130" s="13" t="s">
        <v>80</v>
      </c>
      <c r="C130" s="13">
        <v>127</v>
      </c>
      <c r="E130" s="14">
        <v>45491</v>
      </c>
      <c r="H130" s="16">
        <v>17.7</v>
      </c>
      <c r="I130" s="16">
        <v>5.38</v>
      </c>
      <c r="J130" s="16">
        <v>5.5</v>
      </c>
      <c r="P130" s="18" t="s">
        <v>50</v>
      </c>
      <c r="Q130" s="18">
        <v>0.24941654099999999</v>
      </c>
      <c r="R130" s="21" t="s">
        <v>50</v>
      </c>
      <c r="S130" s="21">
        <v>0.45037930500000001</v>
      </c>
      <c r="T130" s="21">
        <v>0.33670461699999998</v>
      </c>
      <c r="U130" s="21" t="s">
        <v>50</v>
      </c>
      <c r="V130" s="21">
        <v>0.43273668799999998</v>
      </c>
      <c r="W130" s="18">
        <v>2.3256999999999999</v>
      </c>
      <c r="Y130" s="92"/>
      <c r="Z130" s="20">
        <v>-7.4294854470845291</v>
      </c>
      <c r="AA130" s="10">
        <v>-44.077880765166881</v>
      </c>
      <c r="AB130" s="17">
        <v>0.23324696549453891</v>
      </c>
      <c r="AC130" s="18" t="s">
        <v>51</v>
      </c>
      <c r="AD130" s="21">
        <v>9.8331416645010522E-2</v>
      </c>
      <c r="AE130" s="21">
        <v>4.826423705038399E-2</v>
      </c>
      <c r="AF130" s="21">
        <v>5.8088695608419678E-3</v>
      </c>
      <c r="AG130" s="21"/>
      <c r="AH130" s="21">
        <v>0.14895865017249449</v>
      </c>
      <c r="AI130" s="46"/>
    </row>
    <row r="131" spans="1:35" ht="16.2">
      <c r="A131" s="13" t="s">
        <v>79</v>
      </c>
      <c r="B131" s="13" t="s">
        <v>80</v>
      </c>
      <c r="C131" s="13">
        <v>128</v>
      </c>
      <c r="E131" s="14">
        <v>45496</v>
      </c>
      <c r="P131" s="18">
        <v>9.2505317000000004E-2</v>
      </c>
      <c r="Q131" s="18">
        <v>1.6893155609999999</v>
      </c>
      <c r="R131" s="21">
        <v>1.307142E-2</v>
      </c>
      <c r="S131" s="21">
        <v>5.0719515999999999E-2</v>
      </c>
      <c r="T131" s="21">
        <v>0.48494368300000001</v>
      </c>
      <c r="U131" s="21">
        <v>5.5111443000000003E-2</v>
      </c>
      <c r="V131" s="21" t="s">
        <v>50</v>
      </c>
      <c r="W131" s="18">
        <v>9.6884999999999994</v>
      </c>
      <c r="Y131" s="92"/>
      <c r="Z131" s="20">
        <v>-8.9493497902907642</v>
      </c>
      <c r="AA131" s="10">
        <v>-56.493049965678878</v>
      </c>
      <c r="AB131" s="17">
        <v>0.75440688024254354</v>
      </c>
      <c r="AC131" s="18">
        <v>4.3012558122179592E-2</v>
      </c>
      <c r="AD131" s="21">
        <v>0.93685915840890055</v>
      </c>
      <c r="AE131" s="21">
        <v>4.8232269460486941E-2</v>
      </c>
      <c r="AF131" s="21">
        <v>2.5569280426438811E-2</v>
      </c>
      <c r="AG131" s="21"/>
      <c r="AH131" s="21">
        <v>0.22576736993077079</v>
      </c>
      <c r="AI131" s="46"/>
    </row>
    <row r="132" spans="1:35" ht="16.2">
      <c r="A132" s="13" t="s">
        <v>79</v>
      </c>
      <c r="B132" s="13" t="s">
        <v>80</v>
      </c>
      <c r="C132" s="13">
        <v>129</v>
      </c>
      <c r="E132" s="14">
        <v>45503</v>
      </c>
      <c r="H132" s="16">
        <v>17.8</v>
      </c>
      <c r="I132" s="16">
        <v>5.84</v>
      </c>
      <c r="J132" s="16">
        <v>2.5</v>
      </c>
      <c r="P132" s="18">
        <v>5.5069087000000003E-2</v>
      </c>
      <c r="Q132" s="18">
        <v>0.33934163000000001</v>
      </c>
      <c r="R132" s="21" t="s">
        <v>50</v>
      </c>
      <c r="S132" s="21">
        <v>8.9999999999999993E-3</v>
      </c>
      <c r="T132" s="21">
        <v>0.104790359</v>
      </c>
      <c r="U132" s="21" t="s">
        <v>50</v>
      </c>
      <c r="V132" s="21" t="s">
        <v>50</v>
      </c>
      <c r="W132" s="18">
        <v>0.4057262466169666</v>
      </c>
      <c r="Y132" s="92"/>
      <c r="Z132" s="20">
        <v>-21.232089100311459</v>
      </c>
      <c r="AA132" s="10">
        <v>-151.95866928723021</v>
      </c>
      <c r="AB132" s="17">
        <v>0.24956692492735311</v>
      </c>
      <c r="AC132" s="18" t="s">
        <v>51</v>
      </c>
      <c r="AD132" s="21">
        <v>6.7947095262351237E-2</v>
      </c>
      <c r="AE132" s="21">
        <v>1.526575620311897E-2</v>
      </c>
      <c r="AF132" s="21">
        <v>5.5945144527176534E-3</v>
      </c>
      <c r="AG132" s="21"/>
      <c r="AH132" s="21">
        <v>9.3721672298953326E-2</v>
      </c>
      <c r="AI132" s="46"/>
    </row>
    <row r="133" spans="1:35" ht="16.2">
      <c r="A133" s="13" t="s">
        <v>79</v>
      </c>
      <c r="B133" s="13" t="s">
        <v>80</v>
      </c>
      <c r="C133" s="13">
        <v>130</v>
      </c>
      <c r="E133" s="14">
        <v>45510</v>
      </c>
      <c r="H133" s="16">
        <v>17.100000000000001</v>
      </c>
      <c r="I133" s="16">
        <v>4.7</v>
      </c>
      <c r="J133" s="16">
        <v>14.19</v>
      </c>
      <c r="P133" s="18">
        <v>7.2272140999999998E-2</v>
      </c>
      <c r="Q133" s="18">
        <v>0.17797005499999999</v>
      </c>
      <c r="R133" s="21">
        <v>1.6533795E-2</v>
      </c>
      <c r="S133" s="21">
        <v>1.2693847</v>
      </c>
      <c r="T133" s="21">
        <v>1.2158709169999999</v>
      </c>
      <c r="U133" s="21" t="s">
        <v>50</v>
      </c>
      <c r="V133" s="21">
        <v>0.22768934399999999</v>
      </c>
      <c r="W133" s="18">
        <v>1.4779958097281958</v>
      </c>
      <c r="Y133" s="92"/>
      <c r="Z133" s="20">
        <v>-7.3166188087642396</v>
      </c>
      <c r="AA133" s="10">
        <v>-39.160519316420412</v>
      </c>
      <c r="AB133" s="17">
        <v>0.2040961205410004</v>
      </c>
      <c r="AC133" s="18" t="s">
        <v>51</v>
      </c>
      <c r="AD133" s="21">
        <v>0.16338888082705291</v>
      </c>
      <c r="AE133" s="21">
        <v>0.1008429444925618</v>
      </c>
      <c r="AF133" s="21">
        <v>6.1393334799705341E-3</v>
      </c>
      <c r="AG133" s="21"/>
      <c r="AH133" s="21">
        <v>0.12923404006697639</v>
      </c>
      <c r="AI133" s="46"/>
    </row>
    <row r="134" spans="1:35" ht="16.2">
      <c r="A134" s="13" t="s">
        <v>79</v>
      </c>
      <c r="B134" s="13" t="s">
        <v>80</v>
      </c>
      <c r="C134" s="13">
        <v>131</v>
      </c>
      <c r="E134" s="14">
        <v>45517</v>
      </c>
      <c r="H134" s="16">
        <v>15</v>
      </c>
      <c r="I134" s="16">
        <v>4.82</v>
      </c>
      <c r="J134" s="16">
        <v>10.67</v>
      </c>
      <c r="P134" s="18">
        <v>1.9356782999999999E-2</v>
      </c>
      <c r="Q134" s="18">
        <v>0.17696168000000001</v>
      </c>
      <c r="R134" s="21" t="s">
        <v>50</v>
      </c>
      <c r="S134" s="21">
        <v>1.030116107</v>
      </c>
      <c r="T134" s="21">
        <v>0.73571343499999997</v>
      </c>
      <c r="U134" s="21" t="s">
        <v>50</v>
      </c>
      <c r="V134" s="21">
        <v>0.16730036100000001</v>
      </c>
      <c r="W134" s="18">
        <v>1.47561058999287</v>
      </c>
      <c r="Y134" s="92"/>
      <c r="Z134" s="20">
        <v>-7.983956505240517</v>
      </c>
      <c r="AA134" s="10">
        <v>-49.507255051105084</v>
      </c>
      <c r="AB134" s="17">
        <v>0.12630039717131969</v>
      </c>
      <c r="AC134" s="18" t="s">
        <v>51</v>
      </c>
      <c r="AD134" s="21">
        <v>0.156372018483565</v>
      </c>
      <c r="AE134" s="21">
        <v>9.6456713762549648E-2</v>
      </c>
      <c r="AF134" s="21">
        <v>6.2986064568373752E-3</v>
      </c>
      <c r="AG134" s="21"/>
      <c r="AH134" s="21">
        <v>0.13327886436702549</v>
      </c>
      <c r="AI134" s="46"/>
    </row>
    <row r="135" spans="1:35" ht="16.2">
      <c r="A135" s="13" t="s">
        <v>79</v>
      </c>
      <c r="B135" s="13" t="s">
        <v>80</v>
      </c>
      <c r="C135" s="13">
        <v>132</v>
      </c>
      <c r="E135" s="14">
        <v>45524</v>
      </c>
      <c r="H135" s="16">
        <v>18.8</v>
      </c>
      <c r="I135" s="16">
        <v>5.0599999999999996</v>
      </c>
      <c r="J135" s="16">
        <v>5.1100000000000003</v>
      </c>
      <c r="P135" s="18" t="s">
        <v>50</v>
      </c>
      <c r="Q135" s="18">
        <v>8.8356784999999993E-2</v>
      </c>
      <c r="R135" s="21" t="s">
        <v>50</v>
      </c>
      <c r="S135" s="21">
        <v>0.38897932699999999</v>
      </c>
      <c r="T135" s="21">
        <v>0.22533547100000001</v>
      </c>
      <c r="U135" s="21" t="s">
        <v>50</v>
      </c>
      <c r="V135" s="21">
        <v>1.0529179E-2</v>
      </c>
      <c r="W135" s="18">
        <v>0.70657903656914689</v>
      </c>
      <c r="Y135" s="92">
        <v>0.14657036102778701</v>
      </c>
      <c r="Z135" s="20">
        <v>-8.5479244326402846</v>
      </c>
      <c r="AA135" s="10">
        <v>-54.771112489879712</v>
      </c>
      <c r="AB135" s="17">
        <v>0.1135487685241682</v>
      </c>
      <c r="AC135" s="18" t="s">
        <v>51</v>
      </c>
      <c r="AD135" s="21">
        <v>0.13907892310782091</v>
      </c>
      <c r="AE135" s="21">
        <v>3.2344352680402193E-2</v>
      </c>
      <c r="AF135" s="21">
        <v>5.858877074176449E-3</v>
      </c>
      <c r="AG135" s="21"/>
      <c r="AH135" s="21">
        <v>0.12101762521847299</v>
      </c>
      <c r="AI135" s="46"/>
    </row>
    <row r="136" spans="1:35" ht="16.2">
      <c r="A136" s="13" t="s">
        <v>79</v>
      </c>
      <c r="B136" s="13" t="s">
        <v>80</v>
      </c>
      <c r="C136" s="13">
        <v>133</v>
      </c>
      <c r="E136" s="14">
        <v>45531</v>
      </c>
      <c r="H136" s="16">
        <v>16.600000000000001</v>
      </c>
      <c r="I136" s="16">
        <v>4.6900000000000004</v>
      </c>
      <c r="J136" s="16">
        <v>10.96</v>
      </c>
      <c r="P136" s="18" t="s">
        <v>50</v>
      </c>
      <c r="Q136" s="18">
        <v>0.31722007000000002</v>
      </c>
      <c r="R136" s="21" t="s">
        <v>50</v>
      </c>
      <c r="S136" s="21">
        <v>1.1729326950000001</v>
      </c>
      <c r="T136" s="21">
        <v>0.81341229299999995</v>
      </c>
      <c r="U136" s="21" t="s">
        <v>50</v>
      </c>
      <c r="V136" s="21">
        <v>0.129172181</v>
      </c>
      <c r="W136" s="18">
        <v>0.89915050429944621</v>
      </c>
      <c r="Y136" s="92">
        <v>0.36277937764167739</v>
      </c>
      <c r="Z136" s="20">
        <v>-7.9788428064169459</v>
      </c>
      <c r="AA136" s="10">
        <v>-50.474702779855093</v>
      </c>
      <c r="AB136" s="17">
        <v>0.19879288876699591</v>
      </c>
      <c r="AC136" s="18" t="s">
        <v>51</v>
      </c>
      <c r="AD136" s="21">
        <v>9.1511831916489234E-2</v>
      </c>
      <c r="AE136" s="21">
        <v>5.8023081720273158E-2</v>
      </c>
      <c r="AF136" s="21">
        <v>6.0155542258036338E-3</v>
      </c>
      <c r="AG136" s="21"/>
      <c r="AH136" s="21">
        <v>0.12988558616302209</v>
      </c>
      <c r="AI136" s="46"/>
    </row>
    <row r="137" spans="1:35">
      <c r="A137" s="13" t="s">
        <v>79</v>
      </c>
      <c r="B137" s="13" t="s">
        <v>80</v>
      </c>
      <c r="C137" s="13">
        <v>134</v>
      </c>
      <c r="E137" s="14">
        <v>45538</v>
      </c>
      <c r="Y137" s="92"/>
      <c r="AC137" s="18"/>
      <c r="AD137" s="21"/>
      <c r="AE137" s="21"/>
      <c r="AF137" s="21"/>
      <c r="AG137" s="21"/>
      <c r="AH137" s="21"/>
    </row>
    <row r="138" spans="1:35">
      <c r="A138" s="13" t="s">
        <v>79</v>
      </c>
      <c r="B138" s="13" t="s">
        <v>80</v>
      </c>
      <c r="C138" s="13">
        <v>135</v>
      </c>
      <c r="E138" s="14">
        <v>45545</v>
      </c>
      <c r="H138" s="16">
        <v>20.9</v>
      </c>
      <c r="I138" s="16">
        <v>5.44</v>
      </c>
      <c r="J138" s="16">
        <v>6.16</v>
      </c>
      <c r="P138" s="18">
        <v>6.1458658999999999E-2</v>
      </c>
      <c r="Q138" s="18">
        <v>0.33196261500000002</v>
      </c>
      <c r="R138" s="21" t="s">
        <v>50</v>
      </c>
      <c r="S138" s="21">
        <v>0.58235403399999996</v>
      </c>
      <c r="T138" s="21">
        <v>0.39861557800000003</v>
      </c>
      <c r="U138" s="21" t="s">
        <v>50</v>
      </c>
      <c r="V138" s="21">
        <v>1.4738968E-2</v>
      </c>
      <c r="W138" s="18">
        <v>2.9749201377930889</v>
      </c>
      <c r="Y138" s="92">
        <v>0.22877964048728699</v>
      </c>
      <c r="Z138" s="20">
        <v>-9.6864529492886469</v>
      </c>
      <c r="AA138" s="10">
        <v>-62.662857366210702</v>
      </c>
      <c r="AB138" s="17">
        <v>0.25423120465523119</v>
      </c>
      <c r="AC138" s="18">
        <v>6.4200660851606644E-3</v>
      </c>
      <c r="AD138" s="21">
        <v>0.31393542889878667</v>
      </c>
      <c r="AE138" s="21">
        <v>0.21148532215539451</v>
      </c>
      <c r="AF138" s="21">
        <v>6.7135665085340654E-3</v>
      </c>
      <c r="AG138" s="21"/>
      <c r="AH138" s="21">
        <v>0.22183017839104541</v>
      </c>
    </row>
    <row r="139" spans="1:35">
      <c r="A139" s="13" t="s">
        <v>79</v>
      </c>
      <c r="B139" s="13" t="s">
        <v>80</v>
      </c>
      <c r="C139" s="13">
        <v>136</v>
      </c>
      <c r="E139" s="14">
        <v>45553</v>
      </c>
      <c r="H139" s="16">
        <v>17.600000000000001</v>
      </c>
      <c r="I139" s="16">
        <v>5.24</v>
      </c>
      <c r="J139" s="16">
        <v>7.53</v>
      </c>
      <c r="P139" s="18">
        <v>5.901646E-3</v>
      </c>
      <c r="Q139" s="18">
        <v>2.9068912650000001</v>
      </c>
      <c r="R139" s="21" t="s">
        <v>50</v>
      </c>
      <c r="S139" s="21">
        <v>6.3115876000000001E-2</v>
      </c>
      <c r="T139" s="21">
        <v>0.59704140400000005</v>
      </c>
      <c r="U139" s="21" t="s">
        <v>50</v>
      </c>
      <c r="V139" s="21" t="s">
        <v>50</v>
      </c>
      <c r="W139" s="18">
        <v>1.1521846209295181</v>
      </c>
      <c r="Y139" s="92">
        <v>9.1611698314146256E-2</v>
      </c>
      <c r="Z139" s="20">
        <v>-4.7968251265971134</v>
      </c>
      <c r="AA139" s="10">
        <v>-23.268005023888779</v>
      </c>
      <c r="AB139" s="17">
        <v>1.5624292421355996</v>
      </c>
      <c r="AC139" s="18">
        <v>0.11974412780319663</v>
      </c>
      <c r="AD139" s="21">
        <v>0.20867492092990611</v>
      </c>
      <c r="AE139" s="21">
        <v>4.5738907079918067E-2</v>
      </c>
      <c r="AF139" s="21">
        <v>8.4835330975697038E-3</v>
      </c>
      <c r="AG139" s="21"/>
      <c r="AH139" s="21">
        <v>0.22517727049996669</v>
      </c>
    </row>
    <row r="140" spans="1:35">
      <c r="A140" s="13" t="s">
        <v>79</v>
      </c>
      <c r="B140" s="13" t="s">
        <v>80</v>
      </c>
      <c r="C140" s="13">
        <v>137</v>
      </c>
      <c r="E140" s="14">
        <v>45559</v>
      </c>
      <c r="H140" s="16">
        <v>25.2</v>
      </c>
      <c r="I140" s="16">
        <v>5.41</v>
      </c>
      <c r="J140" s="16">
        <v>2.73</v>
      </c>
      <c r="P140" s="18">
        <v>2.5600000000000001E-2</v>
      </c>
      <c r="Q140" s="18">
        <v>0.20189478499999999</v>
      </c>
      <c r="R140" s="21" t="s">
        <v>50</v>
      </c>
      <c r="S140" s="21">
        <v>0.82787287700000001</v>
      </c>
      <c r="T140" s="21">
        <v>1.080033716</v>
      </c>
      <c r="U140" s="21">
        <v>2.3174459000000001E-2</v>
      </c>
      <c r="V140" s="21" t="s">
        <v>50</v>
      </c>
      <c r="W140" s="18">
        <v>0.51209244967871959</v>
      </c>
      <c r="Y140" s="92">
        <v>8.4239070215324813E-2</v>
      </c>
      <c r="Z140" s="20">
        <v>-15.314990429527287</v>
      </c>
      <c r="AA140" s="10">
        <v>-107.89191472992216</v>
      </c>
      <c r="AB140" s="17">
        <v>0.14235023874230265</v>
      </c>
      <c r="AC140" s="18" t="s">
        <v>51</v>
      </c>
      <c r="AD140" s="21">
        <v>0.13498708051534164</v>
      </c>
      <c r="AE140" s="18" t="s">
        <v>51</v>
      </c>
      <c r="AF140" s="21">
        <v>7.8569804629760789E-3</v>
      </c>
      <c r="AG140" s="21"/>
      <c r="AH140" s="21">
        <v>0.16111656400660029</v>
      </c>
    </row>
    <row r="141" spans="1:35">
      <c r="A141" s="13" t="s">
        <v>79</v>
      </c>
      <c r="B141" s="13" t="s">
        <v>80</v>
      </c>
      <c r="C141" s="13">
        <v>138</v>
      </c>
      <c r="E141" s="14">
        <v>45566</v>
      </c>
      <c r="H141" s="16">
        <v>17.399999999999999</v>
      </c>
      <c r="I141" s="16">
        <v>4.83</v>
      </c>
      <c r="J141" s="16">
        <v>9.65</v>
      </c>
      <c r="P141" s="18" t="s">
        <v>50</v>
      </c>
      <c r="Q141" s="18">
        <v>0.999237123</v>
      </c>
      <c r="R141" s="21" t="s">
        <v>50</v>
      </c>
      <c r="S141" s="21">
        <v>0.12071564999999999</v>
      </c>
      <c r="T141" s="21">
        <v>0.43614033200000002</v>
      </c>
      <c r="U141" s="21" t="s">
        <v>50</v>
      </c>
      <c r="V141" s="21">
        <v>1.1082971E-2</v>
      </c>
      <c r="W141" s="18">
        <v>0.4324457850297182</v>
      </c>
      <c r="Y141" s="92">
        <v>0.1017710828763537</v>
      </c>
      <c r="Z141" s="20">
        <v>-8.6561354529659607</v>
      </c>
      <c r="AA141" s="10">
        <v>-51.788160372001613</v>
      </c>
      <c r="AB141" s="17">
        <v>0.63746817764031227</v>
      </c>
      <c r="AC141" s="18">
        <v>2.9791347233849866E-2</v>
      </c>
      <c r="AD141" s="21">
        <v>0.14131412534077561</v>
      </c>
      <c r="AE141" s="18" t="s">
        <v>51</v>
      </c>
      <c r="AF141" s="21">
        <v>8.154502487530248E-3</v>
      </c>
      <c r="AG141" s="21"/>
      <c r="AH141" s="21">
        <v>0.16076998255383895</v>
      </c>
    </row>
    <row r="142" spans="1:35">
      <c r="A142" s="13" t="s">
        <v>79</v>
      </c>
      <c r="B142" s="13" t="s">
        <v>80</v>
      </c>
      <c r="C142" s="13">
        <v>139</v>
      </c>
      <c r="E142" s="14">
        <v>45573</v>
      </c>
      <c r="H142" s="16">
        <v>14.2</v>
      </c>
      <c r="I142" s="16">
        <v>5.52</v>
      </c>
      <c r="J142" s="16">
        <v>13.48</v>
      </c>
      <c r="P142" s="18" t="s">
        <v>50</v>
      </c>
      <c r="Q142" s="18">
        <v>0.77655770400000002</v>
      </c>
      <c r="R142" s="21" t="s">
        <v>50</v>
      </c>
      <c r="S142" s="21">
        <v>0.176823006</v>
      </c>
      <c r="T142" s="21">
        <v>0.31850983500000002</v>
      </c>
      <c r="U142" s="21" t="s">
        <v>50</v>
      </c>
      <c r="V142" s="21">
        <v>6.2097840000000003E-3</v>
      </c>
      <c r="W142" s="18">
        <v>0.29494567582609138</v>
      </c>
      <c r="Y142" s="92">
        <v>8.898130408359832E-2</v>
      </c>
      <c r="Z142" s="20">
        <v>-10.185984710698916</v>
      </c>
      <c r="AA142" s="10">
        <v>-64.389289680488261</v>
      </c>
      <c r="AB142" s="17">
        <v>0.47255094787653246</v>
      </c>
      <c r="AC142" s="18">
        <v>2.998196658511663E-3</v>
      </c>
      <c r="AD142" s="21">
        <v>7.5042155071100611E-2</v>
      </c>
      <c r="AE142" s="18" t="s">
        <v>51</v>
      </c>
      <c r="AF142" s="21">
        <v>8.0309304253346446E-3</v>
      </c>
      <c r="AG142" s="21"/>
      <c r="AH142" s="21">
        <v>0.1633337324802645</v>
      </c>
    </row>
    <row r="143" spans="1:35">
      <c r="A143" s="13" t="s">
        <v>79</v>
      </c>
      <c r="B143" s="13" t="s">
        <v>80</v>
      </c>
      <c r="C143" s="13">
        <v>140</v>
      </c>
      <c r="E143" s="14">
        <v>45580</v>
      </c>
      <c r="H143" s="16">
        <v>19</v>
      </c>
      <c r="I143" s="16">
        <v>4.34</v>
      </c>
      <c r="J143" s="16">
        <v>33.020000000000003</v>
      </c>
      <c r="P143" s="18">
        <v>0.103707164</v>
      </c>
      <c r="Q143" s="18">
        <v>3.5281075839999998</v>
      </c>
      <c r="R143" s="21" t="s">
        <v>50</v>
      </c>
      <c r="S143" s="21">
        <v>2.903463269</v>
      </c>
      <c r="T143" s="21">
        <v>1.803054213</v>
      </c>
      <c r="U143" s="21" t="s">
        <v>50</v>
      </c>
      <c r="V143" s="21">
        <v>8.3683201999999998E-2</v>
      </c>
      <c r="W143" s="18">
        <v>2.0517166527172748</v>
      </c>
      <c r="Y143" s="92">
        <v>0.71097496134827487</v>
      </c>
      <c r="Z143" s="20">
        <v>-4.6497659277550465</v>
      </c>
      <c r="AA143" s="10">
        <v>-14.231070088922372</v>
      </c>
      <c r="AB143" s="17">
        <v>1.9610039960539789</v>
      </c>
      <c r="AC143" s="18">
        <v>0.20203198886678869</v>
      </c>
      <c r="AD143" s="21">
        <v>0.27339939080529707</v>
      </c>
      <c r="AE143" s="21">
        <v>0.1323887211244128</v>
      </c>
      <c r="AF143" s="21">
        <v>9.0560072090086052E-3</v>
      </c>
      <c r="AG143" s="21"/>
      <c r="AH143" s="21">
        <v>0.18510184432372701</v>
      </c>
    </row>
    <row r="144" spans="1:35">
      <c r="A144" s="13" t="s">
        <v>79</v>
      </c>
      <c r="B144" s="13" t="s">
        <v>80</v>
      </c>
      <c r="C144" s="13">
        <v>141</v>
      </c>
      <c r="E144" s="14">
        <v>45587</v>
      </c>
      <c r="H144" s="16">
        <v>23.2</v>
      </c>
      <c r="I144" s="16">
        <v>4.78</v>
      </c>
      <c r="J144" s="16">
        <v>17.739999999999998</v>
      </c>
      <c r="P144" s="18" t="s">
        <v>50</v>
      </c>
      <c r="Q144" s="18">
        <v>2.3548121260000001</v>
      </c>
      <c r="R144" s="21" t="s">
        <v>50</v>
      </c>
      <c r="S144" s="21">
        <v>0.47117438299999997</v>
      </c>
      <c r="T144" s="21">
        <v>0.94646743600000005</v>
      </c>
      <c r="U144" s="21" t="s">
        <v>50</v>
      </c>
      <c r="V144" s="21">
        <v>1.8685914000000001E-2</v>
      </c>
      <c r="W144" s="18">
        <v>0.66566038479625</v>
      </c>
      <c r="Y144" s="92">
        <v>0.19006105883307911</v>
      </c>
      <c r="Z144" s="20">
        <v>-4.0351524210465524</v>
      </c>
      <c r="AA144" s="10">
        <v>-13.813857862548319</v>
      </c>
      <c r="AB144" s="17">
        <v>1.4238984500474392</v>
      </c>
      <c r="AC144" s="18">
        <v>0.12406040495248694</v>
      </c>
      <c r="AD144" s="21">
        <v>0.15093084926952505</v>
      </c>
      <c r="AE144" s="21">
        <v>4.4237094790228894E-2</v>
      </c>
      <c r="AF144" s="21">
        <v>8.6999981425375586E-3</v>
      </c>
      <c r="AG144" s="21"/>
      <c r="AH144" s="21">
        <v>0.16686953320272871</v>
      </c>
    </row>
    <row r="145" spans="1:34">
      <c r="A145" s="13" t="s">
        <v>79</v>
      </c>
      <c r="B145" s="13" t="s">
        <v>80</v>
      </c>
      <c r="C145" s="13">
        <v>142</v>
      </c>
      <c r="E145" s="14">
        <v>45594</v>
      </c>
      <c r="H145" s="16">
        <v>20.5</v>
      </c>
      <c r="I145" s="16">
        <v>5.5</v>
      </c>
      <c r="J145" s="16">
        <v>4.0999999999999996</v>
      </c>
      <c r="P145" s="18" t="s">
        <v>50</v>
      </c>
      <c r="Q145" s="18">
        <v>0.404784378</v>
      </c>
      <c r="R145" s="21" t="s">
        <v>50</v>
      </c>
      <c r="S145" s="21">
        <v>0.129054116</v>
      </c>
      <c r="T145" s="21">
        <v>0.22757464299999999</v>
      </c>
      <c r="U145" s="21" t="s">
        <v>50</v>
      </c>
      <c r="V145" s="21">
        <v>4.9166738000000001E-2</v>
      </c>
      <c r="W145" s="18">
        <v>0.33933483210374998</v>
      </c>
      <c r="Y145" s="92">
        <v>0.1145363501498876</v>
      </c>
      <c r="Z145" s="20">
        <v>-6.3002976729898466</v>
      </c>
      <c r="AA145" s="10">
        <v>-31.190868676605735</v>
      </c>
      <c r="AB145" s="17">
        <v>0.2379994355461979</v>
      </c>
      <c r="AC145" s="18" t="s">
        <v>51</v>
      </c>
      <c r="AD145" s="21">
        <v>9.9947063222735222E-2</v>
      </c>
      <c r="AE145" s="18" t="s">
        <v>51</v>
      </c>
      <c r="AF145" s="21">
        <v>7.8957466606691448E-3</v>
      </c>
      <c r="AG145" s="21"/>
      <c r="AH145" s="21">
        <v>0.15256857607749574</v>
      </c>
    </row>
    <row r="146" spans="1:34">
      <c r="A146" s="13" t="s">
        <v>79</v>
      </c>
      <c r="B146" s="13" t="s">
        <v>80</v>
      </c>
      <c r="C146" s="13">
        <v>143</v>
      </c>
      <c r="E146" s="14">
        <v>45601</v>
      </c>
      <c r="H146" s="16">
        <v>18.600000000000001</v>
      </c>
      <c r="I146" s="16">
        <v>5.26</v>
      </c>
      <c r="J146" s="16">
        <v>22.43</v>
      </c>
      <c r="P146" s="18">
        <v>5.4733220000000001E-3</v>
      </c>
      <c r="Q146" s="18">
        <v>4.8752430029999996</v>
      </c>
      <c r="R146" s="21" t="s">
        <v>50</v>
      </c>
      <c r="S146" s="21">
        <v>0.41091735099999999</v>
      </c>
      <c r="T146" s="21">
        <v>0.92078759700000001</v>
      </c>
      <c r="U146" s="21" t="s">
        <v>50</v>
      </c>
      <c r="V146" s="21">
        <v>2.4898759999999999E-2</v>
      </c>
      <c r="W146" s="18">
        <v>0.34794618331668697</v>
      </c>
      <c r="Y146" s="92">
        <v>0.17689678229901651</v>
      </c>
      <c r="Z146" s="20">
        <v>-12.103174167838988</v>
      </c>
      <c r="AA146" s="10">
        <v>-81.725308785376541</v>
      </c>
      <c r="AB146" s="17">
        <v>3.077955193881905</v>
      </c>
      <c r="AC146" s="18">
        <v>0.30161045872210895</v>
      </c>
      <c r="AD146" s="21">
        <v>0.18163771386613917</v>
      </c>
      <c r="AE146" s="21">
        <v>0.11301896242104356</v>
      </c>
      <c r="AF146" s="21">
        <v>9.2766567227514744E-3</v>
      </c>
      <c r="AG146" s="21"/>
      <c r="AH146" s="21">
        <v>0.15284102220246806</v>
      </c>
    </row>
    <row r="147" spans="1:34">
      <c r="A147" s="13" t="s">
        <v>79</v>
      </c>
      <c r="B147" s="13" t="s">
        <v>80</v>
      </c>
      <c r="C147" s="13">
        <v>144</v>
      </c>
      <c r="E147" s="14">
        <v>45608</v>
      </c>
      <c r="H147" s="16">
        <v>21.5</v>
      </c>
      <c r="I147" s="16">
        <v>5.3</v>
      </c>
      <c r="J147" s="16">
        <v>12.43</v>
      </c>
      <c r="P147" s="18">
        <v>3.9600000000000003E-2</v>
      </c>
      <c r="Q147" s="18">
        <v>1.8434559479999999</v>
      </c>
      <c r="R147" s="21" t="s">
        <v>50</v>
      </c>
      <c r="S147" s="21">
        <v>0.41834420300000003</v>
      </c>
      <c r="T147" s="21">
        <v>0.68869652599999998</v>
      </c>
      <c r="U147" s="21" t="s">
        <v>50</v>
      </c>
      <c r="V147" s="21">
        <v>7.4948721999999995E-2</v>
      </c>
      <c r="W147" s="18">
        <v>0.36938388857339072</v>
      </c>
      <c r="Y147" s="92">
        <v>0.1831875364722278</v>
      </c>
      <c r="Z147" s="20">
        <v>-4.8023911051243706</v>
      </c>
      <c r="AA147" s="10">
        <v>-15.613730539254544</v>
      </c>
      <c r="AB147" s="17">
        <v>1.0520215004146529</v>
      </c>
      <c r="AC147" s="18">
        <v>4.9039068011713108E-2</v>
      </c>
      <c r="AD147" s="21">
        <v>0.13493946811447918</v>
      </c>
      <c r="AE147" s="21">
        <v>9.5338788680933942E-2</v>
      </c>
      <c r="AF147" s="21">
        <v>9.587377009968253E-3</v>
      </c>
      <c r="AG147" s="21"/>
      <c r="AH147" s="21">
        <v>7.5191187386976693E-2</v>
      </c>
    </row>
    <row r="148" spans="1:34">
      <c r="A148" s="13" t="s">
        <v>79</v>
      </c>
      <c r="B148" s="13" t="s">
        <v>80</v>
      </c>
      <c r="C148" s="13">
        <v>145</v>
      </c>
      <c r="E148" s="14">
        <v>45615</v>
      </c>
      <c r="H148" s="16">
        <v>22.6</v>
      </c>
      <c r="I148" s="16">
        <v>5.52</v>
      </c>
      <c r="J148" s="16">
        <v>7.7</v>
      </c>
      <c r="P148" s="18">
        <v>2.47E-2</v>
      </c>
      <c r="Q148" s="18">
        <v>0.83808315099999997</v>
      </c>
      <c r="R148" s="21" t="s">
        <v>50</v>
      </c>
      <c r="S148" s="21">
        <v>0.137480765</v>
      </c>
      <c r="T148" s="21">
        <v>0.43572435300000001</v>
      </c>
      <c r="U148" s="21">
        <v>7.4675563E-2</v>
      </c>
      <c r="V148" s="21">
        <v>0.14653933199999999</v>
      </c>
      <c r="W148" s="18">
        <v>0.78944778155297068</v>
      </c>
      <c r="Y148" s="92">
        <v>0.89585103671199462</v>
      </c>
      <c r="Z148" s="20">
        <v>-6.2088553391926249</v>
      </c>
      <c r="AA148" s="10">
        <v>-30.833169014259092</v>
      </c>
      <c r="AB148" s="17">
        <v>0.53362167036662289</v>
      </c>
      <c r="AC148" s="18" t="s">
        <v>51</v>
      </c>
      <c r="AD148" s="21">
        <v>0.21024640853935248</v>
      </c>
      <c r="AE148" s="18" t="s">
        <v>51</v>
      </c>
      <c r="AF148" s="21">
        <v>9.1994726200499005E-3</v>
      </c>
      <c r="AG148" s="21"/>
      <c r="AH148" s="21">
        <v>8.0836723284365267E-2</v>
      </c>
    </row>
    <row r="149" spans="1:34">
      <c r="A149" s="13" t="s">
        <v>79</v>
      </c>
      <c r="B149" s="13" t="s">
        <v>80</v>
      </c>
      <c r="C149" s="13">
        <v>146</v>
      </c>
      <c r="E149" s="14">
        <v>45622</v>
      </c>
      <c r="H149" s="16">
        <v>18.7</v>
      </c>
      <c r="I149" s="16">
        <v>4.8099999999999996</v>
      </c>
      <c r="J149" s="16">
        <v>13.16</v>
      </c>
      <c r="P149" s="18" t="s">
        <v>50</v>
      </c>
      <c r="Q149" s="18">
        <v>1.6212572750000001</v>
      </c>
      <c r="R149" s="21" t="s">
        <v>50</v>
      </c>
      <c r="S149" s="21">
        <v>0.84029270499999997</v>
      </c>
      <c r="T149" s="21">
        <v>0.83579059700000002</v>
      </c>
      <c r="U149" s="21" t="s">
        <v>50</v>
      </c>
      <c r="V149" s="21">
        <v>0.13343677300000001</v>
      </c>
      <c r="W149" s="18">
        <v>0.23267158924954784</v>
      </c>
      <c r="Y149" s="92">
        <v>0.34930284972525349</v>
      </c>
      <c r="Z149" s="20">
        <v>-4.6661701345681035</v>
      </c>
      <c r="AA149" s="10">
        <v>-8.8058537528251595</v>
      </c>
      <c r="AB149" s="17">
        <v>0.78727841821619371</v>
      </c>
      <c r="AC149" s="18">
        <v>2.8281114527676097E-2</v>
      </c>
      <c r="AD149" s="21">
        <v>9.8119532743691756E-2</v>
      </c>
      <c r="AE149" s="18" t="s">
        <v>51</v>
      </c>
      <c r="AF149" s="21">
        <v>9.4061384216829434E-3</v>
      </c>
      <c r="AG149" s="21"/>
      <c r="AH149" s="21">
        <v>7.6147643488315347E-2</v>
      </c>
    </row>
    <row r="150" spans="1:34">
      <c r="A150" s="13" t="s">
        <v>79</v>
      </c>
      <c r="B150" s="13" t="s">
        <v>80</v>
      </c>
      <c r="C150" s="13">
        <v>147</v>
      </c>
      <c r="E150" s="14">
        <v>45629</v>
      </c>
      <c r="H150" s="16">
        <v>16.5</v>
      </c>
      <c r="I150" s="16">
        <v>4.63</v>
      </c>
      <c r="J150" s="16">
        <v>29.08</v>
      </c>
      <c r="P150" s="18">
        <v>1.3586384999999999E-2</v>
      </c>
      <c r="Q150" s="18">
        <v>4.1231145729999996</v>
      </c>
      <c r="R150" s="21" t="s">
        <v>50</v>
      </c>
      <c r="S150" s="21">
        <v>0.65569440499999998</v>
      </c>
      <c r="T150" s="21">
        <v>1.688153405</v>
      </c>
      <c r="U150" s="21">
        <v>4.0921759000000002E-2</v>
      </c>
      <c r="V150" s="21">
        <v>8.6197490000000002E-2</v>
      </c>
      <c r="Y150" s="92">
        <v>0.364831693673068</v>
      </c>
      <c r="Z150" s="20">
        <v>-5.2891909186858506</v>
      </c>
      <c r="AA150" s="10">
        <v>-13.394164940743842</v>
      </c>
      <c r="AB150" s="17">
        <v>2.3723653355795666</v>
      </c>
      <c r="AC150" s="18">
        <v>0.2861580701332736</v>
      </c>
      <c r="AD150" s="21">
        <v>6.375653171445432E-2</v>
      </c>
      <c r="AE150" s="21">
        <v>0.36563112953371696</v>
      </c>
      <c r="AF150" s="21">
        <v>1.0866699379387007E-2</v>
      </c>
      <c r="AG150" s="21"/>
      <c r="AH150" s="21">
        <v>0.25380613508699923</v>
      </c>
    </row>
    <row r="151" spans="1:34">
      <c r="A151" s="13" t="s">
        <v>79</v>
      </c>
      <c r="B151" s="13" t="s">
        <v>80</v>
      </c>
      <c r="C151" s="13">
        <v>147</v>
      </c>
      <c r="E151" s="14">
        <v>45636</v>
      </c>
      <c r="H151" s="16">
        <v>16.5</v>
      </c>
      <c r="I151" s="16">
        <v>4.63</v>
      </c>
      <c r="J151" s="16">
        <v>29.08</v>
      </c>
      <c r="P151" s="18">
        <v>1.5333752000000001E-2</v>
      </c>
      <c r="Q151" s="18">
        <v>3.7012959489999999</v>
      </c>
      <c r="R151" s="21" t="s">
        <v>50</v>
      </c>
      <c r="S151" s="21">
        <v>1.5463007710000001</v>
      </c>
      <c r="T151" s="21">
        <v>1.5771780099999999</v>
      </c>
      <c r="U151" s="21">
        <v>3.3597119999999999E-3</v>
      </c>
      <c r="V151" s="21">
        <v>7.5763662999999995E-2</v>
      </c>
      <c r="W151" s="18">
        <v>0.66953473320128343</v>
      </c>
      <c r="Y151" s="92">
        <v>0.55415618943051925</v>
      </c>
      <c r="Z151" s="20">
        <v>-3.9764218191880225</v>
      </c>
      <c r="AA151" s="10">
        <v>0.20379652310882879</v>
      </c>
      <c r="AB151" s="17">
        <v>2.1503057009190814</v>
      </c>
      <c r="AC151" s="18">
        <v>0.17992030945909884</v>
      </c>
      <c r="AD151" s="21">
        <v>0.15047373763434507</v>
      </c>
      <c r="AE151" s="21">
        <v>0.1302027987935766</v>
      </c>
      <c r="AF151" s="21">
        <v>1.0319847802342127E-2</v>
      </c>
      <c r="AG151" s="21"/>
      <c r="AH151" s="21">
        <v>0.10109915629591158</v>
      </c>
    </row>
    <row r="152" spans="1:34">
      <c r="A152" s="13" t="s">
        <v>79</v>
      </c>
      <c r="B152" s="13" t="s">
        <v>80</v>
      </c>
      <c r="C152" s="13">
        <v>148</v>
      </c>
      <c r="E152" s="14">
        <v>45643</v>
      </c>
      <c r="H152" s="86">
        <v>17.7</v>
      </c>
      <c r="I152" s="86">
        <v>4.0599999999999996</v>
      </c>
      <c r="J152" s="86">
        <v>61.8</v>
      </c>
      <c r="P152" s="18">
        <v>1.1031117E-2</v>
      </c>
      <c r="Q152" s="18">
        <v>4.3429429519999996</v>
      </c>
      <c r="R152" s="21" t="s">
        <v>50</v>
      </c>
      <c r="S152" s="21">
        <v>5.8554320969999996</v>
      </c>
      <c r="T152" s="21">
        <v>2.1926267780000002</v>
      </c>
      <c r="U152" s="21" t="s">
        <v>50</v>
      </c>
      <c r="V152" s="21">
        <v>0.50058282399999998</v>
      </c>
      <c r="W152" s="18">
        <v>1.2842454036596238</v>
      </c>
      <c r="Y152" s="92">
        <v>2.620899336242041</v>
      </c>
      <c r="Z152" s="20">
        <v>-3.8550676043016026</v>
      </c>
      <c r="AA152" s="10">
        <v>-0.26632574178306267</v>
      </c>
      <c r="AB152" s="17">
        <v>2.416035328205119</v>
      </c>
      <c r="AC152" s="18">
        <v>0.28510028444187291</v>
      </c>
      <c r="AD152" s="21">
        <v>0.15595092129332733</v>
      </c>
      <c r="AE152" s="21">
        <v>0.43878532993443714</v>
      </c>
      <c r="AF152" s="21">
        <v>1.176336756906664E-2</v>
      </c>
      <c r="AG152" s="21"/>
      <c r="AH152" s="21">
        <v>0.15484906270180335</v>
      </c>
    </row>
    <row r="153" spans="1:34">
      <c r="A153" s="13" t="s">
        <v>79</v>
      </c>
      <c r="B153" s="13" t="s">
        <v>80</v>
      </c>
      <c r="C153" s="13">
        <v>150</v>
      </c>
      <c r="E153" s="14">
        <v>45650</v>
      </c>
      <c r="H153" s="16">
        <v>15.7</v>
      </c>
      <c r="I153" s="16">
        <v>4.7300000000000004</v>
      </c>
      <c r="J153" s="16">
        <v>15.93</v>
      </c>
      <c r="P153" s="18">
        <v>4.0381407000000001E-2</v>
      </c>
      <c r="Q153" s="18">
        <v>1.6169530969999999</v>
      </c>
      <c r="R153" s="21" t="s">
        <v>50</v>
      </c>
      <c r="S153" s="21">
        <v>1.225749975</v>
      </c>
      <c r="T153" s="21">
        <v>0.70206128700000003</v>
      </c>
      <c r="U153" s="21" t="s">
        <v>50</v>
      </c>
      <c r="V153" s="21">
        <v>0.12141165399999999</v>
      </c>
      <c r="W153" s="18">
        <v>0.42601244753851292</v>
      </c>
      <c r="Y153" s="92">
        <v>0.47779082318607552</v>
      </c>
      <c r="Z153" s="20">
        <v>-5.1139014971832433</v>
      </c>
      <c r="AA153" s="10">
        <v>-7.0132987704608052</v>
      </c>
      <c r="AB153" s="17">
        <v>0.90116404916999515</v>
      </c>
      <c r="AC153" s="18">
        <v>4.3465486223421237E-2</v>
      </c>
      <c r="AD153" s="21">
        <v>0.17179513683926312</v>
      </c>
      <c r="AE153" s="21">
        <v>7.8299036542864492E-2</v>
      </c>
      <c r="AF153" s="21">
        <v>9.7109198014573381E-3</v>
      </c>
      <c r="AG153" s="21"/>
      <c r="AH153" s="21">
        <v>8.8748131397823407E-2</v>
      </c>
    </row>
    <row r="154" spans="1:34">
      <c r="A154" s="13" t="s">
        <v>79</v>
      </c>
      <c r="B154" s="13" t="s">
        <v>80</v>
      </c>
      <c r="C154" s="13">
        <v>151</v>
      </c>
      <c r="E154" s="14">
        <v>45657</v>
      </c>
      <c r="H154" s="86">
        <v>15.8</v>
      </c>
      <c r="I154" s="86">
        <v>4.96</v>
      </c>
      <c r="J154" s="86">
        <v>5.05</v>
      </c>
      <c r="P154" s="18">
        <v>1.0185846E-2</v>
      </c>
      <c r="Q154" s="18">
        <v>0.44826429400000001</v>
      </c>
      <c r="R154" s="21" t="s">
        <v>50</v>
      </c>
      <c r="S154" s="21">
        <v>0.54419811799999995</v>
      </c>
      <c r="T154" s="21">
        <v>0.43009609599999998</v>
      </c>
      <c r="U154" s="21" t="s">
        <v>50</v>
      </c>
      <c r="V154" s="21">
        <v>3.7856122999999998E-2</v>
      </c>
      <c r="W154" s="18">
        <v>0.48646102698326515</v>
      </c>
      <c r="Y154" s="92">
        <v>0.22476474599999999</v>
      </c>
      <c r="Z154" s="20">
        <v>-4.3601915585724287</v>
      </c>
      <c r="AA154" s="10">
        <v>-4.7136686814226643</v>
      </c>
      <c r="AB154" s="17">
        <v>0.27457924886544927</v>
      </c>
      <c r="AC154" s="18" t="s">
        <v>51</v>
      </c>
      <c r="AD154" s="21">
        <v>0.13703712470596907</v>
      </c>
      <c r="AE154" s="18" t="s">
        <v>51</v>
      </c>
      <c r="AF154" s="21">
        <v>9.2738964701872869E-3</v>
      </c>
      <c r="AG154" s="21"/>
      <c r="AH154" s="21">
        <v>0.11616878840640665</v>
      </c>
    </row>
    <row r="155" spans="1:34" ht="16.2">
      <c r="A155" s="13" t="s">
        <v>79</v>
      </c>
      <c r="B155" s="13" t="s">
        <v>80</v>
      </c>
      <c r="C155" s="13">
        <v>152</v>
      </c>
      <c r="E155" s="14">
        <v>45664</v>
      </c>
      <c r="H155" s="86">
        <v>15.7</v>
      </c>
      <c r="I155" s="86">
        <v>4.4400000000000004</v>
      </c>
      <c r="J155" s="86">
        <v>49.11</v>
      </c>
      <c r="P155" s="18">
        <v>4.9353398999999999E-2</v>
      </c>
      <c r="Q155" s="18">
        <v>7.0352512760000003</v>
      </c>
      <c r="R155" s="21" t="s">
        <v>50</v>
      </c>
      <c r="S155" s="21">
        <v>3.7796046159999999</v>
      </c>
      <c r="T155" s="21">
        <v>2.3888776530000002</v>
      </c>
      <c r="U155" s="21" t="s">
        <v>50</v>
      </c>
      <c r="V155" s="21">
        <v>0.47651501499999999</v>
      </c>
      <c r="W155" s="18">
        <v>0.98317822779930697</v>
      </c>
      <c r="Y155" s="94"/>
      <c r="Z155" s="20">
        <v>-4.3027989669167424</v>
      </c>
      <c r="AA155" s="10">
        <v>-2.7986218716701758</v>
      </c>
      <c r="AB155" s="17">
        <v>3.8364241062826174</v>
      </c>
      <c r="AC155" s="18">
        <v>0.41084425423252369</v>
      </c>
      <c r="AD155" s="21">
        <v>0.20549072041522462</v>
      </c>
      <c r="AE155" s="21">
        <v>0.46084516733359593</v>
      </c>
      <c r="AF155" s="21">
        <v>1.1769528780003211E-2</v>
      </c>
      <c r="AG155" s="21"/>
      <c r="AH155" s="21">
        <v>0.12715001651536859</v>
      </c>
    </row>
    <row r="156" spans="1:34">
      <c r="A156" s="13" t="s">
        <v>79</v>
      </c>
      <c r="B156" s="13" t="s">
        <v>80</v>
      </c>
      <c r="C156" s="13">
        <v>153</v>
      </c>
      <c r="E156" s="14">
        <v>45671</v>
      </c>
      <c r="H156" s="16">
        <v>14.9</v>
      </c>
      <c r="I156" s="16">
        <v>4.28</v>
      </c>
      <c r="J156" s="16">
        <v>60.02</v>
      </c>
      <c r="P156" s="18">
        <v>2.2018191999999999E-2</v>
      </c>
      <c r="Q156" s="18">
        <v>6.0320127179999998</v>
      </c>
      <c r="R156" s="21" t="s">
        <v>50</v>
      </c>
      <c r="S156" s="21">
        <v>7.1341020930000001</v>
      </c>
      <c r="T156" s="21">
        <v>3.048333237</v>
      </c>
      <c r="U156" s="21" t="s">
        <v>50</v>
      </c>
      <c r="V156" s="21">
        <v>1.1074072559999999</v>
      </c>
      <c r="W156" s="18">
        <v>1.2286973545999416</v>
      </c>
      <c r="Y156" s="92">
        <v>3.5019513546987131</v>
      </c>
      <c r="Z156" s="20">
        <v>-4.0791061548611474</v>
      </c>
      <c r="AA156" s="10">
        <v>5.8024942090084126</v>
      </c>
      <c r="AB156" s="17">
        <v>3.3652679327522281</v>
      </c>
      <c r="AC156" s="18">
        <v>0.39151015540574091</v>
      </c>
      <c r="AD156" s="21">
        <v>0.22611135814488076</v>
      </c>
      <c r="AE156" s="21">
        <v>0.76171043500073354</v>
      </c>
      <c r="AF156" s="21">
        <v>1.2445253116934797E-2</v>
      </c>
      <c r="AG156" s="21"/>
      <c r="AH156" s="21">
        <v>0.13009244471823109</v>
      </c>
    </row>
    <row r="157" spans="1:34">
      <c r="A157" s="13" t="s">
        <v>79</v>
      </c>
      <c r="B157" s="13" t="s">
        <v>80</v>
      </c>
      <c r="C157" s="13">
        <v>154</v>
      </c>
      <c r="E157" s="14">
        <v>45678</v>
      </c>
      <c r="H157" s="16">
        <v>17.3</v>
      </c>
      <c r="I157" s="16">
        <v>4.59</v>
      </c>
      <c r="J157" s="16">
        <v>36.96</v>
      </c>
      <c r="P157" s="18">
        <v>1.302348E-2</v>
      </c>
      <c r="Q157" s="18">
        <v>4.72321949</v>
      </c>
      <c r="R157" s="21" t="s">
        <v>50</v>
      </c>
      <c r="S157" s="21">
        <v>3.9878695550000001</v>
      </c>
      <c r="T157" s="21">
        <v>2.1656163940000002</v>
      </c>
      <c r="U157" s="21" t="s">
        <v>50</v>
      </c>
      <c r="V157" s="21">
        <v>0.18984251599999999</v>
      </c>
      <c r="W157" s="18">
        <v>1.4532538785510272</v>
      </c>
      <c r="Y157" s="92">
        <v>1.5096818271466239</v>
      </c>
      <c r="Z157" s="20">
        <v>-3.5632643069678744</v>
      </c>
      <c r="AA157" s="10">
        <v>0.35605591748793497</v>
      </c>
      <c r="AB157" s="17">
        <v>2.6765270866403408</v>
      </c>
      <c r="AC157" s="18">
        <v>0.30664551506277604</v>
      </c>
      <c r="AD157" s="21">
        <v>0.25963253546748399</v>
      </c>
      <c r="AE157" s="21">
        <v>0.60438310965228526</v>
      </c>
      <c r="AF157" s="21">
        <v>1.2203481304836132E-2</v>
      </c>
      <c r="AG157" s="21"/>
      <c r="AH157" s="21">
        <v>0.25670426248385508</v>
      </c>
    </row>
    <row r="158" spans="1:34">
      <c r="A158" s="13" t="s">
        <v>79</v>
      </c>
      <c r="B158" s="13" t="s">
        <v>80</v>
      </c>
      <c r="C158" s="13">
        <v>155</v>
      </c>
      <c r="E158" s="14">
        <v>45692</v>
      </c>
      <c r="H158" s="16">
        <v>7.8</v>
      </c>
      <c r="I158" s="16">
        <v>4.84</v>
      </c>
      <c r="J158" s="16">
        <v>12.09</v>
      </c>
      <c r="P158" s="18">
        <v>1.6702860999999999E-2</v>
      </c>
      <c r="Q158" s="18">
        <v>0.98663884899999998</v>
      </c>
      <c r="R158" s="21" t="s">
        <v>50</v>
      </c>
      <c r="S158" s="21">
        <v>0.35077975500000003</v>
      </c>
      <c r="T158" s="21">
        <v>0.72575336300000004</v>
      </c>
      <c r="U158" s="21" t="s">
        <v>50</v>
      </c>
      <c r="V158" s="21">
        <v>3.8194222999999999E-2</v>
      </c>
      <c r="W158" s="18">
        <v>0.83520525235973053</v>
      </c>
      <c r="Y158" s="92">
        <v>0.19904170540580959</v>
      </c>
      <c r="Z158" s="20">
        <v>-4.6699732581115523</v>
      </c>
      <c r="AA158" s="10">
        <v>-12.613707236072514</v>
      </c>
      <c r="AB158" s="17">
        <v>0.55940063958927766</v>
      </c>
      <c r="AC158" s="18">
        <v>5.1591040786637234E-3</v>
      </c>
      <c r="AD158" s="21">
        <v>9.9478148559892135E-2</v>
      </c>
      <c r="AE158" s="21">
        <v>5.4747457571660128E-2</v>
      </c>
      <c r="AF158" s="21">
        <v>9.4019798221368859E-3</v>
      </c>
      <c r="AG158" s="21"/>
      <c r="AH158" s="21">
        <v>0.1264209161257947</v>
      </c>
    </row>
    <row r="159" spans="1:34">
      <c r="A159" s="13" t="s">
        <v>79</v>
      </c>
      <c r="B159" s="13" t="s">
        <v>80</v>
      </c>
      <c r="C159" s="13">
        <v>156</v>
      </c>
      <c r="E159" s="14">
        <v>45699</v>
      </c>
      <c r="H159" s="16">
        <v>14.7</v>
      </c>
      <c r="I159" s="16">
        <v>4.68</v>
      </c>
      <c r="J159" s="16">
        <v>24.8</v>
      </c>
      <c r="P159" s="18">
        <v>1.37E-2</v>
      </c>
      <c r="Q159" s="18">
        <v>3.0651040250000001</v>
      </c>
      <c r="R159" s="21" t="s">
        <v>50</v>
      </c>
      <c r="S159" s="21">
        <v>1.683446164</v>
      </c>
      <c r="T159" s="21">
        <v>1.4715569770000001</v>
      </c>
      <c r="U159" s="21" t="s">
        <v>50</v>
      </c>
      <c r="V159" s="21">
        <v>0.16684258499999999</v>
      </c>
      <c r="W159" s="18">
        <v>0.70994959930415813</v>
      </c>
      <c r="Y159" s="92">
        <v>0.74036214502457154</v>
      </c>
      <c r="Z159" s="20">
        <v>-4.8234811538653153</v>
      </c>
      <c r="AA159" s="10">
        <v>-0.15615152832222723</v>
      </c>
      <c r="AB159" s="17">
        <v>1.6986304395785332</v>
      </c>
      <c r="AC159" s="18">
        <v>0.15004603664203137</v>
      </c>
      <c r="AD159" s="21">
        <v>0.15951155712876985</v>
      </c>
      <c r="AE159" s="21">
        <v>0.29026158267742558</v>
      </c>
      <c r="AF159" s="21">
        <v>1.0863882873265458E-2</v>
      </c>
      <c r="AG159" s="21"/>
      <c r="AH159" s="21">
        <v>0.11877962571984937</v>
      </c>
    </row>
    <row r="160" spans="1:34" ht="16.2">
      <c r="A160" s="13" t="s">
        <v>79</v>
      </c>
      <c r="B160" s="13" t="s">
        <v>80</v>
      </c>
      <c r="C160" s="13">
        <v>157</v>
      </c>
      <c r="E160" s="14">
        <v>45706</v>
      </c>
      <c r="H160" s="16">
        <v>16.8</v>
      </c>
      <c r="I160" s="16">
        <v>5.43</v>
      </c>
      <c r="J160" s="16">
        <v>7.66</v>
      </c>
      <c r="P160" s="18" t="s">
        <v>50</v>
      </c>
      <c r="Q160" s="18">
        <v>0.55865709600000002</v>
      </c>
      <c r="R160" s="21" t="s">
        <v>50</v>
      </c>
      <c r="S160" s="21">
        <v>0.99331612899999999</v>
      </c>
      <c r="T160" s="21">
        <v>0.59030846100000001</v>
      </c>
      <c r="U160" s="21" t="s">
        <v>50</v>
      </c>
      <c r="V160" s="21">
        <v>0.22570332500000001</v>
      </c>
      <c r="W160" s="18">
        <v>0.58632303815276976</v>
      </c>
      <c r="Y160" s="94">
        <v>0.44358684321423036</v>
      </c>
      <c r="Z160" s="20">
        <v>-7.6851587510587613</v>
      </c>
      <c r="AA160" s="10">
        <v>-39.164666212306813</v>
      </c>
      <c r="AB160" s="17">
        <v>0.36807253676844348</v>
      </c>
      <c r="AC160" s="18" t="s">
        <v>51</v>
      </c>
      <c r="AD160" s="21">
        <v>0.10068787181205639</v>
      </c>
      <c r="AE160" s="21">
        <v>4.0148484980388734E-2</v>
      </c>
      <c r="AF160" s="21">
        <v>9.5635652492245815E-3</v>
      </c>
      <c r="AG160" s="21"/>
      <c r="AH160" s="21">
        <v>0.13129345225035788</v>
      </c>
    </row>
    <row r="161" spans="1:34" ht="16.2">
      <c r="A161" s="13" t="s">
        <v>79</v>
      </c>
      <c r="B161" s="13" t="s">
        <v>80</v>
      </c>
      <c r="C161" s="13">
        <v>158</v>
      </c>
      <c r="E161" s="14">
        <v>45713</v>
      </c>
      <c r="H161" s="16">
        <v>12.5</v>
      </c>
      <c r="I161" s="16">
        <v>4.9800000000000004</v>
      </c>
      <c r="J161" s="16">
        <v>10.79</v>
      </c>
      <c r="P161" s="18">
        <v>2.76E-2</v>
      </c>
      <c r="Q161" s="18">
        <v>0.56665345499999997</v>
      </c>
      <c r="R161" s="21" t="s">
        <v>50</v>
      </c>
      <c r="S161" s="21">
        <v>0.76679968399999998</v>
      </c>
      <c r="T161" s="21">
        <v>0.77508430800000006</v>
      </c>
      <c r="U161" s="21" t="s">
        <v>50</v>
      </c>
      <c r="V161" s="21">
        <v>0.29186826799999999</v>
      </c>
      <c r="W161" s="18">
        <v>0.5440579724240221</v>
      </c>
      <c r="Y161" s="94">
        <v>0.47488155895235545</v>
      </c>
      <c r="Z161" s="20">
        <v>-4.789944518982173</v>
      </c>
      <c r="AA161" s="10">
        <v>-5.9166889749888156</v>
      </c>
      <c r="AB161" s="17">
        <v>0.3290772142723592</v>
      </c>
      <c r="AC161" s="18" t="s">
        <v>51</v>
      </c>
      <c r="AD161" s="21">
        <v>9.9473873587507894E-2</v>
      </c>
      <c r="AE161" s="18" t="s">
        <v>51</v>
      </c>
      <c r="AF161" s="21">
        <v>9.3064252491865396E-3</v>
      </c>
      <c r="AG161" s="21"/>
      <c r="AH161" s="21">
        <v>7.724320925501485E-2</v>
      </c>
    </row>
    <row r="162" spans="1:34" ht="16.2">
      <c r="A162" s="13" t="s">
        <v>79</v>
      </c>
      <c r="B162" s="13" t="s">
        <v>80</v>
      </c>
      <c r="C162" s="13">
        <v>159</v>
      </c>
      <c r="E162" s="14">
        <v>45720</v>
      </c>
      <c r="P162" s="18">
        <v>5.2900000000000003E-2</v>
      </c>
      <c r="Q162" s="18">
        <v>1.003141933</v>
      </c>
      <c r="R162" s="21" t="s">
        <v>50</v>
      </c>
      <c r="S162" s="21">
        <v>0.17800090499999999</v>
      </c>
      <c r="T162" s="21">
        <v>1.009940842</v>
      </c>
      <c r="U162" s="21">
        <v>3.7246174999999999E-2</v>
      </c>
      <c r="V162" s="21">
        <v>1.2212275999999999E-2</v>
      </c>
      <c r="Y162" s="94"/>
      <c r="Z162" s="20">
        <v>-5.0869571696737088</v>
      </c>
      <c r="AA162" s="10">
        <v>-26.340646286387585</v>
      </c>
      <c r="AB162" s="17">
        <v>0.68674932412691447</v>
      </c>
      <c r="AC162" s="18">
        <v>0.13390746164121567</v>
      </c>
      <c r="AD162" s="21">
        <v>0.10847685039700804</v>
      </c>
      <c r="AE162" s="21">
        <v>0.31863032954094012</v>
      </c>
      <c r="AF162" s="21">
        <v>6.3252671187373781E-4</v>
      </c>
      <c r="AG162" s="21"/>
      <c r="AH162" s="21">
        <v>0.48419044569196895</v>
      </c>
    </row>
    <row r="163" spans="1:34" ht="16.2">
      <c r="A163" s="13" t="s">
        <v>79</v>
      </c>
      <c r="B163" s="13" t="s">
        <v>80</v>
      </c>
      <c r="C163" s="13">
        <v>160</v>
      </c>
      <c r="E163" s="14">
        <v>45727</v>
      </c>
      <c r="H163" s="16">
        <v>18</v>
      </c>
      <c r="I163" s="16">
        <v>5.05</v>
      </c>
      <c r="J163" s="16">
        <v>12.8</v>
      </c>
      <c r="P163" s="18">
        <v>5.4600000000000003E-2</v>
      </c>
      <c r="Q163" s="18">
        <v>0.89527718499999998</v>
      </c>
      <c r="R163" s="21" t="s">
        <v>50</v>
      </c>
      <c r="S163" s="21">
        <v>0.99034832299999997</v>
      </c>
      <c r="T163" s="21">
        <v>1.0556941040000001</v>
      </c>
      <c r="U163" s="21" t="s">
        <v>50</v>
      </c>
      <c r="V163" s="21">
        <v>0.230060285</v>
      </c>
      <c r="W163" s="18">
        <v>0.72492114011656339</v>
      </c>
      <c r="Y163" s="94">
        <v>0.24023420041119156</v>
      </c>
      <c r="Z163" s="20">
        <v>-6.2080155544022801</v>
      </c>
      <c r="AA163" s="10">
        <v>-31.118670207274789</v>
      </c>
      <c r="AB163" s="17">
        <v>0.18048911562593864</v>
      </c>
      <c r="AC163" s="18">
        <v>7.9084874898720819E-2</v>
      </c>
      <c r="AD163" s="21">
        <v>0.14433519569733469</v>
      </c>
      <c r="AE163" s="21">
        <v>7.7814691889757676E-2</v>
      </c>
      <c r="AF163" s="18" t="s">
        <v>51</v>
      </c>
      <c r="AG163" s="21"/>
      <c r="AH163" s="21">
        <v>9.5199223825000956E-2</v>
      </c>
    </row>
    <row r="164" spans="1:34" ht="16.2">
      <c r="A164" s="13" t="s">
        <v>79</v>
      </c>
      <c r="B164" s="13" t="s">
        <v>80</v>
      </c>
      <c r="C164" s="13">
        <v>161</v>
      </c>
      <c r="E164" s="14">
        <v>45734</v>
      </c>
      <c r="H164" s="16">
        <v>14.9</v>
      </c>
      <c r="I164" s="16">
        <v>5.09</v>
      </c>
      <c r="J164" s="16">
        <v>12.69</v>
      </c>
      <c r="Y164" s="94">
        <v>0.44583128129360583</v>
      </c>
      <c r="Z164" s="20">
        <v>-5.9627110254426192</v>
      </c>
      <c r="AA164" s="10">
        <v>-31.994790541584521</v>
      </c>
      <c r="AB164" s="17">
        <v>0.65218123239232439</v>
      </c>
      <c r="AC164" s="18">
        <v>7.8497329336369895E-2</v>
      </c>
      <c r="AD164" s="21">
        <v>0.19729219168586598</v>
      </c>
      <c r="AE164" s="21">
        <v>0.18967894951113315</v>
      </c>
      <c r="AF164" s="21">
        <v>4.93538557773871E-4</v>
      </c>
      <c r="AG164" s="21"/>
      <c r="AH164" s="21">
        <v>0.12030291615722254</v>
      </c>
    </row>
    <row r="165" spans="1:34" ht="16.2">
      <c r="A165" s="13" t="s">
        <v>79</v>
      </c>
      <c r="B165" s="13" t="s">
        <v>80</v>
      </c>
      <c r="C165" s="13">
        <v>162</v>
      </c>
      <c r="E165" s="14">
        <v>45741</v>
      </c>
      <c r="P165" s="18">
        <v>4.4600000000000001E-2</v>
      </c>
      <c r="Q165" s="18">
        <v>1.9978456120000001</v>
      </c>
      <c r="R165" s="21">
        <v>1.5100000000000001E-2</v>
      </c>
      <c r="S165" s="21">
        <v>3.9771648630000001</v>
      </c>
      <c r="T165" s="21">
        <v>2.856992328</v>
      </c>
      <c r="U165" s="21" t="s">
        <v>50</v>
      </c>
      <c r="V165" s="21">
        <v>1.5743431619999999</v>
      </c>
      <c r="Y165" s="94"/>
      <c r="Z165" s="20">
        <v>-4.2789540885698463</v>
      </c>
      <c r="AA165" s="10">
        <v>2.1447095432882906</v>
      </c>
      <c r="AB165" s="17">
        <v>1.1838425141961069</v>
      </c>
      <c r="AC165" s="18">
        <v>0.19292965802473225</v>
      </c>
      <c r="AD165" s="21">
        <v>0.17521008981163388</v>
      </c>
      <c r="AE165" s="21">
        <v>0.55735599651074896</v>
      </c>
      <c r="AF165" s="21">
        <v>1.922584123968776E-3</v>
      </c>
      <c r="AG165" s="21"/>
      <c r="AH165" s="21">
        <v>0.51483463379133165</v>
      </c>
    </row>
    <row r="166" spans="1:34" ht="16.2">
      <c r="A166" s="13" t="s">
        <v>79</v>
      </c>
      <c r="B166" s="13" t="s">
        <v>80</v>
      </c>
      <c r="C166" s="13">
        <v>163</v>
      </c>
      <c r="E166" s="14">
        <v>45748</v>
      </c>
      <c r="H166" s="16">
        <v>11.4</v>
      </c>
      <c r="I166" s="16">
        <v>6.03</v>
      </c>
      <c r="J166" s="16">
        <v>10.84</v>
      </c>
      <c r="P166" s="18">
        <v>4.3103882000000003E-2</v>
      </c>
      <c r="Q166" s="18">
        <v>0.183690029</v>
      </c>
      <c r="R166" s="21" t="s">
        <v>50</v>
      </c>
      <c r="S166" s="21">
        <v>0.83321067000000004</v>
      </c>
      <c r="T166" s="21">
        <v>0.66737074799999996</v>
      </c>
      <c r="U166" s="21" t="s">
        <v>50</v>
      </c>
      <c r="V166" s="21">
        <v>0.34142308199999999</v>
      </c>
      <c r="W166" s="18">
        <v>1.6804106745331158</v>
      </c>
      <c r="Y166" s="94">
        <v>0.53096557822542378</v>
      </c>
      <c r="Z166" s="20">
        <v>-5.621620918508234</v>
      </c>
      <c r="AA166" s="10">
        <v>-18.212399246911204</v>
      </c>
      <c r="AB166" s="17">
        <v>0.23825939237513546</v>
      </c>
      <c r="AC166" s="18">
        <v>2.0743994460526997E-2</v>
      </c>
      <c r="AD166" s="21">
        <v>0.20475663696896093</v>
      </c>
      <c r="AE166" s="21">
        <v>3.9796260934979406E-2</v>
      </c>
      <c r="AF166" s="18" t="s">
        <v>51</v>
      </c>
      <c r="AG166" s="21"/>
      <c r="AH166" s="21">
        <v>6.4381942096122427E-2</v>
      </c>
    </row>
    <row r="167" spans="1:34" ht="16.2">
      <c r="A167" s="13" t="s">
        <v>79</v>
      </c>
      <c r="B167" s="13" t="s">
        <v>80</v>
      </c>
      <c r="C167" s="13">
        <v>164</v>
      </c>
      <c r="E167" s="14">
        <v>45755</v>
      </c>
      <c r="P167" s="18">
        <v>4.0533122999999997E-2</v>
      </c>
      <c r="Q167" s="18">
        <v>1.6916500649999999</v>
      </c>
      <c r="R167" s="21" t="s">
        <v>50</v>
      </c>
      <c r="S167" s="21">
        <v>3.3988045150000001</v>
      </c>
      <c r="T167" s="21">
        <v>2.9244292820000002</v>
      </c>
      <c r="U167" s="21" t="s">
        <v>50</v>
      </c>
      <c r="V167" s="21">
        <v>0.95561590200000002</v>
      </c>
      <c r="W167" s="18">
        <v>2.2733121810707781</v>
      </c>
      <c r="Y167" s="94">
        <v>1.3864862923746204</v>
      </c>
      <c r="Z167" s="20">
        <v>-2.2127223351150707</v>
      </c>
      <c r="AA167" s="10">
        <v>8.3402503852302061</v>
      </c>
      <c r="AB167" s="17">
        <v>0.98815950597222391</v>
      </c>
      <c r="AC167" s="18">
        <v>0.18717819925803453</v>
      </c>
      <c r="AD167" s="21">
        <v>0.33994209085503785</v>
      </c>
      <c r="AE167" s="21">
        <v>0.62218273778299482</v>
      </c>
      <c r="AF167" s="21">
        <v>2.7399063043426612E-3</v>
      </c>
      <c r="AG167" s="21"/>
      <c r="AH167" s="21">
        <v>0.1477023532138573</v>
      </c>
    </row>
    <row r="168" spans="1:34" ht="16.2">
      <c r="A168" s="13" t="s">
        <v>79</v>
      </c>
      <c r="B168" s="13" t="s">
        <v>80</v>
      </c>
      <c r="C168" s="13">
        <v>165</v>
      </c>
      <c r="E168" s="14">
        <v>45762</v>
      </c>
      <c r="H168" s="16">
        <v>14.9</v>
      </c>
      <c r="I168" s="16">
        <v>5.17</v>
      </c>
      <c r="J168" s="16">
        <v>10</v>
      </c>
      <c r="P168" s="18">
        <v>2.4202211000000001E-2</v>
      </c>
      <c r="Q168" s="18">
        <v>0.250615537</v>
      </c>
      <c r="R168" s="21" t="s">
        <v>50</v>
      </c>
      <c r="S168" s="21">
        <v>1.2352909489999999</v>
      </c>
      <c r="T168" s="21">
        <v>0.84149648300000002</v>
      </c>
      <c r="U168" s="21" t="s">
        <v>50</v>
      </c>
      <c r="V168" s="21">
        <v>0.29146909500000001</v>
      </c>
      <c r="W168" s="18">
        <v>1.3030360994412871</v>
      </c>
      <c r="Y168" s="94">
        <v>0.53622266315834877</v>
      </c>
      <c r="Z168" s="20">
        <v>-7.0063399534111346</v>
      </c>
      <c r="AA168" s="10">
        <v>-43.341560672114682</v>
      </c>
      <c r="AB168" s="17">
        <v>0.26538116248664984</v>
      </c>
      <c r="AC168" s="18">
        <v>4.0325887475440636E-2</v>
      </c>
      <c r="AD168" s="21">
        <v>0.19915360812016747</v>
      </c>
      <c r="AE168" s="21">
        <v>0.11096044308266594</v>
      </c>
      <c r="AF168" s="18" t="s">
        <v>51</v>
      </c>
      <c r="AG168" s="21"/>
      <c r="AH168" s="21">
        <v>0.14210225997858439</v>
      </c>
    </row>
    <row r="169" spans="1:34" ht="16.2">
      <c r="A169" s="13" t="s">
        <v>79</v>
      </c>
      <c r="B169" s="13" t="s">
        <v>80</v>
      </c>
      <c r="C169" s="13">
        <v>166</v>
      </c>
      <c r="E169" s="14">
        <v>45769</v>
      </c>
      <c r="P169" s="18">
        <v>2.4164320999999999E-2</v>
      </c>
      <c r="Q169" s="18">
        <v>0.394863193</v>
      </c>
      <c r="R169" s="21" t="s">
        <v>50</v>
      </c>
      <c r="S169" s="21">
        <v>0.98630027499999995</v>
      </c>
      <c r="T169" s="21">
        <v>0.48292590899999999</v>
      </c>
      <c r="U169" s="21">
        <v>5.5720476999999997E-2</v>
      </c>
      <c r="V169" s="21">
        <v>0.326807662</v>
      </c>
      <c r="W169" s="18">
        <v>2.2636078150325947</v>
      </c>
      <c r="Y169" s="94">
        <v>0.60456476728637365</v>
      </c>
      <c r="Z169" s="20">
        <v>-7.7782982874025564</v>
      </c>
      <c r="AA169" s="10">
        <v>-48.220101238702711</v>
      </c>
      <c r="AB169" s="17">
        <v>0.31581763365267773</v>
      </c>
      <c r="AC169" s="18">
        <v>7.7005496530504883E-2</v>
      </c>
      <c r="AD169" s="21">
        <v>0.22873560660114628</v>
      </c>
      <c r="AE169" s="21">
        <v>0.25507021194587221</v>
      </c>
      <c r="AF169" s="21">
        <v>3.2303501495572091E-6</v>
      </c>
      <c r="AG169" s="21"/>
      <c r="AH169" s="21">
        <v>0.1528076002196683</v>
      </c>
    </row>
    <row r="170" spans="1:34">
      <c r="A170" s="13" t="s">
        <v>79</v>
      </c>
      <c r="B170" s="13" t="s">
        <v>80</v>
      </c>
      <c r="C170" s="13">
        <v>167</v>
      </c>
      <c r="E170" s="14">
        <v>45776</v>
      </c>
      <c r="H170" s="16">
        <v>19.5</v>
      </c>
      <c r="I170" s="16">
        <v>4.63</v>
      </c>
      <c r="J170" s="16">
        <v>31.66</v>
      </c>
      <c r="W170" s="18">
        <v>1.3157436111280172</v>
      </c>
      <c r="Y170" s="92">
        <v>0.93704203215597992</v>
      </c>
      <c r="Z170" s="20">
        <v>-3.6344873601057568</v>
      </c>
      <c r="AA170" s="10">
        <v>-10.84549115754495</v>
      </c>
      <c r="AB170" s="17">
        <v>0.23927109896381296</v>
      </c>
      <c r="AC170" s="18">
        <v>3.3012776377777261E-2</v>
      </c>
      <c r="AD170" s="21">
        <v>0.14399313229573726</v>
      </c>
      <c r="AE170" s="21">
        <v>8.5502585700130099E-2</v>
      </c>
      <c r="AF170" s="18" t="s">
        <v>51</v>
      </c>
      <c r="AG170" s="21"/>
      <c r="AH170" s="21">
        <v>0.14491431036529759</v>
      </c>
    </row>
    <row r="171" spans="1:34">
      <c r="A171" s="13" t="s">
        <v>79</v>
      </c>
      <c r="B171" s="13" t="s">
        <v>80</v>
      </c>
      <c r="C171" s="13">
        <v>168</v>
      </c>
      <c r="E171" s="14">
        <v>45783</v>
      </c>
      <c r="H171" s="16">
        <v>19.5</v>
      </c>
      <c r="I171" s="16">
        <v>4.63</v>
      </c>
      <c r="J171" s="16">
        <v>31.66</v>
      </c>
      <c r="P171" s="18">
        <v>3.5207187000000001E-2</v>
      </c>
      <c r="Q171" s="18">
        <v>1.9703484499999999</v>
      </c>
      <c r="R171" s="21" t="s">
        <v>50</v>
      </c>
      <c r="S171" s="21">
        <v>3.4250531629999998</v>
      </c>
      <c r="T171" s="21">
        <v>2.429463991</v>
      </c>
      <c r="U171" s="21">
        <v>2.9421968999999999E-2</v>
      </c>
      <c r="V171" s="21">
        <v>0.24023624099999999</v>
      </c>
      <c r="W171" s="18">
        <v>1.4579288018085748</v>
      </c>
      <c r="Y171" s="92">
        <v>1.118238005224816</v>
      </c>
      <c r="Z171" s="20">
        <v>-2.6372493566615853</v>
      </c>
      <c r="AA171" s="10">
        <v>-3.1657540355190665</v>
      </c>
      <c r="AB171" s="17">
        <v>1.2251088252543618</v>
      </c>
      <c r="AC171" s="18">
        <v>0.20312885659228372</v>
      </c>
      <c r="AD171" s="21">
        <v>0.16442604518332479</v>
      </c>
      <c r="AE171" s="21">
        <v>0.63787852003390721</v>
      </c>
      <c r="AF171" s="21">
        <v>1.8476253317169828E-3</v>
      </c>
      <c r="AG171" s="21"/>
      <c r="AH171" s="21">
        <v>0.2131435082274887</v>
      </c>
    </row>
    <row r="172" spans="1:34">
      <c r="A172" s="13" t="s">
        <v>79</v>
      </c>
      <c r="B172" s="13" t="s">
        <v>80</v>
      </c>
      <c r="C172" s="13">
        <v>169</v>
      </c>
      <c r="E172" s="14">
        <v>45790</v>
      </c>
      <c r="H172" s="16">
        <v>16.8</v>
      </c>
      <c r="I172" s="16">
        <v>5.23</v>
      </c>
      <c r="J172" s="16">
        <v>5.7</v>
      </c>
      <c r="P172" s="18">
        <v>2.7294019999999999E-2</v>
      </c>
      <c r="Q172" s="18">
        <v>0.177252507</v>
      </c>
      <c r="R172" s="21" t="s">
        <v>50</v>
      </c>
      <c r="S172" s="21">
        <v>0.528199741</v>
      </c>
      <c r="T172" s="21">
        <v>0.33410747600000001</v>
      </c>
      <c r="U172" s="21" t="s">
        <v>50</v>
      </c>
      <c r="V172" s="21">
        <v>2.4932686999999999E-2</v>
      </c>
      <c r="W172" s="18">
        <v>0.37626656562086025</v>
      </c>
      <c r="Y172" s="92">
        <v>0.22778922328653656</v>
      </c>
      <c r="Z172" s="20">
        <v>-6.7920739566871866</v>
      </c>
      <c r="AA172" s="10">
        <v>-37.647939582467593</v>
      </c>
      <c r="AB172" s="17">
        <v>0.20624779819007572</v>
      </c>
      <c r="AC172" s="18">
        <v>2.5211629028281654E-2</v>
      </c>
      <c r="AD172" s="21">
        <v>0.11398522736918495</v>
      </c>
      <c r="AE172" s="21">
        <v>0.10689446758960269</v>
      </c>
      <c r="AF172" s="18" t="s">
        <v>51</v>
      </c>
      <c r="AG172" s="21"/>
      <c r="AH172" s="21">
        <v>7.7462574941203871E-2</v>
      </c>
    </row>
    <row r="173" spans="1:34">
      <c r="A173" s="13" t="s">
        <v>79</v>
      </c>
      <c r="B173" s="13" t="s">
        <v>80</v>
      </c>
      <c r="C173" s="13">
        <v>170</v>
      </c>
      <c r="E173" s="14">
        <v>45797</v>
      </c>
      <c r="H173" s="16">
        <v>20.2</v>
      </c>
      <c r="I173" s="16">
        <v>5.63</v>
      </c>
      <c r="J173" s="16">
        <v>13.94</v>
      </c>
      <c r="P173" s="18">
        <v>3.1800294E-2</v>
      </c>
      <c r="Q173" s="18">
        <v>0.45457199999999998</v>
      </c>
      <c r="R173" s="21">
        <v>3.0617037999999999E-2</v>
      </c>
      <c r="S173" s="21">
        <v>2.399307071</v>
      </c>
      <c r="T173" s="21">
        <v>1.0174909759999999</v>
      </c>
      <c r="U173" s="21">
        <v>5.9805862000000001E-2</v>
      </c>
      <c r="V173" s="21">
        <v>0.42343450599999999</v>
      </c>
      <c r="W173" s="18">
        <v>2.5825122775904856</v>
      </c>
      <c r="Y173" s="92">
        <v>1.0095204213835143</v>
      </c>
      <c r="Z173" s="20">
        <v>-3.2613855115877581</v>
      </c>
      <c r="AA173" s="10">
        <v>-10.755128967584872</v>
      </c>
      <c r="AB173" s="17">
        <v>0.35493033013102698</v>
      </c>
      <c r="AC173" s="18">
        <v>0.10428367530891076</v>
      </c>
      <c r="AD173" s="21">
        <v>0.14270698266133319</v>
      </c>
      <c r="AE173" s="21">
        <v>0.43326641401320237</v>
      </c>
      <c r="AF173" s="21">
        <v>2.587174489008609E-3</v>
      </c>
      <c r="AG173" s="21"/>
      <c r="AH173" s="21">
        <v>0.27648283088345094</v>
      </c>
    </row>
    <row r="174" spans="1:34">
      <c r="A174" s="13" t="s">
        <v>79</v>
      </c>
      <c r="B174" s="13" t="s">
        <v>80</v>
      </c>
      <c r="C174" s="13">
        <v>171</v>
      </c>
      <c r="E174" s="14">
        <v>45804</v>
      </c>
      <c r="H174" s="16">
        <v>16.7</v>
      </c>
      <c r="I174" s="16">
        <v>5.72</v>
      </c>
      <c r="J174" s="16">
        <v>11.55</v>
      </c>
      <c r="W174" s="18">
        <v>1.0079045598275262</v>
      </c>
      <c r="Y174" s="92">
        <v>0.44253904986487763</v>
      </c>
      <c r="Z174" s="20">
        <v>-6.1519840635060667</v>
      </c>
      <c r="AA174" s="10">
        <v>-30.350214503653106</v>
      </c>
      <c r="AB174" s="17">
        <v>0.3424383104372915</v>
      </c>
      <c r="AC174" s="18">
        <v>2.8983038477327056E-2</v>
      </c>
      <c r="AD174" s="21">
        <v>0.15471173169017413</v>
      </c>
      <c r="AE174" s="21">
        <v>0.11376777580079196</v>
      </c>
      <c r="AF174" s="21">
        <v>8.7292456901765165E-4</v>
      </c>
      <c r="AG174" s="21"/>
      <c r="AH174" s="21">
        <v>0.13577993343570557</v>
      </c>
    </row>
    <row r="175" spans="1:34">
      <c r="A175" s="13" t="s">
        <v>79</v>
      </c>
      <c r="B175" s="13" t="s">
        <v>80</v>
      </c>
      <c r="C175" s="13">
        <v>172</v>
      </c>
      <c r="E175" s="14">
        <v>45811</v>
      </c>
      <c r="H175" s="16">
        <v>17.600000000000001</v>
      </c>
      <c r="I175" s="16">
        <v>5.15</v>
      </c>
      <c r="J175" s="16">
        <v>4.66</v>
      </c>
      <c r="P175" s="18">
        <v>4.9309891000000002E-2</v>
      </c>
      <c r="Q175" s="18">
        <v>0.21235025900000001</v>
      </c>
      <c r="R175" s="21" t="s">
        <v>50</v>
      </c>
      <c r="S175" s="21">
        <v>0.310227539</v>
      </c>
      <c r="T175" s="21">
        <v>0.19970049100000001</v>
      </c>
      <c r="U175" s="21" t="s">
        <v>50</v>
      </c>
      <c r="V175" s="21" t="s">
        <v>50</v>
      </c>
      <c r="W175" s="18">
        <v>0.45096720710678029</v>
      </c>
      <c r="Y175" s="92">
        <v>0.15259967236719915</v>
      </c>
      <c r="Z175" s="20">
        <v>-9.2745172145010866</v>
      </c>
      <c r="AA175" s="10">
        <v>-58.768579226051692</v>
      </c>
      <c r="AB175" s="17">
        <v>0.15490989626727078</v>
      </c>
      <c r="AC175" s="18" t="s">
        <v>51</v>
      </c>
      <c r="AD175" s="21">
        <v>0.11471004183687311</v>
      </c>
      <c r="AE175" s="21">
        <v>4.0607687684998804E-2</v>
      </c>
      <c r="AF175" s="21">
        <v>4.755278736653664E-4</v>
      </c>
      <c r="AG175" s="21"/>
      <c r="AH175" s="21">
        <v>0.13287673380008169</v>
      </c>
    </row>
    <row r="176" spans="1:34">
      <c r="A176" s="13" t="s">
        <v>79</v>
      </c>
      <c r="B176" s="13" t="s">
        <v>80</v>
      </c>
      <c r="C176" s="13">
        <v>173</v>
      </c>
      <c r="E176" s="14">
        <v>45818</v>
      </c>
      <c r="H176" s="16">
        <v>15.4</v>
      </c>
      <c r="I176" s="16">
        <v>5.46</v>
      </c>
      <c r="J176" s="16">
        <v>5.41</v>
      </c>
      <c r="P176" s="18">
        <v>3.8875653000000003E-2</v>
      </c>
      <c r="Q176" s="18">
        <v>0.16530631500000001</v>
      </c>
      <c r="R176" s="21" t="s">
        <v>50</v>
      </c>
      <c r="S176" s="21">
        <v>0.49699736999999999</v>
      </c>
      <c r="T176" s="21">
        <v>0.318380522</v>
      </c>
      <c r="U176" s="21" t="s">
        <v>50</v>
      </c>
      <c r="V176" s="21">
        <v>3.2084202999999999E-2</v>
      </c>
      <c r="W176" s="18">
        <v>0.56649434354892414</v>
      </c>
      <c r="Y176" s="92">
        <v>0.19837957407735893</v>
      </c>
      <c r="Z176" s="20">
        <v>-8.146150340618453</v>
      </c>
      <c r="AA176" s="10">
        <v>-51.043773858130322</v>
      </c>
      <c r="AB176" s="17">
        <v>0.20668889894455331</v>
      </c>
      <c r="AC176" s="18" t="s">
        <v>51</v>
      </c>
      <c r="AD176" s="21">
        <v>6.5190018428208818E-2</v>
      </c>
      <c r="AE176" s="21">
        <v>6.5868151995287727E-2</v>
      </c>
      <c r="AF176" s="21">
        <v>6.7651019616746905E-4</v>
      </c>
      <c r="AG176" s="21"/>
      <c r="AH176" s="21">
        <v>0.13707519144382102</v>
      </c>
    </row>
    <row r="177" spans="1:34">
      <c r="A177" s="13" t="s">
        <v>79</v>
      </c>
      <c r="B177" s="13" t="s">
        <v>80</v>
      </c>
      <c r="C177" s="13">
        <v>174</v>
      </c>
      <c r="E177" s="14">
        <v>45825</v>
      </c>
      <c r="H177" s="16">
        <v>18.8</v>
      </c>
      <c r="I177" s="16">
        <v>5.77</v>
      </c>
      <c r="J177" s="16">
        <v>9.69</v>
      </c>
      <c r="P177" s="18">
        <v>4.7342052000000003E-2</v>
      </c>
      <c r="Q177" s="18">
        <v>0.48806940599999998</v>
      </c>
      <c r="R177" s="21">
        <v>1.6605321999999999E-2</v>
      </c>
      <c r="S177" s="21">
        <v>0.30497645200000001</v>
      </c>
      <c r="T177" s="21">
        <v>0.79323892500000004</v>
      </c>
      <c r="U177" s="21">
        <v>7.5797780999999995E-2</v>
      </c>
      <c r="V177" s="21" t="s">
        <v>50</v>
      </c>
      <c r="W177" s="18">
        <v>2.6716613417967561</v>
      </c>
      <c r="Y177" s="92">
        <v>0.24294776623026046</v>
      </c>
      <c r="Z177" s="20">
        <v>-11.169042502750328</v>
      </c>
      <c r="AA177" s="10">
        <v>-74.921936370396622</v>
      </c>
      <c r="AB177" s="17">
        <v>0.26754444794770949</v>
      </c>
      <c r="AC177" s="18">
        <v>0.11795226371416036</v>
      </c>
      <c r="AD177" s="21">
        <v>0.69050431351038311</v>
      </c>
      <c r="AE177" s="21">
        <v>0.34513651572502624</v>
      </c>
      <c r="AF177" s="21">
        <v>1.7801001341684261E-3</v>
      </c>
      <c r="AG177" s="21"/>
      <c r="AH177" s="21">
        <v>0.27612419546222355</v>
      </c>
    </row>
    <row r="178" spans="1:34">
      <c r="A178" s="13" t="s">
        <v>79</v>
      </c>
      <c r="B178" s="13" t="s">
        <v>80</v>
      </c>
      <c r="C178" s="13">
        <v>175</v>
      </c>
      <c r="E178" s="14">
        <v>45832</v>
      </c>
      <c r="H178" s="16">
        <v>16.600000000000001</v>
      </c>
      <c r="I178" s="16">
        <v>5.5</v>
      </c>
      <c r="J178" s="16">
        <v>5.9</v>
      </c>
      <c r="P178" s="18">
        <v>4.8773196999999997E-2</v>
      </c>
      <c r="Q178" s="18">
        <v>0.227162106</v>
      </c>
      <c r="R178" s="21">
        <v>1.418108E-2</v>
      </c>
      <c r="S178" s="21">
        <v>0.42835487900000002</v>
      </c>
      <c r="T178" s="21">
        <v>0.278015126</v>
      </c>
      <c r="U178" s="21" t="s">
        <v>50</v>
      </c>
      <c r="V178" s="21" t="s">
        <v>50</v>
      </c>
      <c r="W178" s="18">
        <v>2.0458710448144113</v>
      </c>
      <c r="Y178" s="92">
        <v>0.23282494263733297</v>
      </c>
      <c r="Z178" s="20">
        <v>-5.5174460094282729</v>
      </c>
      <c r="AA178" s="10">
        <v>-31.274258313104106</v>
      </c>
      <c r="AB178" s="17">
        <v>0.25146140359397495</v>
      </c>
      <c r="AC178" s="18">
        <v>1.872575592080232E-2</v>
      </c>
      <c r="AD178" s="21">
        <v>8.6991309387197041E-2</v>
      </c>
      <c r="AE178" s="21">
        <v>0.17192166570484227</v>
      </c>
      <c r="AF178" s="21">
        <v>9.0334100109342081E-4</v>
      </c>
      <c r="AG178" s="21"/>
      <c r="AH178" s="21">
        <v>0.2764694545868559</v>
      </c>
    </row>
    <row r="179" spans="1:34">
      <c r="A179" s="13" t="s">
        <v>79</v>
      </c>
      <c r="B179" s="13" t="s">
        <v>80</v>
      </c>
      <c r="C179" s="13">
        <v>176</v>
      </c>
      <c r="E179" s="14">
        <v>45839</v>
      </c>
      <c r="H179" s="16">
        <v>20.2</v>
      </c>
      <c r="I179" s="16">
        <v>6.34</v>
      </c>
      <c r="J179" s="16">
        <v>76.3</v>
      </c>
      <c r="W179" s="18">
        <v>2.078344837459249</v>
      </c>
      <c r="Y179" s="92"/>
    </row>
    <row r="180" spans="1:34">
      <c r="A180" s="13" t="s">
        <v>79</v>
      </c>
      <c r="B180" s="13" t="s">
        <v>80</v>
      </c>
      <c r="C180" s="13">
        <v>177</v>
      </c>
      <c r="E180" s="14">
        <v>45846</v>
      </c>
      <c r="H180" s="16">
        <v>24.6</v>
      </c>
      <c r="I180" s="16">
        <v>6.08</v>
      </c>
      <c r="J180" s="16">
        <v>3.97</v>
      </c>
      <c r="P180" s="18">
        <v>9.0042649999999991E-3</v>
      </c>
      <c r="Q180" s="18">
        <v>0.37281830999999999</v>
      </c>
      <c r="R180" s="21">
        <v>4.1999999999999997E-3</v>
      </c>
      <c r="S180" s="21">
        <v>1.78E-2</v>
      </c>
      <c r="T180" s="21">
        <v>0.110205605</v>
      </c>
      <c r="U180" s="21">
        <v>2.4878147E-2</v>
      </c>
      <c r="V180" s="21" t="s">
        <v>50</v>
      </c>
      <c r="W180" s="18">
        <v>1.1792572241998138</v>
      </c>
      <c r="Y180" s="92">
        <v>0.15418502202643181</v>
      </c>
      <c r="Z180" s="20">
        <v>-17.818395384553327</v>
      </c>
      <c r="AA180" s="10">
        <v>-131.9729368434723</v>
      </c>
      <c r="AB180" s="17">
        <v>0.28424651496984077</v>
      </c>
      <c r="AC180" s="18">
        <v>1.4422221806438724E-2</v>
      </c>
      <c r="AD180" s="21">
        <v>2.3467732333238758E-2</v>
      </c>
      <c r="AE180" s="21">
        <v>0.13727473917392552</v>
      </c>
      <c r="AF180" s="21">
        <v>4.1328363130619625E-4</v>
      </c>
      <c r="AG180" s="21"/>
      <c r="AH180" s="21">
        <v>0.20925059410125432</v>
      </c>
    </row>
    <row r="181" spans="1:34">
      <c r="A181" s="13" t="s">
        <v>79</v>
      </c>
      <c r="B181" s="13" t="s">
        <v>80</v>
      </c>
      <c r="C181" s="13">
        <v>178</v>
      </c>
      <c r="E181" s="14">
        <v>45853</v>
      </c>
      <c r="H181" s="16">
        <v>17</v>
      </c>
      <c r="I181" s="16">
        <v>5.14</v>
      </c>
      <c r="J181" s="16">
        <v>5.28</v>
      </c>
      <c r="P181" s="18">
        <v>3.5564067999999997E-2</v>
      </c>
      <c r="Q181" s="18">
        <v>0.113917848</v>
      </c>
      <c r="R181" s="21" t="s">
        <v>50</v>
      </c>
      <c r="S181" s="21">
        <v>0.46378623200000002</v>
      </c>
      <c r="T181" s="21">
        <v>0.38721507700000002</v>
      </c>
      <c r="U181" s="21">
        <v>4.2404391999999999E-2</v>
      </c>
      <c r="V181" s="21">
        <v>2.4410457999999999E-2</v>
      </c>
      <c r="W181" s="18">
        <v>1.14582539462102</v>
      </c>
      <c r="Y181" s="92">
        <v>0.22026431718061681</v>
      </c>
      <c r="Z181" s="20">
        <v>-9.3990684505800175</v>
      </c>
      <c r="AA181" s="10">
        <v>-67.670870854059729</v>
      </c>
      <c r="AB181" s="17">
        <v>6.1051023923245178E-2</v>
      </c>
      <c r="AC181" s="18">
        <v>2.9020409206116688E-3</v>
      </c>
      <c r="AD181" s="21">
        <v>1.1938995689674048E-2</v>
      </c>
      <c r="AE181" s="21">
        <v>8.2561041644756611E-2</v>
      </c>
      <c r="AF181" s="21">
        <v>3.6098984940539312E-4</v>
      </c>
      <c r="AG181" s="21"/>
      <c r="AH181" s="21">
        <v>0.20241098300895227</v>
      </c>
    </row>
    <row r="182" spans="1:34">
      <c r="A182" s="13" t="s">
        <v>79</v>
      </c>
      <c r="B182" s="13" t="s">
        <v>80</v>
      </c>
      <c r="C182" s="13">
        <v>179</v>
      </c>
      <c r="E182" s="14">
        <v>45860</v>
      </c>
      <c r="G182"/>
      <c r="H182" s="16">
        <v>18.899999999999999</v>
      </c>
      <c r="I182" s="16">
        <v>5.67</v>
      </c>
      <c r="J182" s="16">
        <v>6.54</v>
      </c>
      <c r="P182" s="18">
        <v>4.4894418999999998E-2</v>
      </c>
      <c r="Q182" s="18">
        <v>1.074920726</v>
      </c>
      <c r="R182" s="21" t="s">
        <v>50</v>
      </c>
      <c r="S182" s="21">
        <v>7.3986180999999998E-2</v>
      </c>
      <c r="T182" s="21">
        <v>0.277803303</v>
      </c>
      <c r="U182" s="21" t="s">
        <v>50</v>
      </c>
      <c r="V182" s="21" t="s">
        <v>50</v>
      </c>
      <c r="W182" s="18">
        <v>0.45866002846551879</v>
      </c>
      <c r="Y182" s="92">
        <v>0.12114537444933925</v>
      </c>
      <c r="Z182" s="20">
        <v>-12.643459837954962</v>
      </c>
      <c r="AA182" s="10">
        <v>-86.483197539948094</v>
      </c>
      <c r="AB182" s="17">
        <v>0.64889188830342592</v>
      </c>
      <c r="AC182" s="18">
        <v>5.629015408017092E-2</v>
      </c>
      <c r="AD182" s="21">
        <v>8.0833825191893194E-2</v>
      </c>
      <c r="AE182" s="21">
        <v>9.1481429448518184E-2</v>
      </c>
      <c r="AF182" s="21">
        <v>7.3345558718485666E-4</v>
      </c>
      <c r="AG182" s="21"/>
      <c r="AH182" s="21">
        <v>0.10977623951200587</v>
      </c>
    </row>
    <row r="183" spans="1:34">
      <c r="A183" s="13" t="s">
        <v>79</v>
      </c>
      <c r="B183" s="13" t="s">
        <v>80</v>
      </c>
      <c r="C183" s="13">
        <v>180</v>
      </c>
      <c r="E183" s="14">
        <v>45867</v>
      </c>
      <c r="G183"/>
      <c r="H183" s="16">
        <v>17</v>
      </c>
      <c r="I183" s="16">
        <v>5.56</v>
      </c>
      <c r="J183" s="16">
        <v>3.86</v>
      </c>
      <c r="P183" s="18">
        <v>2.0485162000000001E-2</v>
      </c>
      <c r="Q183" s="18">
        <v>0.62881419800000005</v>
      </c>
      <c r="R183" s="21" t="s">
        <v>50</v>
      </c>
      <c r="S183" s="21">
        <v>2.8500000000000001E-2</v>
      </c>
      <c r="T183" s="21">
        <v>0.23125184900000001</v>
      </c>
      <c r="U183" s="21">
        <v>7.2866676000000005E-2</v>
      </c>
      <c r="V183" s="21" t="s">
        <v>50</v>
      </c>
      <c r="W183" s="18">
        <v>0.49662251301724947</v>
      </c>
      <c r="Y183" s="92">
        <v>9.9118942731277568E-2</v>
      </c>
      <c r="Z183" s="20">
        <v>-8.4925374269028282</v>
      </c>
      <c r="AA183" s="10">
        <v>-54.983347592119422</v>
      </c>
      <c r="AB183" s="17">
        <v>0.38068402575146404</v>
      </c>
      <c r="AC183" s="18">
        <v>1.6635050310682888E-2</v>
      </c>
      <c r="AD183" s="21">
        <v>3.6854024967226562E-2</v>
      </c>
      <c r="AE183" s="21">
        <v>6.0788195862553213E-2</v>
      </c>
      <c r="AF183" s="21">
        <v>4.0852998434614477E-4</v>
      </c>
      <c r="AG183" s="21"/>
      <c r="AH183" s="21">
        <v>0.13393615273231968</v>
      </c>
    </row>
    <row r="184" spans="1:34">
      <c r="A184" s="13" t="s">
        <v>79</v>
      </c>
      <c r="B184" s="13" t="s">
        <v>80</v>
      </c>
      <c r="C184" s="13">
        <v>181</v>
      </c>
      <c r="E184" s="14">
        <v>45875</v>
      </c>
      <c r="G184"/>
      <c r="H184" s="16">
        <v>20.100000000000001</v>
      </c>
      <c r="I184" s="16">
        <v>6.07</v>
      </c>
      <c r="J184" s="16">
        <v>4.8899999999999997</v>
      </c>
      <c r="P184" s="18">
        <v>4.8301643999999998E-2</v>
      </c>
      <c r="Q184" s="18">
        <v>0.35328486999999997</v>
      </c>
      <c r="R184" s="21" t="s">
        <v>50</v>
      </c>
      <c r="S184" s="21">
        <v>9.1519665E-2</v>
      </c>
      <c r="T184" s="21">
        <v>0.153716191</v>
      </c>
      <c r="U184" s="21" t="s">
        <v>50</v>
      </c>
      <c r="V184" s="21">
        <v>1.6305492669999999</v>
      </c>
      <c r="W184" s="18">
        <v>1.3648046488963732</v>
      </c>
      <c r="Y184" s="92">
        <v>0.1321585903083701</v>
      </c>
      <c r="Z184" s="20">
        <v>-11.12191500801776</v>
      </c>
      <c r="AA184" s="10">
        <v>-77.279252479941732</v>
      </c>
      <c r="AB184" s="17">
        <v>0.54163752380104158</v>
      </c>
      <c r="AC184" s="18">
        <v>5.4996615535254506E-3</v>
      </c>
      <c r="AD184" s="21">
        <v>3.8970258319146599E-2</v>
      </c>
      <c r="AE184" s="21">
        <v>6.7128184804175151E-2</v>
      </c>
      <c r="AF184" s="21">
        <v>1.1501367991336412E-3</v>
      </c>
      <c r="AG184" s="21"/>
      <c r="AH184" s="21">
        <v>0.18294707898025647</v>
      </c>
    </row>
    <row r="185" spans="1:34">
      <c r="A185" s="13" t="s">
        <v>79</v>
      </c>
      <c r="B185" s="13" t="s">
        <v>80</v>
      </c>
      <c r="C185" s="13">
        <v>182</v>
      </c>
      <c r="E185" s="14">
        <v>45881</v>
      </c>
      <c r="G185"/>
      <c r="H185" s="16">
        <v>19.899999999999999</v>
      </c>
      <c r="I185" s="16">
        <v>5.18</v>
      </c>
      <c r="J185" s="16">
        <v>13.5</v>
      </c>
      <c r="P185" s="18">
        <v>4.7676013000000003E-2</v>
      </c>
      <c r="Q185" s="18">
        <v>0.36673267900000001</v>
      </c>
      <c r="R185" s="21" t="s">
        <v>50</v>
      </c>
      <c r="S185" s="21">
        <v>2.2989357259999998</v>
      </c>
      <c r="T185" s="21">
        <v>0.76971615699999996</v>
      </c>
      <c r="U185" s="21" t="s">
        <v>50</v>
      </c>
      <c r="V185" s="21">
        <v>0.31054340400000002</v>
      </c>
      <c r="W185" s="18">
        <v>2.6970298205557151</v>
      </c>
      <c r="Y185" s="92">
        <v>0.36254411885414101</v>
      </c>
      <c r="Z185" s="20">
        <v>-7.4123079226398909</v>
      </c>
      <c r="AA185" s="10">
        <v>-43.716709086450876</v>
      </c>
      <c r="AB185" s="17">
        <v>0.34977044182837969</v>
      </c>
      <c r="AC185" s="18">
        <v>6.6170527220020675E-2</v>
      </c>
      <c r="AD185" s="21">
        <v>1.073553749370904</v>
      </c>
      <c r="AE185" s="21">
        <v>0.29739879729003849</v>
      </c>
      <c r="AF185" s="21">
        <v>1.2830794307166374E-3</v>
      </c>
      <c r="AG185" s="21"/>
      <c r="AH185" s="21">
        <v>0.24992599164162374</v>
      </c>
    </row>
    <row r="186" spans="1:34">
      <c r="A186" s="13" t="s">
        <v>79</v>
      </c>
      <c r="B186" s="13" t="s">
        <v>80</v>
      </c>
      <c r="C186" s="13">
        <v>183</v>
      </c>
      <c r="E186" s="14">
        <v>45888</v>
      </c>
      <c r="G186"/>
      <c r="H186" s="16">
        <v>17.899999999999999</v>
      </c>
      <c r="I186" s="16">
        <v>5.48</v>
      </c>
      <c r="J186" s="16">
        <v>24.74</v>
      </c>
      <c r="W186" s="18">
        <v>0.73602307518370058</v>
      </c>
      <c r="Y186" s="92">
        <v>0.11013215859030841</v>
      </c>
      <c r="Z186" s="20">
        <v>-8.2838995419687791</v>
      </c>
      <c r="AA186" s="10">
        <v>-48.790004892207662</v>
      </c>
      <c r="AB186" s="17">
        <v>3.252372573281169</v>
      </c>
      <c r="AC186" s="18">
        <v>0.28242766014757609</v>
      </c>
      <c r="AD186" s="21">
        <v>0.19179585932234886</v>
      </c>
      <c r="AE186" s="21">
        <v>0.18962230293291044</v>
      </c>
      <c r="AF186" s="18" t="s">
        <v>51</v>
      </c>
      <c r="AG186" s="21"/>
      <c r="AH186" s="21">
        <v>0.14642750832734469</v>
      </c>
    </row>
    <row r="187" spans="1:34">
      <c r="A187" s="13" t="s">
        <v>79</v>
      </c>
      <c r="B187" s="13" t="s">
        <v>80</v>
      </c>
      <c r="C187" s="13">
        <v>184</v>
      </c>
      <c r="E187" s="14">
        <v>45895</v>
      </c>
      <c r="G187"/>
      <c r="H187" s="16">
        <v>21.16</v>
      </c>
      <c r="I187" s="16">
        <v>7.6</v>
      </c>
      <c r="J187" s="16">
        <v>15.88</v>
      </c>
      <c r="W187" s="18">
        <v>2.2779252799844514</v>
      </c>
      <c r="Y187" s="92">
        <v>0.40048057669203063</v>
      </c>
      <c r="Z187" s="20">
        <v>-9.5897957785450849</v>
      </c>
      <c r="AA187" s="10">
        <v>-61.895028310313648</v>
      </c>
      <c r="AB187" s="17">
        <v>1.173401017673394</v>
      </c>
      <c r="AC187" s="18">
        <v>8.4813387439186219E-2</v>
      </c>
      <c r="AD187" s="21">
        <v>1.4977065304885673</v>
      </c>
      <c r="AE187" s="21">
        <v>0.38884501294835</v>
      </c>
      <c r="AF187" s="18" t="s">
        <v>51</v>
      </c>
      <c r="AG187" s="21"/>
      <c r="AH187" s="21">
        <v>0.39762729254381196</v>
      </c>
    </row>
    <row r="188" spans="1:34">
      <c r="A188" s="13" t="s">
        <v>79</v>
      </c>
      <c r="B188" s="13" t="s">
        <v>80</v>
      </c>
      <c r="C188" s="13">
        <v>185</v>
      </c>
      <c r="E188" s="14">
        <v>45902</v>
      </c>
      <c r="Y188" s="92"/>
      <c r="AC188" s="18"/>
      <c r="AD188" s="21"/>
      <c r="AE188" s="21"/>
      <c r="AF188" s="21"/>
      <c r="AG188" s="21"/>
      <c r="AH188" s="21"/>
    </row>
    <row r="189" spans="1:34">
      <c r="A189" s="13" t="s">
        <v>194</v>
      </c>
      <c r="B189" s="13" t="s">
        <v>80</v>
      </c>
      <c r="C189" s="13">
        <v>186</v>
      </c>
      <c r="E189" s="14">
        <v>45909</v>
      </c>
      <c r="H189" s="16">
        <v>14.8</v>
      </c>
      <c r="I189" s="16">
        <v>5.24</v>
      </c>
      <c r="J189" s="16">
        <v>14.26</v>
      </c>
      <c r="W189" s="18">
        <v>1.8198060075812068</v>
      </c>
      <c r="Y189" s="92"/>
      <c r="Z189" s="20">
        <v>-8.119717953046246</v>
      </c>
      <c r="AA189" s="10">
        <v>-49.73421100408094</v>
      </c>
      <c r="AB189" s="17">
        <v>0.37455628880345532</v>
      </c>
      <c r="AC189" s="18" t="s">
        <v>51</v>
      </c>
      <c r="AD189" s="21">
        <v>0.15135432771393198</v>
      </c>
      <c r="AE189" s="21">
        <v>0.10378429961596711</v>
      </c>
      <c r="AF189" s="18" t="s">
        <v>51</v>
      </c>
      <c r="AG189" s="21"/>
      <c r="AH189" s="21">
        <v>0.16819623213541979</v>
      </c>
    </row>
    <row r="190" spans="1:34">
      <c r="A190" s="13" t="s">
        <v>79</v>
      </c>
      <c r="B190" s="13" t="s">
        <v>80</v>
      </c>
      <c r="C190" s="13">
        <v>187</v>
      </c>
      <c r="E190" s="14">
        <v>45916</v>
      </c>
      <c r="Y190" s="92"/>
      <c r="AC190" s="18"/>
      <c r="AD190" s="21"/>
      <c r="AE190" s="21"/>
      <c r="AF190" s="21"/>
      <c r="AG190" s="21"/>
      <c r="AH190" s="21"/>
    </row>
    <row r="191" spans="1:34">
      <c r="A191" s="13" t="s">
        <v>79</v>
      </c>
      <c r="B191" s="13" t="s">
        <v>80</v>
      </c>
      <c r="C191" s="13">
        <v>188</v>
      </c>
      <c r="E191" s="14">
        <v>45924</v>
      </c>
      <c r="H191" s="16">
        <v>14.7</v>
      </c>
      <c r="I191" s="16">
        <v>6.15</v>
      </c>
      <c r="J191" s="16">
        <v>5.28</v>
      </c>
      <c r="W191" s="18">
        <v>0.42679039223966131</v>
      </c>
      <c r="Y191" s="92">
        <v>5.9243176178660047E-2</v>
      </c>
      <c r="Z191" s="20">
        <v>-8.6919491813829417</v>
      </c>
      <c r="AA191" s="10">
        <v>-52.184456454222968</v>
      </c>
      <c r="AB191" s="17">
        <v>0.99828204549419453</v>
      </c>
      <c r="AC191" s="18" t="s">
        <v>51</v>
      </c>
      <c r="AD191" s="21">
        <v>0.10109546244855096</v>
      </c>
      <c r="AE191" s="21">
        <v>5.6280821687299441E-2</v>
      </c>
      <c r="AF191" s="18" t="s">
        <v>51</v>
      </c>
      <c r="AG191" s="21"/>
      <c r="AH191" s="21">
        <v>9.589425131401072E-2</v>
      </c>
    </row>
    <row r="192" spans="1:34">
      <c r="A192" s="13" t="s">
        <v>79</v>
      </c>
      <c r="B192" s="13" t="s">
        <v>80</v>
      </c>
      <c r="C192" s="13">
        <v>189</v>
      </c>
      <c r="E192" s="14">
        <v>45930</v>
      </c>
      <c r="H192" s="16">
        <v>20.100000000000001</v>
      </c>
      <c r="I192" s="16">
        <v>5.89</v>
      </c>
      <c r="J192" s="16">
        <v>17</v>
      </c>
      <c r="W192" s="18">
        <v>0.81412716380497863</v>
      </c>
      <c r="Y192" s="92">
        <v>9.8137567060670866E-2</v>
      </c>
      <c r="Z192" s="20">
        <v>-8.8300265846190484</v>
      </c>
      <c r="AA192" s="10">
        <v>-54.773715691174267</v>
      </c>
      <c r="AB192" s="17">
        <v>2.0162024474519238</v>
      </c>
      <c r="AC192" s="18">
        <v>0.12904252043035427</v>
      </c>
      <c r="AD192" s="21">
        <v>0.13676680803444918</v>
      </c>
      <c r="AE192" s="21">
        <v>7.2103053486550842E-2</v>
      </c>
      <c r="AF192" s="18" t="s">
        <v>51</v>
      </c>
      <c r="AG192" s="21"/>
      <c r="AH192" s="21">
        <v>0.21273567579040317</v>
      </c>
    </row>
    <row r="193" spans="1:34">
      <c r="A193" s="13" t="s">
        <v>79</v>
      </c>
      <c r="B193" s="13" t="s">
        <v>80</v>
      </c>
      <c r="C193" s="13">
        <v>190</v>
      </c>
      <c r="E193" s="14">
        <v>45937</v>
      </c>
      <c r="Y193" s="92"/>
      <c r="AC193" s="18"/>
      <c r="AD193" s="21"/>
      <c r="AE193" s="21"/>
      <c r="AF193" s="21"/>
      <c r="AG193" s="21"/>
      <c r="AH193" s="21"/>
    </row>
    <row r="194" spans="1:34">
      <c r="A194" s="13" t="s">
        <v>79</v>
      </c>
      <c r="B194" s="13" t="s">
        <v>80</v>
      </c>
      <c r="C194" s="13">
        <v>191</v>
      </c>
      <c r="E194" s="14">
        <v>45943</v>
      </c>
      <c r="Y194" s="92"/>
      <c r="Z194" s="20">
        <v>-6.076378470828347</v>
      </c>
      <c r="AA194" s="10">
        <v>-28.938564226235258</v>
      </c>
      <c r="AB194" s="17">
        <v>1.8185170190925497</v>
      </c>
      <c r="AC194" s="18">
        <v>0.25075179883447224</v>
      </c>
      <c r="AD194" s="21">
        <v>1.1310458519826565</v>
      </c>
      <c r="AE194" s="21">
        <v>0.4056434739841942</v>
      </c>
      <c r="AF194" s="21">
        <v>3.8459014417775864E-5</v>
      </c>
      <c r="AG194" s="21"/>
      <c r="AH194" s="21">
        <v>0.57764824696672501</v>
      </c>
    </row>
    <row r="195" spans="1:34">
      <c r="A195" s="13" t="s">
        <v>79</v>
      </c>
      <c r="B195" s="13" t="s">
        <v>80</v>
      </c>
      <c r="C195" s="13">
        <v>192</v>
      </c>
      <c r="E195" s="14">
        <v>45952</v>
      </c>
      <c r="H195" s="16">
        <v>15</v>
      </c>
      <c r="I195" s="16">
        <v>7.71</v>
      </c>
      <c r="J195" s="16">
        <v>2.88</v>
      </c>
      <c r="W195" s="18">
        <v>0.24459339176532718</v>
      </c>
      <c r="Y195" s="92">
        <v>6.9117038875103398E-2</v>
      </c>
      <c r="Z195" s="20">
        <v>-7.0154422032848496</v>
      </c>
      <c r="AA195" s="10">
        <v>-34.880468923056299</v>
      </c>
      <c r="AB195" s="17">
        <v>0.16052239023410669</v>
      </c>
      <c r="AC195" s="18" t="s">
        <v>51</v>
      </c>
      <c r="AD195" s="21">
        <v>4.8218380375574334E-2</v>
      </c>
      <c r="AE195" s="18" t="s">
        <v>51</v>
      </c>
      <c r="AF195" s="18" t="s">
        <v>51</v>
      </c>
      <c r="AG195" s="21"/>
      <c r="AH195" s="21">
        <v>5.7725147593056338E-2</v>
      </c>
    </row>
    <row r="196" spans="1:34">
      <c r="A196" s="13" t="s">
        <v>79</v>
      </c>
      <c r="B196" s="13" t="s">
        <v>80</v>
      </c>
      <c r="C196" s="13">
        <v>193</v>
      </c>
      <c r="E196" s="14">
        <v>45958</v>
      </c>
      <c r="H196" s="16">
        <v>15.3</v>
      </c>
      <c r="I196" s="16">
        <v>5.59</v>
      </c>
      <c r="J196" s="16">
        <v>13.32</v>
      </c>
      <c r="W196" s="18">
        <v>0.27134559069308267</v>
      </c>
      <c r="Y196" s="92">
        <v>7.019699260752689E-2</v>
      </c>
      <c r="Z196" s="20">
        <v>-5.9479183991609252</v>
      </c>
      <c r="AA196" s="10">
        <v>-21.295864934808776</v>
      </c>
      <c r="AB196" s="17">
        <v>0.62591541329645406</v>
      </c>
      <c r="AC196" s="18" t="s">
        <v>51</v>
      </c>
      <c r="AD196" s="21">
        <v>7.2331409249353426E-2</v>
      </c>
      <c r="AE196" s="18" t="s">
        <v>51</v>
      </c>
      <c r="AF196" s="18" t="s">
        <v>51</v>
      </c>
      <c r="AG196" s="21"/>
      <c r="AH196" s="21">
        <v>7.591723643185834E-2</v>
      </c>
    </row>
    <row r="197" spans="1:34">
      <c r="A197" s="13" t="s">
        <v>79</v>
      </c>
      <c r="B197" s="13" t="s">
        <v>80</v>
      </c>
      <c r="C197" s="13">
        <v>194</v>
      </c>
      <c r="E197" s="14">
        <v>45965</v>
      </c>
      <c r="H197" s="16">
        <v>17.3</v>
      </c>
      <c r="I197" s="16">
        <v>5.47</v>
      </c>
      <c r="J197" s="16">
        <v>19.55</v>
      </c>
      <c r="W197" s="18">
        <v>0.49431994409290092</v>
      </c>
      <c r="Y197" s="92"/>
      <c r="Z197" s="20">
        <v>-4.9775983391062004</v>
      </c>
      <c r="AA197" s="10">
        <v>-7.8587719086033729</v>
      </c>
      <c r="AB197" s="17">
        <v>0.84657830281296997</v>
      </c>
      <c r="AC197" s="18">
        <v>2.275746335536088E-3</v>
      </c>
      <c r="AD197" s="21">
        <v>0.14327769057131926</v>
      </c>
      <c r="AE197" s="21">
        <v>6.7525757096475167E-2</v>
      </c>
      <c r="AF197" s="18" t="s">
        <v>51</v>
      </c>
      <c r="AG197" s="21"/>
      <c r="AH197" s="21">
        <v>6.0640792107501937E-2</v>
      </c>
    </row>
    <row r="198" spans="1:34">
      <c r="A198" s="13" t="s">
        <v>79</v>
      </c>
      <c r="B198" s="13" t="s">
        <v>80</v>
      </c>
      <c r="C198" s="13">
        <v>195</v>
      </c>
      <c r="E198" s="14">
        <v>45974</v>
      </c>
      <c r="H198" s="16">
        <v>14.4</v>
      </c>
      <c r="I198" s="16">
        <v>7.39</v>
      </c>
      <c r="J198" s="16">
        <v>8.5299999999999994</v>
      </c>
      <c r="W198" s="18">
        <v>0.23666551250181334</v>
      </c>
      <c r="Y198" s="92"/>
      <c r="Z198" s="20">
        <v>-7.3670676461721545</v>
      </c>
      <c r="AA198" s="10">
        <v>-39.149371137990272</v>
      </c>
      <c r="AB198" s="17">
        <v>0.4394988248299731</v>
      </c>
      <c r="AC198" s="18">
        <v>1.3821111666456143E-2</v>
      </c>
      <c r="AD198" s="21">
        <v>5.9234845474162585E-2</v>
      </c>
      <c r="AE198" s="21">
        <v>3.4384301579025153E-2</v>
      </c>
      <c r="AF198" s="21">
        <v>6.2270190853931894E-3</v>
      </c>
      <c r="AG198" s="21"/>
      <c r="AH198" s="21">
        <v>3.0713809804951323E-2</v>
      </c>
    </row>
    <row r="199" spans="1:34">
      <c r="A199" s="13" t="s">
        <v>79</v>
      </c>
      <c r="B199" s="13" t="s">
        <v>80</v>
      </c>
      <c r="C199" s="13">
        <v>196</v>
      </c>
      <c r="E199" s="14">
        <v>45979</v>
      </c>
      <c r="H199" s="16">
        <v>13.5</v>
      </c>
      <c r="I199" s="16">
        <v>5.96</v>
      </c>
      <c r="J199" s="16">
        <v>18.260000000000002</v>
      </c>
      <c r="W199" s="18">
        <v>0.41005147067427916</v>
      </c>
      <c r="Y199" s="92"/>
      <c r="Z199" s="20">
        <v>-6.1406533397970371</v>
      </c>
      <c r="AA199" s="10">
        <v>-24.071633914735312</v>
      </c>
      <c r="AB199" s="17">
        <v>0.92383299223041027</v>
      </c>
      <c r="AC199" s="18">
        <v>7.1516919197182699E-2</v>
      </c>
      <c r="AD199" s="21">
        <v>9.3030425172785536E-2</v>
      </c>
      <c r="AE199" s="21">
        <v>8.6735737545668809E-2</v>
      </c>
      <c r="AF199" s="21">
        <v>6.458828285304672E-3</v>
      </c>
      <c r="AG199" s="21"/>
      <c r="AH199" s="21">
        <v>1.09709214247076E-2</v>
      </c>
    </row>
    <row r="200" spans="1:34">
      <c r="A200" s="13" t="s">
        <v>79</v>
      </c>
      <c r="B200" s="13" t="s">
        <v>80</v>
      </c>
      <c r="C200" s="13">
        <v>197</v>
      </c>
      <c r="E200" s="14">
        <v>45986</v>
      </c>
      <c r="H200" s="16">
        <v>15.5</v>
      </c>
      <c r="I200" s="16">
        <v>4.33</v>
      </c>
      <c r="J200" s="16">
        <v>73.67</v>
      </c>
      <c r="W200" s="18">
        <v>0.72930474765684206</v>
      </c>
      <c r="Y200" s="92"/>
      <c r="Z200" s="20">
        <v>-4.7070269942577374</v>
      </c>
      <c r="AA200" s="10">
        <v>-2.824642175628469</v>
      </c>
      <c r="AB200" s="17">
        <v>4.8537667095614339</v>
      </c>
      <c r="AC200" s="18">
        <v>0.57892041515735149</v>
      </c>
      <c r="AD200" s="21">
        <v>0.34562956801614669</v>
      </c>
      <c r="AE200" s="21">
        <v>0.52344352338902422</v>
      </c>
      <c r="AF200" s="21">
        <v>9.66425903260704E-3</v>
      </c>
      <c r="AG200" s="21"/>
      <c r="AH200" s="21">
        <v>3.9140313432969906E-2</v>
      </c>
    </row>
    <row r="201" spans="1:34">
      <c r="A201" s="13" t="s">
        <v>79</v>
      </c>
      <c r="B201" s="13" t="s">
        <v>80</v>
      </c>
      <c r="C201" s="13">
        <v>198</v>
      </c>
      <c r="E201" s="14">
        <v>45993</v>
      </c>
      <c r="Y201" s="92"/>
    </row>
    <row r="202" spans="1:34">
      <c r="A202" s="13" t="s">
        <v>79</v>
      </c>
      <c r="B202" s="13" t="s">
        <v>80</v>
      </c>
      <c r="C202" s="13">
        <v>199</v>
      </c>
      <c r="E202" s="14">
        <v>46000</v>
      </c>
      <c r="H202" s="16">
        <v>20.399999999999999</v>
      </c>
      <c r="I202" s="16">
        <v>4.83</v>
      </c>
      <c r="J202" s="16">
        <v>35.9</v>
      </c>
      <c r="W202" s="18">
        <v>0.93180318733007961</v>
      </c>
      <c r="Y202" s="92"/>
      <c r="Z202" s="20">
        <v>-3.8486774625335709</v>
      </c>
      <c r="AA202" s="10">
        <v>4.2524787650636329</v>
      </c>
      <c r="AB202" s="17">
        <v>3.0851515404684249</v>
      </c>
      <c r="AC202" s="18">
        <v>0.35935109330696074</v>
      </c>
      <c r="AD202" s="21">
        <v>0.22047713806817101</v>
      </c>
      <c r="AE202" s="21">
        <v>0.53384049225511476</v>
      </c>
      <c r="AF202" s="21">
        <v>8.2450860184573316E-3</v>
      </c>
      <c r="AG202" s="21"/>
      <c r="AH202" s="21">
        <v>4.8202446379657475E-2</v>
      </c>
    </row>
    <row r="203" spans="1:34">
      <c r="A203" s="13" t="s">
        <v>79</v>
      </c>
      <c r="B203" s="13" t="s">
        <v>80</v>
      </c>
      <c r="C203" s="13">
        <v>200</v>
      </c>
      <c r="E203" s="14">
        <v>46007</v>
      </c>
      <c r="H203" s="16">
        <v>13.3</v>
      </c>
      <c r="I203" s="16">
        <v>4.45</v>
      </c>
      <c r="J203" s="16">
        <v>37.76</v>
      </c>
      <c r="W203" s="18">
        <v>0.76681695866135913</v>
      </c>
      <c r="Y203" s="92"/>
      <c r="Z203" s="20">
        <v>-3.5708728473151523</v>
      </c>
      <c r="AA203" s="10">
        <v>2.2894867860288506</v>
      </c>
      <c r="AB203" s="17">
        <v>2.8292335376799715</v>
      </c>
      <c r="AC203" s="18">
        <v>0.32479515142573306</v>
      </c>
      <c r="AD203" s="21">
        <v>0.2304861053644634</v>
      </c>
      <c r="AE203" s="21">
        <v>0.34093376102406281</v>
      </c>
      <c r="AF203" s="21">
        <v>8.1319283866050623E-3</v>
      </c>
      <c r="AG203" s="21"/>
      <c r="AH203" s="21">
        <v>6.0390391262141893E-2</v>
      </c>
    </row>
    <row r="204" spans="1:34">
      <c r="A204" s="13" t="s">
        <v>79</v>
      </c>
      <c r="B204" s="13" t="s">
        <v>80</v>
      </c>
      <c r="C204" s="13">
        <v>201</v>
      </c>
      <c r="E204" s="14">
        <v>46014</v>
      </c>
      <c r="H204" s="16">
        <v>20.399999999999999</v>
      </c>
      <c r="I204" s="16">
        <v>4.51</v>
      </c>
      <c r="J204" s="16">
        <v>18.440000000000001</v>
      </c>
      <c r="Y204" s="92"/>
      <c r="Z204" s="20">
        <v>-4.0306026087828011</v>
      </c>
      <c r="AA204" s="10">
        <v>-0.84185356835501413</v>
      </c>
      <c r="AB204" s="17">
        <v>2.4635741178827089</v>
      </c>
      <c r="AC204" s="18">
        <v>0.28438210720017654</v>
      </c>
      <c r="AD204" s="21">
        <v>0.14755545662691624</v>
      </c>
      <c r="AE204" s="21">
        <v>0.28939703411283152</v>
      </c>
      <c r="AF204" s="21">
        <v>7.8136289052891036E-3</v>
      </c>
      <c r="AG204" s="21"/>
      <c r="AH204" s="21">
        <v>2.1656730365765462E-2</v>
      </c>
    </row>
    <row r="205" spans="1:34">
      <c r="A205" s="13" t="s">
        <v>79</v>
      </c>
      <c r="B205" s="13" t="s">
        <v>80</v>
      </c>
      <c r="C205" s="13">
        <v>202</v>
      </c>
      <c r="E205" s="14">
        <v>46021</v>
      </c>
      <c r="H205" s="16">
        <v>15.2</v>
      </c>
      <c r="I205" s="16">
        <v>4.92</v>
      </c>
      <c r="J205" s="16">
        <v>10.039999999999999</v>
      </c>
      <c r="Y205" s="92"/>
      <c r="Z205" s="20">
        <v>-5.0803598715993044</v>
      </c>
      <c r="AA205" s="10">
        <v>-5.7864956075478986</v>
      </c>
      <c r="AB205" s="17">
        <v>0.73598940881935015</v>
      </c>
      <c r="AC205" s="18">
        <v>4.4375797098066425E-2</v>
      </c>
      <c r="AD205" s="21">
        <v>0.13103039990185797</v>
      </c>
      <c r="AE205" s="21">
        <v>0.14437669473870057</v>
      </c>
      <c r="AF205" s="21">
        <v>6.6468372152491354E-3</v>
      </c>
      <c r="AG205" s="21"/>
      <c r="AH205" s="21">
        <v>7.5068856377865003E-3</v>
      </c>
    </row>
    <row r="206" spans="1:34">
      <c r="A206" s="13" t="s">
        <v>79</v>
      </c>
      <c r="B206" s="13" t="s">
        <v>80</v>
      </c>
      <c r="C206" s="13">
        <v>203</v>
      </c>
      <c r="E206" s="14">
        <v>46028</v>
      </c>
      <c r="H206" s="16">
        <v>15.8</v>
      </c>
      <c r="I206" s="16">
        <v>6.07</v>
      </c>
      <c r="J206" s="16">
        <v>8.15</v>
      </c>
      <c r="Y206" s="92"/>
      <c r="AC206" s="18"/>
      <c r="AD206" s="21"/>
      <c r="AE206" s="21"/>
      <c r="AF206" s="21"/>
      <c r="AG206" s="21"/>
      <c r="AH206" s="21"/>
    </row>
    <row r="207" spans="1:34">
      <c r="A207" s="13" t="s">
        <v>79</v>
      </c>
      <c r="B207" s="13" t="s">
        <v>80</v>
      </c>
      <c r="C207" s="13">
        <v>204</v>
      </c>
      <c r="E207" s="14">
        <v>46035</v>
      </c>
      <c r="Y207" s="92"/>
      <c r="AC207" s="18"/>
      <c r="AD207" s="21"/>
      <c r="AE207" s="21"/>
      <c r="AF207" s="21"/>
      <c r="AG207" s="21"/>
      <c r="AH207" s="21"/>
    </row>
    <row r="208" spans="1:34">
      <c r="A208" s="13" t="s">
        <v>79</v>
      </c>
      <c r="B208" s="13" t="s">
        <v>80</v>
      </c>
      <c r="C208" s="13">
        <v>205</v>
      </c>
      <c r="E208" s="14">
        <v>46042</v>
      </c>
      <c r="H208" s="16">
        <v>15.3</v>
      </c>
      <c r="I208" s="16">
        <v>5.26</v>
      </c>
      <c r="J208" s="16">
        <v>18.55</v>
      </c>
      <c r="Y208" s="92"/>
      <c r="AC208" s="18"/>
      <c r="AD208" s="21"/>
      <c r="AE208" s="21"/>
      <c r="AF208" s="21"/>
      <c r="AG208" s="21"/>
      <c r="AH208" s="21"/>
    </row>
    <row r="209" spans="1:34">
      <c r="A209" s="13" t="s">
        <v>79</v>
      </c>
      <c r="B209" s="13" t="s">
        <v>80</v>
      </c>
      <c r="C209" s="13">
        <v>206</v>
      </c>
      <c r="E209" s="14">
        <v>46049</v>
      </c>
      <c r="H209" s="16">
        <v>15</v>
      </c>
      <c r="I209" s="16">
        <v>4.83</v>
      </c>
      <c r="J209" s="16">
        <v>9.51</v>
      </c>
      <c r="Y209" s="92"/>
      <c r="AC209" s="18"/>
      <c r="AD209" s="21"/>
      <c r="AE209" s="21"/>
      <c r="AF209" s="21"/>
      <c r="AG209" s="21"/>
      <c r="AH209" s="21"/>
    </row>
    <row r="210" spans="1:34">
      <c r="A210" s="13" t="s">
        <v>79</v>
      </c>
      <c r="B210" s="13" t="s">
        <v>80</v>
      </c>
      <c r="C210" s="13">
        <v>207</v>
      </c>
      <c r="E210" s="14">
        <v>46056</v>
      </c>
      <c r="H210" s="16">
        <v>14.6</v>
      </c>
      <c r="I210" s="16">
        <v>6.45</v>
      </c>
      <c r="J210" s="16">
        <v>13.48</v>
      </c>
      <c r="Y210" s="92"/>
      <c r="AC210" s="18"/>
      <c r="AD210" s="21"/>
      <c r="AE210" s="21"/>
      <c r="AF210" s="21"/>
      <c r="AG210" s="21"/>
      <c r="AH210" s="21"/>
    </row>
    <row r="211" spans="1:34">
      <c r="Y211" s="92"/>
      <c r="AC211" s="18"/>
      <c r="AD211" s="21"/>
      <c r="AE211" s="21"/>
      <c r="AF211" s="21"/>
      <c r="AG211" s="21"/>
      <c r="AH211" s="21"/>
    </row>
    <row r="212" spans="1:34">
      <c r="Y212" s="92"/>
      <c r="AC212" s="18"/>
      <c r="AD212" s="21"/>
      <c r="AE212" s="21"/>
      <c r="AF212" s="21"/>
      <c r="AG212" s="21"/>
      <c r="AH212" s="21"/>
    </row>
    <row r="213" spans="1:34">
      <c r="Y213" s="92"/>
      <c r="AC213" s="18"/>
      <c r="AD213" s="21"/>
      <c r="AE213" s="21"/>
      <c r="AF213" s="21"/>
      <c r="AG213" s="21"/>
      <c r="AH213" s="21"/>
    </row>
    <row r="214" spans="1:34">
      <c r="Y214" s="92"/>
      <c r="AC214" s="18"/>
      <c r="AD214" s="21"/>
      <c r="AE214" s="21"/>
      <c r="AF214" s="21"/>
      <c r="AG214" s="21"/>
      <c r="AH214" s="21"/>
    </row>
    <row r="215" spans="1:34">
      <c r="Y215" s="92"/>
      <c r="AC215" s="18"/>
      <c r="AD215" s="21"/>
      <c r="AE215" s="21"/>
      <c r="AF215" s="21"/>
      <c r="AG215" s="21"/>
      <c r="AH215" s="21"/>
    </row>
    <row r="216" spans="1:34">
      <c r="Y216" s="92"/>
      <c r="AC216" s="18"/>
      <c r="AD216" s="21"/>
      <c r="AE216" s="21"/>
      <c r="AF216" s="21"/>
      <c r="AG216" s="21"/>
      <c r="AH216" s="21"/>
    </row>
    <row r="217" spans="1:34">
      <c r="Y217" s="92"/>
      <c r="AC217" s="18"/>
      <c r="AD217" s="21"/>
      <c r="AE217" s="21"/>
      <c r="AF217" s="21"/>
      <c r="AG217" s="21"/>
      <c r="AH217" s="21"/>
    </row>
    <row r="218" spans="1:34">
      <c r="Y218" s="92"/>
      <c r="AC218" s="18"/>
      <c r="AD218" s="21"/>
      <c r="AE218" s="21"/>
      <c r="AF218" s="21"/>
      <c r="AG218" s="21"/>
      <c r="AH218" s="21"/>
    </row>
    <row r="219" spans="1:34">
      <c r="Y219" s="92"/>
      <c r="AC219" s="18"/>
      <c r="AD219" s="21"/>
      <c r="AE219" s="21"/>
      <c r="AF219" s="21"/>
      <c r="AG219" s="21"/>
      <c r="AH219" s="21"/>
    </row>
    <row r="220" spans="1:34">
      <c r="Y220" s="92"/>
      <c r="AC220" s="18"/>
      <c r="AD220" s="21"/>
      <c r="AE220" s="21"/>
      <c r="AF220" s="21"/>
      <c r="AG220" s="21"/>
      <c r="AH220" s="21"/>
    </row>
    <row r="221" spans="1:34">
      <c r="Y221" s="92"/>
      <c r="AC221" s="18"/>
      <c r="AD221" s="21"/>
      <c r="AE221" s="21"/>
      <c r="AF221" s="21"/>
      <c r="AG221" s="21"/>
      <c r="AH221" s="21"/>
    </row>
    <row r="222" spans="1:34">
      <c r="Y222" s="92"/>
      <c r="AC222" s="18"/>
      <c r="AD222" s="21"/>
      <c r="AE222" s="21"/>
      <c r="AF222" s="21"/>
      <c r="AG222" s="21"/>
      <c r="AH222" s="21"/>
    </row>
    <row r="223" spans="1:34">
      <c r="Y223" s="92"/>
      <c r="AC223" s="18"/>
      <c r="AD223" s="21"/>
      <c r="AE223" s="21"/>
      <c r="AF223" s="21"/>
      <c r="AG223" s="21"/>
      <c r="AH223" s="21"/>
    </row>
    <row r="224" spans="1:34">
      <c r="Y224" s="92"/>
      <c r="AC224" s="18"/>
      <c r="AD224" s="21"/>
      <c r="AE224" s="21"/>
      <c r="AF224" s="21"/>
      <c r="AG224" s="21"/>
      <c r="AH224" s="21"/>
    </row>
    <row r="225" spans="25:34">
      <c r="Y225" s="92"/>
      <c r="AC225" s="18"/>
      <c r="AD225" s="21"/>
      <c r="AE225" s="21"/>
      <c r="AF225" s="21"/>
      <c r="AG225" s="21"/>
      <c r="AH225" s="21"/>
    </row>
    <row r="226" spans="25:34">
      <c r="Y226" s="92"/>
      <c r="AC226" s="18"/>
      <c r="AD226" s="21"/>
      <c r="AE226" s="21"/>
      <c r="AF226" s="21"/>
      <c r="AG226" s="21"/>
      <c r="AH226" s="21"/>
    </row>
    <row r="227" spans="25:34">
      <c r="Y227" s="92"/>
      <c r="AC227" s="18"/>
      <c r="AD227" s="21"/>
      <c r="AE227" s="21"/>
      <c r="AF227" s="21"/>
      <c r="AG227" s="21"/>
      <c r="AH227" s="21"/>
    </row>
    <row r="228" spans="25:34">
      <c r="Y228" s="92"/>
      <c r="AC228" s="18"/>
      <c r="AD228" s="21"/>
      <c r="AE228" s="21"/>
      <c r="AF228" s="21"/>
      <c r="AG228" s="21"/>
      <c r="AH228" s="21"/>
    </row>
    <row r="229" spans="25:34">
      <c r="Y229" s="92"/>
      <c r="AC229" s="18"/>
      <c r="AD229" s="21"/>
      <c r="AE229" s="21"/>
      <c r="AF229" s="21"/>
      <c r="AG229" s="21"/>
      <c r="AH229" s="21"/>
    </row>
    <row r="230" spans="25:34">
      <c r="Y230" s="92"/>
      <c r="AC230" s="18"/>
      <c r="AD230" s="21"/>
      <c r="AE230" s="21"/>
      <c r="AF230" s="21"/>
      <c r="AG230" s="21"/>
      <c r="AH230" s="21"/>
    </row>
    <row r="231" spans="25:34">
      <c r="Y231" s="92"/>
      <c r="AC231" s="18"/>
      <c r="AD231" s="21"/>
      <c r="AE231" s="21"/>
      <c r="AF231" s="21"/>
      <c r="AG231" s="21"/>
      <c r="AH231" s="21"/>
    </row>
    <row r="232" spans="25:34">
      <c r="Y232" s="92"/>
      <c r="AC232" s="18"/>
      <c r="AD232" s="21"/>
      <c r="AE232" s="21"/>
      <c r="AF232" s="21"/>
      <c r="AG232" s="21"/>
      <c r="AH232" s="21"/>
    </row>
    <row r="233" spans="25:34">
      <c r="Y233" s="92"/>
      <c r="AC233" s="18"/>
      <c r="AD233" s="21"/>
      <c r="AE233" s="21"/>
      <c r="AF233" s="21"/>
      <c r="AG233" s="21"/>
      <c r="AH233" s="21"/>
    </row>
    <row r="234" spans="25:34">
      <c r="Y234" s="92"/>
      <c r="AC234" s="18"/>
      <c r="AD234" s="21"/>
      <c r="AE234" s="21"/>
      <c r="AF234" s="21"/>
      <c r="AG234" s="21"/>
      <c r="AH234" s="21"/>
    </row>
    <row r="235" spans="25:34">
      <c r="Y235" s="92"/>
      <c r="AC235" s="18"/>
      <c r="AD235" s="21"/>
      <c r="AE235" s="21"/>
      <c r="AF235" s="21"/>
      <c r="AG235" s="21"/>
      <c r="AH235" s="21"/>
    </row>
    <row r="236" spans="25:34">
      <c r="Y236" s="92"/>
      <c r="AC236" s="18"/>
      <c r="AD236" s="21"/>
      <c r="AE236" s="21"/>
      <c r="AF236" s="21"/>
      <c r="AG236" s="21"/>
      <c r="AH236" s="21"/>
    </row>
    <row r="237" spans="25:34">
      <c r="Y237" s="92"/>
      <c r="AC237" s="18"/>
      <c r="AD237" s="21"/>
      <c r="AE237" s="21"/>
      <c r="AF237" s="21"/>
      <c r="AG237" s="21"/>
      <c r="AH237" s="21"/>
    </row>
    <row r="238" spans="25:34">
      <c r="Y238" s="92"/>
      <c r="AC238" s="18"/>
      <c r="AD238" s="21"/>
      <c r="AE238" s="21"/>
      <c r="AF238" s="21"/>
      <c r="AG238" s="21"/>
      <c r="AH238" s="21"/>
    </row>
    <row r="239" spans="25:34">
      <c r="Y239" s="92"/>
      <c r="AC239" s="18"/>
      <c r="AD239" s="21"/>
      <c r="AE239" s="21"/>
      <c r="AF239" s="21"/>
      <c r="AG239" s="21"/>
      <c r="AH239" s="21"/>
    </row>
    <row r="240" spans="25:34">
      <c r="Y240" s="92"/>
      <c r="AC240" s="18"/>
      <c r="AD240" s="21"/>
      <c r="AE240" s="21"/>
      <c r="AF240" s="21"/>
      <c r="AG240" s="21"/>
      <c r="AH240" s="21"/>
    </row>
    <row r="241" spans="25:34">
      <c r="Y241" s="92"/>
      <c r="AC241" s="18"/>
      <c r="AD241" s="21"/>
      <c r="AE241" s="21"/>
      <c r="AF241" s="21"/>
      <c r="AG241" s="21"/>
      <c r="AH241" s="21"/>
    </row>
    <row r="242" spans="25:34">
      <c r="Y242" s="92"/>
      <c r="AC242" s="18"/>
      <c r="AD242" s="21"/>
      <c r="AE242" s="21"/>
      <c r="AF242" s="21"/>
      <c r="AG242" s="21"/>
      <c r="AH242" s="21"/>
    </row>
    <row r="243" spans="25:34">
      <c r="Y243" s="92"/>
      <c r="AC243" s="18"/>
      <c r="AD243" s="21"/>
      <c r="AE243" s="21"/>
      <c r="AF243" s="21"/>
      <c r="AG243" s="21"/>
      <c r="AH243" s="21"/>
    </row>
    <row r="244" spans="25:34">
      <c r="Y244" s="92"/>
      <c r="AC244" s="18"/>
      <c r="AD244" s="21"/>
      <c r="AE244" s="21"/>
      <c r="AF244" s="21"/>
      <c r="AG244" s="21"/>
      <c r="AH244" s="21"/>
    </row>
    <row r="245" spans="25:34">
      <c r="Y245" s="92"/>
      <c r="AC245" s="18"/>
      <c r="AD245" s="21"/>
      <c r="AE245" s="21"/>
      <c r="AF245" s="21"/>
      <c r="AG245" s="21"/>
      <c r="AH245" s="21"/>
    </row>
    <row r="246" spans="25:34">
      <c r="Y246" s="92"/>
      <c r="AC246" s="18"/>
      <c r="AD246" s="21"/>
      <c r="AE246" s="21"/>
      <c r="AF246" s="21"/>
      <c r="AG246" s="21"/>
      <c r="AH246" s="21"/>
    </row>
    <row r="247" spans="25:34">
      <c r="Y247" s="92"/>
      <c r="AC247" s="18"/>
      <c r="AD247" s="21"/>
      <c r="AE247" s="21"/>
      <c r="AF247" s="21"/>
      <c r="AG247" s="21"/>
      <c r="AH247" s="21"/>
    </row>
    <row r="248" spans="25:34">
      <c r="Y248" s="92"/>
      <c r="AC248" s="18"/>
      <c r="AD248" s="21"/>
      <c r="AE248" s="21"/>
      <c r="AF248" s="21"/>
      <c r="AG248" s="21"/>
      <c r="AH248" s="21"/>
    </row>
    <row r="249" spans="25:34">
      <c r="Y249" s="92"/>
      <c r="AC249" s="18"/>
      <c r="AD249" s="21"/>
      <c r="AE249" s="21"/>
      <c r="AF249" s="21"/>
      <c r="AG249" s="21"/>
      <c r="AH249" s="21"/>
    </row>
    <row r="250" spans="25:34">
      <c r="Y250" s="92"/>
      <c r="AC250" s="18"/>
      <c r="AD250" s="21"/>
      <c r="AE250" s="21"/>
      <c r="AF250" s="21"/>
      <c r="AG250" s="21"/>
      <c r="AH250" s="21"/>
    </row>
    <row r="251" spans="25:34">
      <c r="Y251" s="92"/>
      <c r="AC251" s="18"/>
      <c r="AD251" s="21"/>
      <c r="AE251" s="21"/>
      <c r="AF251" s="21"/>
      <c r="AG251" s="21"/>
      <c r="AH251" s="21"/>
    </row>
    <row r="252" spans="25:34">
      <c r="Y252" s="92"/>
      <c r="AC252" s="18"/>
      <c r="AD252" s="21"/>
      <c r="AE252" s="21"/>
      <c r="AF252" s="21"/>
      <c r="AG252" s="21"/>
      <c r="AH252" s="21"/>
    </row>
    <row r="253" spans="25:34">
      <c r="Y253" s="92"/>
      <c r="AC253" s="18"/>
      <c r="AD253" s="21"/>
      <c r="AE253" s="21"/>
      <c r="AF253" s="21"/>
      <c r="AG253" s="21"/>
      <c r="AH253" s="21"/>
    </row>
    <row r="254" spans="25:34">
      <c r="Y254" s="92"/>
      <c r="AC254" s="18"/>
      <c r="AD254" s="21"/>
      <c r="AE254" s="21"/>
      <c r="AF254" s="21"/>
      <c r="AG254" s="21"/>
      <c r="AH254" s="21"/>
    </row>
    <row r="255" spans="25:34">
      <c r="Y255" s="92"/>
      <c r="AC255" s="18"/>
      <c r="AD255" s="21"/>
      <c r="AE255" s="21"/>
      <c r="AF255" s="21"/>
      <c r="AG255" s="21"/>
      <c r="AH255" s="21"/>
    </row>
    <row r="256" spans="25:34">
      <c r="Y256" s="92"/>
      <c r="AC256" s="18"/>
      <c r="AD256" s="21"/>
      <c r="AE256" s="21"/>
      <c r="AF256" s="21"/>
      <c r="AG256" s="21"/>
      <c r="AH256" s="21"/>
    </row>
    <row r="257" spans="25:34">
      <c r="Y257" s="92"/>
      <c r="AC257" s="18"/>
      <c r="AD257" s="21"/>
      <c r="AE257" s="21"/>
      <c r="AF257" s="21"/>
      <c r="AG257" s="21"/>
      <c r="AH257" s="21"/>
    </row>
    <row r="258" spans="25:34">
      <c r="Y258" s="92"/>
      <c r="AC258" s="18"/>
      <c r="AD258" s="21"/>
      <c r="AE258" s="21"/>
      <c r="AF258" s="21"/>
      <c r="AG258" s="21"/>
      <c r="AH258" s="21"/>
    </row>
    <row r="259" spans="25:34">
      <c r="Y259" s="92"/>
      <c r="AC259" s="18"/>
      <c r="AD259" s="21"/>
      <c r="AE259" s="21"/>
      <c r="AF259" s="21"/>
      <c r="AG259" s="21"/>
      <c r="AH259" s="21"/>
    </row>
    <row r="260" spans="25:34">
      <c r="Y260" s="92"/>
      <c r="AC260" s="18"/>
      <c r="AD260" s="21"/>
      <c r="AE260" s="21"/>
      <c r="AF260" s="21"/>
      <c r="AG260" s="21"/>
      <c r="AH260" s="21"/>
    </row>
    <row r="261" spans="25:34">
      <c r="Y261" s="92"/>
      <c r="AC261" s="18"/>
      <c r="AD261" s="21"/>
      <c r="AE261" s="21"/>
      <c r="AF261" s="21"/>
      <c r="AG261" s="21"/>
      <c r="AH261" s="21"/>
    </row>
    <row r="262" spans="25:34">
      <c r="Y262" s="92"/>
      <c r="AC262" s="18"/>
      <c r="AD262" s="21"/>
      <c r="AE262" s="21"/>
      <c r="AF262" s="21"/>
      <c r="AG262" s="21"/>
      <c r="AH262" s="21"/>
    </row>
    <row r="263" spans="25:34">
      <c r="Y263" s="92"/>
      <c r="AC263" s="18"/>
      <c r="AD263" s="21"/>
      <c r="AE263" s="21"/>
      <c r="AF263" s="21"/>
      <c r="AG263" s="21"/>
      <c r="AH263" s="21"/>
    </row>
    <row r="264" spans="25:34">
      <c r="Y264" s="92"/>
      <c r="AC264" s="18"/>
      <c r="AD264" s="21"/>
      <c r="AE264" s="21"/>
      <c r="AF264" s="21"/>
      <c r="AG264" s="21"/>
      <c r="AH264" s="21"/>
    </row>
    <row r="265" spans="25:34">
      <c r="Y265" s="92"/>
      <c r="AC265" s="18"/>
      <c r="AD265" s="21"/>
      <c r="AE265" s="21"/>
      <c r="AF265" s="21"/>
      <c r="AG265" s="21"/>
      <c r="AH265" s="21"/>
    </row>
    <row r="266" spans="25:34">
      <c r="Y266" s="92"/>
      <c r="AC266" s="18"/>
      <c r="AD266" s="21"/>
      <c r="AE266" s="21"/>
      <c r="AF266" s="21"/>
      <c r="AG266" s="21"/>
      <c r="AH266" s="21"/>
    </row>
    <row r="267" spans="25:34">
      <c r="Y267" s="92"/>
      <c r="AC267" s="18"/>
      <c r="AD267" s="21"/>
      <c r="AE267" s="21"/>
      <c r="AF267" s="21"/>
      <c r="AG267" s="21"/>
      <c r="AH267" s="21"/>
    </row>
    <row r="268" spans="25:34">
      <c r="Y268" s="92"/>
      <c r="AC268" s="18"/>
      <c r="AD268" s="21"/>
      <c r="AE268" s="21"/>
      <c r="AF268" s="21"/>
      <c r="AG268" s="21"/>
      <c r="AH268" s="21"/>
    </row>
    <row r="269" spans="25:34">
      <c r="Y269" s="92"/>
      <c r="AC269" s="18"/>
      <c r="AD269" s="21"/>
      <c r="AE269" s="21"/>
      <c r="AF269" s="21"/>
      <c r="AG269" s="21"/>
      <c r="AH269" s="21"/>
    </row>
    <row r="270" spans="25:34">
      <c r="Y270" s="92"/>
      <c r="AC270" s="18"/>
      <c r="AD270" s="21"/>
      <c r="AE270" s="21"/>
      <c r="AF270" s="21"/>
      <c r="AG270" s="21"/>
      <c r="AH270" s="21"/>
    </row>
    <row r="271" spans="25:34">
      <c r="Y271" s="92"/>
      <c r="AC271" s="18"/>
      <c r="AD271" s="21"/>
      <c r="AE271" s="21"/>
      <c r="AF271" s="21"/>
      <c r="AG271" s="21"/>
      <c r="AH271" s="21"/>
    </row>
    <row r="272" spans="25:34">
      <c r="Y272" s="92"/>
      <c r="AC272" s="18"/>
      <c r="AD272" s="21"/>
      <c r="AE272" s="21"/>
      <c r="AF272" s="21"/>
      <c r="AG272" s="21"/>
      <c r="AH272" s="21"/>
    </row>
    <row r="273" spans="25:34">
      <c r="Y273" s="92"/>
      <c r="AC273" s="18"/>
      <c r="AD273" s="21"/>
      <c r="AE273" s="21"/>
      <c r="AF273" s="21"/>
      <c r="AG273" s="21"/>
      <c r="AH273" s="21"/>
    </row>
    <row r="274" spans="25:34">
      <c r="Y274" s="92"/>
      <c r="AC274" s="18"/>
      <c r="AD274" s="21"/>
      <c r="AE274" s="21"/>
      <c r="AF274" s="21"/>
      <c r="AG274" s="21"/>
      <c r="AH274" s="21"/>
    </row>
    <row r="275" spans="25:34">
      <c r="Y275" s="92"/>
      <c r="AC275" s="18"/>
      <c r="AD275" s="21"/>
      <c r="AE275" s="21"/>
      <c r="AF275" s="21"/>
      <c r="AG275" s="21"/>
      <c r="AH275" s="21"/>
    </row>
    <row r="276" spans="25:34">
      <c r="Y276" s="92"/>
      <c r="AC276" s="18"/>
      <c r="AD276" s="21"/>
      <c r="AE276" s="21"/>
      <c r="AF276" s="21"/>
      <c r="AG276" s="21"/>
      <c r="AH276" s="21"/>
    </row>
    <row r="277" spans="25:34">
      <c r="Y277" s="92"/>
      <c r="AC277" s="18"/>
      <c r="AD277" s="21"/>
      <c r="AE277" s="21"/>
      <c r="AF277" s="21"/>
      <c r="AG277" s="21"/>
      <c r="AH277" s="21"/>
    </row>
    <row r="278" spans="25:34">
      <c r="Y278" s="92"/>
      <c r="AC278" s="18"/>
      <c r="AD278" s="21"/>
      <c r="AE278" s="21"/>
      <c r="AF278" s="21"/>
      <c r="AG278" s="21"/>
      <c r="AH278" s="21"/>
    </row>
    <row r="279" spans="25:34">
      <c r="Y279" s="92"/>
      <c r="AC279" s="18"/>
      <c r="AD279" s="21"/>
      <c r="AE279" s="21"/>
      <c r="AF279" s="21"/>
      <c r="AG279" s="21"/>
      <c r="AH279" s="21"/>
    </row>
    <row r="280" spans="25:34">
      <c r="Y280" s="92"/>
      <c r="AC280" s="18"/>
      <c r="AD280" s="21"/>
      <c r="AE280" s="21"/>
      <c r="AF280" s="21"/>
      <c r="AG280" s="21"/>
      <c r="AH280" s="21"/>
    </row>
    <row r="281" spans="25:34">
      <c r="Y281" s="92"/>
      <c r="AC281" s="18"/>
      <c r="AD281" s="21"/>
      <c r="AE281" s="21"/>
      <c r="AF281" s="21"/>
      <c r="AG281" s="21"/>
      <c r="AH281" s="21"/>
    </row>
    <row r="282" spans="25:34">
      <c r="Y282" s="92"/>
      <c r="AC282" s="18"/>
      <c r="AD282" s="21"/>
      <c r="AE282" s="21"/>
      <c r="AF282" s="21"/>
      <c r="AG282" s="21"/>
      <c r="AH282" s="21"/>
    </row>
    <row r="283" spans="25:34">
      <c r="Y283" s="92"/>
      <c r="AC283" s="18"/>
      <c r="AD283" s="21"/>
      <c r="AE283" s="21"/>
      <c r="AF283" s="21"/>
      <c r="AG283" s="21"/>
      <c r="AH283" s="21"/>
    </row>
    <row r="284" spans="25:34">
      <c r="Y284" s="92"/>
      <c r="AC284" s="18"/>
      <c r="AD284" s="21"/>
      <c r="AE284" s="21"/>
      <c r="AF284" s="21"/>
      <c r="AG284" s="21"/>
      <c r="AH284" s="21"/>
    </row>
    <row r="285" spans="25:34">
      <c r="Y285" s="92"/>
      <c r="AC285" s="18"/>
      <c r="AD285" s="21"/>
      <c r="AE285" s="21"/>
      <c r="AF285" s="21"/>
      <c r="AG285" s="21"/>
      <c r="AH285" s="21"/>
    </row>
    <row r="286" spans="25:34">
      <c r="Y286" s="92"/>
      <c r="AC286" s="18"/>
      <c r="AD286" s="21"/>
      <c r="AE286" s="21"/>
      <c r="AF286" s="21"/>
      <c r="AG286" s="21"/>
      <c r="AH286" s="21"/>
    </row>
    <row r="287" spans="25:34">
      <c r="Y287" s="92"/>
      <c r="AC287" s="18"/>
      <c r="AD287" s="21"/>
      <c r="AE287" s="21"/>
      <c r="AF287" s="21"/>
      <c r="AG287" s="21"/>
      <c r="AH287" s="21"/>
    </row>
    <row r="288" spans="25:34">
      <c r="Y288" s="92"/>
      <c r="AC288" s="18"/>
      <c r="AD288" s="21"/>
      <c r="AE288" s="21"/>
      <c r="AF288" s="21"/>
      <c r="AG288" s="21"/>
      <c r="AH288" s="21"/>
    </row>
    <row r="289" spans="25:34">
      <c r="Y289" s="92"/>
      <c r="AC289" s="18"/>
      <c r="AD289" s="21"/>
      <c r="AE289" s="21"/>
      <c r="AF289" s="21"/>
      <c r="AG289" s="21"/>
      <c r="AH289" s="21"/>
    </row>
    <row r="290" spans="25:34">
      <c r="Y290" s="92"/>
      <c r="AC290" s="18"/>
      <c r="AD290" s="21"/>
      <c r="AE290" s="21"/>
      <c r="AF290" s="21"/>
      <c r="AG290" s="21"/>
      <c r="AH290" s="21"/>
    </row>
    <row r="291" spans="25:34">
      <c r="Y291" s="92"/>
      <c r="AC291" s="18"/>
      <c r="AD291" s="21"/>
      <c r="AE291" s="21"/>
      <c r="AF291" s="21"/>
      <c r="AG291" s="21"/>
      <c r="AH291" s="21"/>
    </row>
    <row r="292" spans="25:34">
      <c r="Y292" s="92"/>
      <c r="AC292" s="18"/>
      <c r="AD292" s="21"/>
      <c r="AE292" s="21"/>
      <c r="AF292" s="21"/>
      <c r="AG292" s="21"/>
      <c r="AH292" s="21"/>
    </row>
    <row r="293" spans="25:34">
      <c r="Y293" s="92"/>
      <c r="AC293" s="18"/>
      <c r="AD293" s="21"/>
      <c r="AE293" s="21"/>
      <c r="AF293" s="21"/>
      <c r="AG293" s="21"/>
      <c r="AH293" s="21"/>
    </row>
    <row r="294" spans="25:34">
      <c r="Y294" s="92"/>
      <c r="AC294" s="18"/>
      <c r="AD294" s="21"/>
      <c r="AE294" s="21"/>
      <c r="AF294" s="21"/>
      <c r="AG294" s="21"/>
      <c r="AH294" s="21"/>
    </row>
    <row r="295" spans="25:34">
      <c r="Y295" s="92"/>
      <c r="AC295" s="18"/>
      <c r="AD295" s="21"/>
      <c r="AE295" s="21"/>
      <c r="AF295" s="21"/>
      <c r="AG295" s="21"/>
      <c r="AH295" s="21"/>
    </row>
    <row r="296" spans="25:34">
      <c r="Y296" s="92"/>
      <c r="AC296" s="18"/>
      <c r="AD296" s="21"/>
      <c r="AE296" s="21"/>
      <c r="AF296" s="21"/>
      <c r="AG296" s="21"/>
      <c r="AH296" s="21"/>
    </row>
    <row r="297" spans="25:34">
      <c r="Y297" s="92"/>
      <c r="AC297" s="18"/>
      <c r="AD297" s="21"/>
      <c r="AE297" s="21"/>
      <c r="AF297" s="21"/>
      <c r="AG297" s="21"/>
      <c r="AH297" s="21"/>
    </row>
    <row r="298" spans="25:34">
      <c r="Y298" s="92"/>
      <c r="AC298" s="18"/>
      <c r="AD298" s="21"/>
      <c r="AE298" s="21"/>
      <c r="AF298" s="21"/>
      <c r="AG298" s="21"/>
      <c r="AH298" s="21"/>
    </row>
    <row r="299" spans="25:34">
      <c r="Y299" s="92"/>
      <c r="AC299" s="18"/>
      <c r="AD299" s="21"/>
      <c r="AE299" s="21"/>
      <c r="AF299" s="21"/>
      <c r="AG299" s="21"/>
      <c r="AH299" s="21"/>
    </row>
    <row r="300" spans="25:34">
      <c r="Y300" s="92"/>
      <c r="AC300" s="18"/>
      <c r="AD300" s="21"/>
      <c r="AE300" s="21"/>
      <c r="AF300" s="21"/>
      <c r="AG300" s="21"/>
      <c r="AH300" s="21"/>
    </row>
    <row r="301" spans="25:34">
      <c r="Y301" s="92"/>
      <c r="AC301" s="18"/>
      <c r="AD301" s="21"/>
      <c r="AE301" s="21"/>
      <c r="AF301" s="21"/>
      <c r="AG301" s="21"/>
      <c r="AH301" s="21"/>
    </row>
    <row r="302" spans="25:34">
      <c r="Y302" s="92"/>
      <c r="AC302" s="18"/>
      <c r="AD302" s="21"/>
      <c r="AE302" s="21"/>
      <c r="AF302" s="21"/>
      <c r="AG302" s="21"/>
      <c r="AH302" s="21"/>
    </row>
    <row r="303" spans="25:34">
      <c r="Y303" s="92"/>
      <c r="AC303" s="18"/>
      <c r="AD303" s="21"/>
      <c r="AE303" s="21"/>
      <c r="AF303" s="21"/>
      <c r="AG303" s="21"/>
      <c r="AH303" s="21"/>
    </row>
    <row r="304" spans="25:34">
      <c r="Y304" s="92"/>
      <c r="AC304" s="18"/>
      <c r="AD304" s="21"/>
      <c r="AE304" s="21"/>
      <c r="AF304" s="21"/>
      <c r="AG304" s="21"/>
      <c r="AH304" s="21"/>
    </row>
    <row r="305" spans="25:34">
      <c r="Y305" s="92"/>
      <c r="AC305" s="18"/>
      <c r="AD305" s="21"/>
      <c r="AE305" s="21"/>
      <c r="AF305" s="21"/>
      <c r="AG305" s="21"/>
      <c r="AH305" s="21"/>
    </row>
    <row r="306" spans="25:34">
      <c r="Y306" s="92"/>
      <c r="AC306" s="18"/>
      <c r="AD306" s="21"/>
      <c r="AE306" s="21"/>
      <c r="AF306" s="21"/>
      <c r="AG306" s="21"/>
      <c r="AH306" s="21"/>
    </row>
    <row r="307" spans="25:34">
      <c r="Y307" s="92"/>
      <c r="AC307" s="18"/>
      <c r="AD307" s="21"/>
      <c r="AE307" s="21"/>
      <c r="AF307" s="21"/>
      <c r="AG307" s="21"/>
      <c r="AH307" s="21"/>
    </row>
    <row r="308" spans="25:34">
      <c r="Y308" s="92"/>
      <c r="AC308" s="18"/>
      <c r="AD308" s="21"/>
      <c r="AE308" s="21"/>
      <c r="AF308" s="21"/>
      <c r="AG308" s="21"/>
      <c r="AH308" s="21"/>
    </row>
    <row r="309" spans="25:34">
      <c r="Y309" s="92"/>
      <c r="AC309" s="18"/>
      <c r="AD309" s="21"/>
      <c r="AE309" s="21"/>
      <c r="AF309" s="21"/>
      <c r="AG309" s="21"/>
      <c r="AH309" s="21"/>
    </row>
    <row r="310" spans="25:34">
      <c r="Y310" s="92"/>
      <c r="AC310" s="18"/>
      <c r="AD310" s="21"/>
      <c r="AE310" s="21"/>
      <c r="AF310" s="21"/>
      <c r="AG310" s="21"/>
      <c r="AH310" s="21"/>
    </row>
    <row r="311" spans="25:34">
      <c r="Y311" s="92"/>
      <c r="AC311" s="18"/>
      <c r="AD311" s="21"/>
      <c r="AE311" s="21"/>
      <c r="AF311" s="21"/>
      <c r="AG311" s="21"/>
      <c r="AH311" s="21"/>
    </row>
    <row r="312" spans="25:34">
      <c r="Y312" s="92"/>
      <c r="AC312" s="18"/>
      <c r="AD312" s="21"/>
      <c r="AE312" s="21"/>
      <c r="AF312" s="21"/>
      <c r="AG312" s="21"/>
      <c r="AH312" s="21"/>
    </row>
    <row r="313" spans="25:34">
      <c r="Y313" s="92"/>
      <c r="AC313" s="18"/>
      <c r="AD313" s="21"/>
      <c r="AE313" s="21"/>
      <c r="AF313" s="21"/>
      <c r="AG313" s="21"/>
      <c r="AH313" s="21"/>
    </row>
    <row r="314" spans="25:34">
      <c r="Y314" s="92"/>
      <c r="AC314" s="18"/>
      <c r="AD314" s="21"/>
      <c r="AE314" s="21"/>
      <c r="AF314" s="21"/>
      <c r="AG314" s="21"/>
      <c r="AH314" s="21"/>
    </row>
    <row r="315" spans="25:34">
      <c r="Y315" s="92"/>
      <c r="AC315" s="18"/>
      <c r="AD315" s="21"/>
      <c r="AE315" s="21"/>
      <c r="AF315" s="21"/>
      <c r="AG315" s="21"/>
      <c r="AH315" s="21"/>
    </row>
    <row r="316" spans="25:34">
      <c r="Y316" s="92"/>
      <c r="AC316" s="18"/>
      <c r="AD316" s="21"/>
      <c r="AE316" s="21"/>
      <c r="AF316" s="21"/>
      <c r="AG316" s="21"/>
      <c r="AH316" s="21"/>
    </row>
    <row r="317" spans="25:34">
      <c r="Y317" s="92"/>
      <c r="AC317" s="18"/>
      <c r="AD317" s="21"/>
      <c r="AE317" s="21"/>
      <c r="AF317" s="21"/>
      <c r="AG317" s="21"/>
      <c r="AH317" s="21"/>
    </row>
    <row r="318" spans="25:34">
      <c r="Y318" s="92"/>
      <c r="AC318" s="18"/>
      <c r="AD318" s="21"/>
      <c r="AE318" s="21"/>
      <c r="AF318" s="21"/>
      <c r="AG318" s="21"/>
      <c r="AH318" s="21"/>
    </row>
    <row r="319" spans="25:34">
      <c r="Y319" s="92"/>
      <c r="AC319" s="18"/>
      <c r="AD319" s="21"/>
      <c r="AE319" s="21"/>
      <c r="AF319" s="21"/>
      <c r="AG319" s="21"/>
      <c r="AH319" s="21"/>
    </row>
    <row r="320" spans="25:34">
      <c r="Y320" s="92"/>
      <c r="AC320" s="18"/>
      <c r="AD320" s="21"/>
      <c r="AE320" s="21"/>
      <c r="AF320" s="21"/>
      <c r="AG320" s="21"/>
      <c r="AH320" s="21"/>
    </row>
    <row r="321" spans="25:34">
      <c r="Y321" s="92"/>
      <c r="AC321" s="18"/>
      <c r="AD321" s="21"/>
      <c r="AE321" s="21"/>
      <c r="AF321" s="21"/>
      <c r="AG321" s="21"/>
      <c r="AH321" s="21"/>
    </row>
    <row r="322" spans="25:34">
      <c r="Y322" s="92"/>
      <c r="AC322" s="18"/>
      <c r="AD322" s="21"/>
      <c r="AE322" s="21"/>
      <c r="AF322" s="21"/>
      <c r="AG322" s="21"/>
      <c r="AH322" s="21"/>
    </row>
    <row r="323" spans="25:34">
      <c r="Y323" s="92"/>
      <c r="AC323" s="18"/>
      <c r="AD323" s="21"/>
      <c r="AE323" s="21"/>
      <c r="AF323" s="21"/>
      <c r="AG323" s="21"/>
      <c r="AH323" s="21"/>
    </row>
    <row r="324" spans="25:34">
      <c r="Y324" s="92"/>
      <c r="AC324" s="18"/>
      <c r="AD324" s="21"/>
      <c r="AE324" s="21"/>
      <c r="AF324" s="21"/>
      <c r="AG324" s="21"/>
      <c r="AH324" s="21"/>
    </row>
    <row r="325" spans="25:34">
      <c r="Y325" s="92"/>
      <c r="AC325" s="18"/>
      <c r="AD325" s="21"/>
      <c r="AE325" s="21"/>
      <c r="AF325" s="21"/>
      <c r="AG325" s="21"/>
      <c r="AH325" s="21"/>
    </row>
    <row r="326" spans="25:34">
      <c r="Y326" s="92"/>
      <c r="AC326" s="18"/>
      <c r="AD326" s="21"/>
      <c r="AE326" s="21"/>
      <c r="AF326" s="21"/>
      <c r="AG326" s="21"/>
      <c r="AH326" s="21"/>
    </row>
    <row r="327" spans="25:34">
      <c r="Y327" s="92"/>
      <c r="AC327" s="18"/>
      <c r="AD327" s="21"/>
      <c r="AE327" s="21"/>
      <c r="AF327" s="21"/>
      <c r="AG327" s="21"/>
      <c r="AH327" s="21"/>
    </row>
    <row r="328" spans="25:34">
      <c r="Y328" s="92"/>
      <c r="AC328" s="18"/>
      <c r="AD328" s="21"/>
      <c r="AE328" s="21"/>
      <c r="AF328" s="21"/>
      <c r="AG328" s="21"/>
      <c r="AH328" s="21"/>
    </row>
    <row r="329" spans="25:34">
      <c r="Y329" s="92"/>
      <c r="AC329" s="18"/>
      <c r="AD329" s="21"/>
      <c r="AE329" s="21"/>
      <c r="AF329" s="21"/>
      <c r="AG329" s="21"/>
      <c r="AH329" s="21"/>
    </row>
    <row r="330" spans="25:34">
      <c r="Y330" s="92"/>
      <c r="AC330" s="18"/>
      <c r="AD330" s="21"/>
      <c r="AE330" s="21"/>
      <c r="AF330" s="21"/>
      <c r="AG330" s="21"/>
      <c r="AH330" s="21"/>
    </row>
    <row r="331" spans="25:34">
      <c r="Y331" s="92"/>
      <c r="AC331" s="18"/>
      <c r="AD331" s="21"/>
      <c r="AE331" s="21"/>
      <c r="AF331" s="21"/>
      <c r="AG331" s="21"/>
      <c r="AH331" s="21"/>
    </row>
    <row r="332" spans="25:34">
      <c r="Y332" s="92"/>
      <c r="AC332" s="18"/>
      <c r="AD332" s="21"/>
      <c r="AE332" s="21"/>
      <c r="AF332" s="21"/>
      <c r="AG332" s="21"/>
      <c r="AH332" s="21"/>
    </row>
    <row r="333" spans="25:34">
      <c r="Y333" s="92"/>
      <c r="AC333" s="18"/>
      <c r="AD333" s="21"/>
      <c r="AE333" s="21"/>
      <c r="AF333" s="21"/>
      <c r="AG333" s="21"/>
      <c r="AH333" s="21"/>
    </row>
    <row r="334" spans="25:34">
      <c r="Y334" s="92"/>
      <c r="AC334" s="18"/>
      <c r="AD334" s="21"/>
      <c r="AE334" s="21"/>
      <c r="AF334" s="21"/>
      <c r="AG334" s="21"/>
      <c r="AH334" s="21"/>
    </row>
    <row r="335" spans="25:34">
      <c r="Y335" s="92"/>
      <c r="AC335" s="18"/>
      <c r="AD335" s="21"/>
      <c r="AE335" s="21"/>
      <c r="AF335" s="21"/>
      <c r="AG335" s="21"/>
      <c r="AH335" s="21"/>
    </row>
    <row r="336" spans="25:34">
      <c r="Y336" s="92"/>
      <c r="AC336" s="18"/>
      <c r="AD336" s="21"/>
      <c r="AE336" s="21"/>
      <c r="AF336" s="21"/>
      <c r="AG336" s="21"/>
      <c r="AH336" s="21"/>
    </row>
    <row r="337" spans="25:34">
      <c r="Y337" s="92"/>
      <c r="AC337" s="18"/>
      <c r="AD337" s="21"/>
      <c r="AE337" s="21"/>
      <c r="AF337" s="21"/>
      <c r="AG337" s="21"/>
      <c r="AH337" s="21"/>
    </row>
    <row r="338" spans="25:34">
      <c r="Y338" s="92"/>
      <c r="AC338" s="18"/>
      <c r="AD338" s="21"/>
      <c r="AE338" s="21"/>
      <c r="AF338" s="21"/>
      <c r="AG338" s="21"/>
      <c r="AH338" s="21"/>
    </row>
    <row r="339" spans="25:34">
      <c r="Y339" s="92"/>
      <c r="AC339" s="18"/>
      <c r="AD339" s="21"/>
      <c r="AE339" s="21"/>
      <c r="AF339" s="21"/>
      <c r="AG339" s="21"/>
      <c r="AH339" s="21"/>
    </row>
    <row r="340" spans="25:34">
      <c r="Y340" s="92"/>
      <c r="AC340" s="18"/>
      <c r="AD340" s="21"/>
      <c r="AE340" s="21"/>
      <c r="AF340" s="21"/>
      <c r="AG340" s="21"/>
      <c r="AH340" s="21"/>
    </row>
    <row r="341" spans="25:34">
      <c r="Y341" s="92"/>
      <c r="AC341" s="18"/>
      <c r="AD341" s="21"/>
      <c r="AE341" s="21"/>
      <c r="AF341" s="21"/>
      <c r="AG341" s="21"/>
      <c r="AH341" s="21"/>
    </row>
    <row r="342" spans="25:34">
      <c r="Y342" s="92"/>
      <c r="AC342" s="18"/>
      <c r="AD342" s="21"/>
      <c r="AE342" s="21"/>
      <c r="AF342" s="21"/>
      <c r="AG342" s="21"/>
      <c r="AH342" s="21"/>
    </row>
    <row r="343" spans="25:34">
      <c r="Y343" s="92"/>
      <c r="AC343" s="18"/>
      <c r="AD343" s="21"/>
      <c r="AE343" s="21"/>
      <c r="AF343" s="21"/>
      <c r="AG343" s="21"/>
      <c r="AH343" s="21"/>
    </row>
    <row r="344" spans="25:34">
      <c r="Y344" s="92"/>
      <c r="AC344" s="18"/>
      <c r="AD344" s="21"/>
      <c r="AE344" s="21"/>
      <c r="AF344" s="21"/>
      <c r="AG344" s="21"/>
      <c r="AH344" s="21"/>
    </row>
    <row r="345" spans="25:34">
      <c r="Y345" s="92"/>
      <c r="AC345" s="18"/>
      <c r="AD345" s="21"/>
      <c r="AE345" s="21"/>
      <c r="AF345" s="21"/>
      <c r="AG345" s="21"/>
      <c r="AH345" s="21"/>
    </row>
    <row r="346" spans="25:34">
      <c r="Y346" s="92"/>
      <c r="AC346" s="18"/>
      <c r="AD346" s="21"/>
      <c r="AE346" s="21"/>
      <c r="AF346" s="21"/>
      <c r="AG346" s="21"/>
      <c r="AH346" s="21"/>
    </row>
    <row r="347" spans="25:34">
      <c r="Y347" s="92"/>
      <c r="AC347" s="18"/>
      <c r="AD347" s="21"/>
      <c r="AE347" s="21"/>
      <c r="AF347" s="21"/>
      <c r="AG347" s="21"/>
      <c r="AH347" s="21"/>
    </row>
    <row r="348" spans="25:34">
      <c r="Y348" s="92"/>
      <c r="AC348" s="18"/>
      <c r="AD348" s="21"/>
      <c r="AE348" s="21"/>
      <c r="AF348" s="21"/>
      <c r="AG348" s="21"/>
      <c r="AH348" s="21"/>
    </row>
    <row r="349" spans="25:34">
      <c r="Y349" s="92"/>
      <c r="AC349" s="18"/>
      <c r="AD349" s="21"/>
      <c r="AE349" s="21"/>
      <c r="AF349" s="21"/>
      <c r="AG349" s="21"/>
      <c r="AH349" s="21"/>
    </row>
    <row r="350" spans="25:34">
      <c r="Y350" s="92"/>
      <c r="AC350" s="18"/>
      <c r="AD350" s="21"/>
      <c r="AE350" s="21"/>
      <c r="AF350" s="21"/>
      <c r="AG350" s="21"/>
      <c r="AH350" s="21"/>
    </row>
    <row r="351" spans="25:34">
      <c r="Y351" s="92"/>
      <c r="AC351" s="18"/>
      <c r="AD351" s="21"/>
      <c r="AE351" s="21"/>
      <c r="AF351" s="21"/>
      <c r="AG351" s="21"/>
      <c r="AH351" s="21"/>
    </row>
    <row r="352" spans="25:34">
      <c r="Y352" s="92"/>
      <c r="AC352" s="18"/>
      <c r="AD352" s="21"/>
      <c r="AE352" s="21"/>
      <c r="AF352" s="21"/>
      <c r="AG352" s="21"/>
      <c r="AH352" s="21"/>
    </row>
    <row r="353" spans="25:34">
      <c r="Y353" s="92"/>
      <c r="AC353" s="18"/>
      <c r="AD353" s="21"/>
      <c r="AE353" s="21"/>
      <c r="AF353" s="21"/>
      <c r="AG353" s="21"/>
      <c r="AH353" s="21"/>
    </row>
    <row r="354" spans="25:34">
      <c r="Y354" s="92"/>
      <c r="AC354" s="18"/>
      <c r="AD354" s="21"/>
      <c r="AE354" s="21"/>
      <c r="AF354" s="21"/>
      <c r="AG354" s="21"/>
      <c r="AH354" s="21"/>
    </row>
    <row r="355" spans="25:34">
      <c r="Y355" s="92"/>
      <c r="AC355" s="18"/>
      <c r="AD355" s="21"/>
      <c r="AE355" s="21"/>
      <c r="AF355" s="21"/>
      <c r="AG355" s="21"/>
      <c r="AH355" s="21"/>
    </row>
    <row r="356" spans="25:34">
      <c r="Y356" s="92"/>
      <c r="AC356" s="18"/>
      <c r="AD356" s="21"/>
      <c r="AE356" s="21"/>
      <c r="AF356" s="21"/>
      <c r="AG356" s="21"/>
      <c r="AH356" s="21"/>
    </row>
    <row r="357" spans="25:34">
      <c r="Y357" s="92"/>
      <c r="AC357" s="18"/>
      <c r="AD357" s="21"/>
      <c r="AE357" s="21"/>
      <c r="AF357" s="21"/>
      <c r="AG357" s="21"/>
      <c r="AH357" s="21"/>
    </row>
    <row r="358" spans="25:34">
      <c r="Y358" s="92"/>
      <c r="AC358" s="18"/>
      <c r="AD358" s="21"/>
      <c r="AE358" s="21"/>
      <c r="AF358" s="21"/>
      <c r="AG358" s="21"/>
      <c r="AH358" s="21"/>
    </row>
    <row r="359" spans="25:34">
      <c r="Y359" s="92"/>
      <c r="AC359" s="18"/>
      <c r="AD359" s="21"/>
      <c r="AE359" s="21"/>
      <c r="AF359" s="21"/>
      <c r="AG359" s="21"/>
      <c r="AH359" s="21"/>
    </row>
    <row r="360" spans="25:34">
      <c r="Y360" s="92"/>
      <c r="AC360" s="18"/>
      <c r="AD360" s="21"/>
      <c r="AE360" s="21"/>
      <c r="AF360" s="21"/>
      <c r="AG360" s="21"/>
      <c r="AH360" s="21"/>
    </row>
    <row r="361" spans="25:34">
      <c r="Y361" s="92"/>
      <c r="AC361" s="18"/>
      <c r="AD361" s="21"/>
      <c r="AE361" s="21"/>
      <c r="AF361" s="21"/>
      <c r="AG361" s="21"/>
      <c r="AH361" s="21"/>
    </row>
    <row r="362" spans="25:34">
      <c r="Y362" s="92"/>
      <c r="AC362" s="18"/>
      <c r="AD362" s="21"/>
      <c r="AE362" s="21"/>
      <c r="AF362" s="21"/>
      <c r="AG362" s="21"/>
      <c r="AH362" s="21"/>
    </row>
    <row r="363" spans="25:34">
      <c r="Y363" s="92"/>
      <c r="AC363" s="18"/>
      <c r="AD363" s="21"/>
      <c r="AE363" s="21"/>
      <c r="AF363" s="21"/>
      <c r="AG363" s="21"/>
      <c r="AH363" s="21"/>
    </row>
    <row r="364" spans="25:34">
      <c r="Y364" s="92"/>
      <c r="AC364" s="18"/>
      <c r="AD364" s="21"/>
      <c r="AE364" s="21"/>
      <c r="AF364" s="21"/>
      <c r="AG364" s="21"/>
      <c r="AH364" s="21"/>
    </row>
    <row r="365" spans="25:34">
      <c r="Y365" s="92"/>
      <c r="AC365" s="18"/>
      <c r="AD365" s="21"/>
      <c r="AE365" s="21"/>
      <c r="AF365" s="21"/>
      <c r="AG365" s="21"/>
      <c r="AH365" s="21"/>
    </row>
    <row r="366" spans="25:34">
      <c r="Y366" s="92"/>
      <c r="AC366" s="18"/>
      <c r="AD366" s="21"/>
      <c r="AE366" s="21"/>
      <c r="AF366" s="21"/>
      <c r="AG366" s="21"/>
      <c r="AH366" s="21"/>
    </row>
    <row r="367" spans="25:34">
      <c r="Y367" s="92"/>
      <c r="AC367" s="18"/>
      <c r="AD367" s="21"/>
      <c r="AE367" s="21"/>
      <c r="AF367" s="21"/>
      <c r="AG367" s="21"/>
      <c r="AH367" s="21"/>
    </row>
    <row r="368" spans="25:34">
      <c r="Y368" s="92"/>
      <c r="AC368" s="18"/>
      <c r="AD368" s="21"/>
      <c r="AE368" s="21"/>
      <c r="AF368" s="21"/>
      <c r="AG368" s="21"/>
      <c r="AH368" s="21"/>
    </row>
    <row r="369" spans="25:34">
      <c r="Y369" s="92"/>
      <c r="AC369" s="18"/>
      <c r="AD369" s="21"/>
      <c r="AE369" s="21"/>
      <c r="AF369" s="21"/>
      <c r="AG369" s="21"/>
      <c r="AH369" s="21"/>
    </row>
    <row r="370" spans="25:34">
      <c r="Y370" s="92"/>
      <c r="AC370" s="18"/>
      <c r="AD370" s="21"/>
      <c r="AE370" s="21"/>
      <c r="AF370" s="21"/>
      <c r="AG370" s="21"/>
      <c r="AH370" s="21"/>
    </row>
    <row r="371" spans="25:34">
      <c r="Y371" s="92"/>
      <c r="AC371" s="18"/>
      <c r="AD371" s="21"/>
      <c r="AE371" s="21"/>
      <c r="AF371" s="21"/>
      <c r="AG371" s="21"/>
      <c r="AH371" s="21"/>
    </row>
    <row r="372" spans="25:34">
      <c r="Y372" s="92"/>
      <c r="AC372" s="18"/>
      <c r="AD372" s="21"/>
      <c r="AE372" s="21"/>
      <c r="AF372" s="21"/>
      <c r="AG372" s="21"/>
      <c r="AH372" s="21"/>
    </row>
    <row r="373" spans="25:34">
      <c r="Y373" s="92"/>
      <c r="AC373" s="18"/>
      <c r="AD373" s="21"/>
      <c r="AE373" s="21"/>
      <c r="AF373" s="21"/>
      <c r="AG373" s="21"/>
      <c r="AH373" s="21"/>
    </row>
    <row r="374" spans="25:34">
      <c r="Y374" s="92"/>
      <c r="AC374" s="18"/>
      <c r="AD374" s="21"/>
      <c r="AE374" s="21"/>
      <c r="AF374" s="21"/>
      <c r="AG374" s="21"/>
      <c r="AH374" s="21"/>
    </row>
    <row r="375" spans="25:34">
      <c r="Y375" s="92"/>
      <c r="AC375" s="18"/>
      <c r="AD375" s="21"/>
      <c r="AE375" s="21"/>
      <c r="AF375" s="21"/>
      <c r="AG375" s="21"/>
      <c r="AH375" s="21"/>
    </row>
    <row r="376" spans="25:34">
      <c r="Y376" s="92"/>
      <c r="AC376" s="18"/>
      <c r="AD376" s="21"/>
      <c r="AE376" s="21"/>
      <c r="AF376" s="21"/>
      <c r="AG376" s="21"/>
      <c r="AH376" s="21"/>
    </row>
    <row r="377" spans="25:34">
      <c r="Y377" s="92"/>
      <c r="AC377" s="18"/>
      <c r="AD377" s="21"/>
      <c r="AE377" s="21"/>
      <c r="AF377" s="21"/>
      <c r="AG377" s="21"/>
      <c r="AH377" s="21"/>
    </row>
    <row r="378" spans="25:34">
      <c r="Y378" s="92"/>
      <c r="AC378" s="18"/>
      <c r="AD378" s="21"/>
      <c r="AE378" s="21"/>
      <c r="AF378" s="21"/>
      <c r="AG378" s="21"/>
      <c r="AH378" s="21"/>
    </row>
    <row r="379" spans="25:34">
      <c r="Y379" s="92"/>
      <c r="AC379" s="18"/>
      <c r="AD379" s="21"/>
      <c r="AE379" s="21"/>
      <c r="AF379" s="21"/>
      <c r="AG379" s="21"/>
      <c r="AH379" s="21"/>
    </row>
    <row r="380" spans="25:34">
      <c r="Y380" s="92"/>
      <c r="AC380" s="18"/>
      <c r="AD380" s="21"/>
      <c r="AE380" s="21"/>
      <c r="AF380" s="21"/>
      <c r="AG380" s="21"/>
      <c r="AH380" s="21"/>
    </row>
    <row r="381" spans="25:34">
      <c r="Y381" s="92"/>
      <c r="AC381" s="18"/>
      <c r="AD381" s="21"/>
      <c r="AE381" s="21"/>
      <c r="AF381" s="21"/>
      <c r="AG381" s="21"/>
      <c r="AH381" s="21"/>
    </row>
    <row r="382" spans="25:34">
      <c r="Y382" s="92"/>
      <c r="AC382" s="18"/>
      <c r="AD382" s="21"/>
      <c r="AE382" s="21"/>
      <c r="AF382" s="21"/>
      <c r="AG382" s="21"/>
      <c r="AH382" s="21"/>
    </row>
    <row r="383" spans="25:34">
      <c r="Y383" s="92"/>
      <c r="AC383" s="18"/>
      <c r="AD383" s="21"/>
      <c r="AE383" s="21"/>
      <c r="AF383" s="21"/>
      <c r="AG383" s="21"/>
      <c r="AH383" s="21"/>
    </row>
    <row r="384" spans="25:34">
      <c r="Y384" s="92"/>
      <c r="AC384" s="18"/>
      <c r="AD384" s="21"/>
      <c r="AE384" s="21"/>
      <c r="AF384" s="21"/>
      <c r="AG384" s="21"/>
      <c r="AH384" s="21"/>
    </row>
    <row r="385" spans="25:34">
      <c r="Y385" s="92"/>
      <c r="AC385" s="18"/>
      <c r="AD385" s="21"/>
      <c r="AE385" s="21"/>
      <c r="AF385" s="21"/>
      <c r="AG385" s="21"/>
      <c r="AH385" s="21"/>
    </row>
    <row r="386" spans="25:34">
      <c r="Y386" s="92"/>
      <c r="AC386" s="18"/>
      <c r="AD386" s="21"/>
      <c r="AE386" s="21"/>
      <c r="AF386" s="21"/>
      <c r="AG386" s="21"/>
      <c r="AH386" s="21"/>
    </row>
    <row r="387" spans="25:34">
      <c r="Y387" s="92"/>
      <c r="AC387" s="18"/>
      <c r="AD387" s="21"/>
      <c r="AE387" s="21"/>
      <c r="AF387" s="21"/>
      <c r="AG387" s="21"/>
      <c r="AH387" s="21"/>
    </row>
    <row r="388" spans="25:34">
      <c r="Y388" s="92"/>
      <c r="AC388" s="18"/>
      <c r="AD388" s="21"/>
      <c r="AE388" s="21"/>
      <c r="AF388" s="21"/>
      <c r="AG388" s="21"/>
      <c r="AH388" s="21"/>
    </row>
    <row r="389" spans="25:34">
      <c r="Y389" s="92"/>
      <c r="AC389" s="18"/>
      <c r="AD389" s="21"/>
      <c r="AE389" s="21"/>
      <c r="AF389" s="21"/>
      <c r="AG389" s="21"/>
      <c r="AH389" s="21"/>
    </row>
    <row r="390" spans="25:34">
      <c r="Y390" s="92"/>
      <c r="AC390" s="18"/>
      <c r="AD390" s="21"/>
      <c r="AE390" s="21"/>
      <c r="AF390" s="21"/>
      <c r="AG390" s="21"/>
      <c r="AH390" s="21"/>
    </row>
    <row r="391" spans="25:34">
      <c r="Y391" s="92"/>
      <c r="AC391" s="18"/>
      <c r="AD391" s="21"/>
      <c r="AE391" s="21"/>
      <c r="AF391" s="21"/>
      <c r="AG391" s="21"/>
      <c r="AH391" s="21"/>
    </row>
    <row r="392" spans="25:34">
      <c r="Y392" s="92"/>
      <c r="AC392" s="18"/>
      <c r="AD392" s="21"/>
      <c r="AE392" s="21"/>
      <c r="AF392" s="21"/>
      <c r="AG392" s="21"/>
      <c r="AH392" s="21"/>
    </row>
    <row r="393" spans="25:34">
      <c r="Y393" s="92"/>
      <c r="AC393" s="18"/>
      <c r="AD393" s="21"/>
      <c r="AE393" s="21"/>
      <c r="AF393" s="21"/>
      <c r="AG393" s="21"/>
      <c r="AH393" s="21"/>
    </row>
    <row r="394" spans="25:34">
      <c r="Y394" s="92"/>
      <c r="AC394" s="18"/>
      <c r="AD394" s="21"/>
      <c r="AE394" s="21"/>
      <c r="AF394" s="21"/>
      <c r="AG394" s="21"/>
      <c r="AH394" s="21"/>
    </row>
    <row r="395" spans="25:34">
      <c r="Y395" s="92"/>
      <c r="AC395" s="18"/>
      <c r="AD395" s="21"/>
      <c r="AE395" s="21"/>
      <c r="AF395" s="21"/>
      <c r="AG395" s="21"/>
      <c r="AH395" s="21"/>
    </row>
    <row r="396" spans="25:34">
      <c r="Y396" s="92"/>
      <c r="AC396" s="18"/>
      <c r="AD396" s="21"/>
      <c r="AE396" s="21"/>
      <c r="AF396" s="21"/>
      <c r="AG396" s="21"/>
      <c r="AH396" s="21"/>
    </row>
    <row r="397" spans="25:34">
      <c r="Y397" s="92"/>
      <c r="AC397" s="18"/>
      <c r="AD397" s="21"/>
      <c r="AE397" s="21"/>
      <c r="AF397" s="21"/>
      <c r="AG397" s="21"/>
      <c r="AH397" s="21"/>
    </row>
    <row r="398" spans="25:34">
      <c r="Y398" s="92"/>
      <c r="AC398" s="18"/>
      <c r="AD398" s="21"/>
      <c r="AE398" s="21"/>
      <c r="AF398" s="21"/>
      <c r="AG398" s="21"/>
      <c r="AH398" s="21"/>
    </row>
    <row r="399" spans="25:34">
      <c r="Y399" s="92"/>
    </row>
    <row r="400" spans="25:34">
      <c r="Y400" s="92"/>
    </row>
    <row r="401" spans="25:25">
      <c r="Y401" s="92"/>
    </row>
    <row r="402" spans="25:25">
      <c r="Y402" s="92"/>
    </row>
    <row r="403" spans="25:25">
      <c r="Y403" s="92"/>
    </row>
    <row r="404" spans="25:25">
      <c r="Y404" s="92"/>
    </row>
    <row r="405" spans="25:25">
      <c r="Y405" s="92"/>
    </row>
    <row r="406" spans="25:25">
      <c r="Y406" s="92"/>
    </row>
    <row r="407" spans="25:25">
      <c r="Y407" s="92"/>
    </row>
    <row r="408" spans="25:25">
      <c r="Y408" s="92"/>
    </row>
    <row r="409" spans="25:25">
      <c r="Y409" s="92"/>
    </row>
    <row r="410" spans="25:25">
      <c r="Y410" s="92"/>
    </row>
    <row r="411" spans="25:25">
      <c r="Y411" s="92"/>
    </row>
    <row r="412" spans="25:25">
      <c r="Y412" s="92"/>
    </row>
    <row r="413" spans="25:25">
      <c r="Y413" s="92"/>
    </row>
    <row r="414" spans="25:25">
      <c r="Y414" s="92"/>
    </row>
    <row r="415" spans="25:25">
      <c r="Y415" s="92"/>
    </row>
    <row r="416" spans="25:25">
      <c r="Y416" s="92"/>
    </row>
    <row r="417" spans="25:25">
      <c r="Y417" s="92"/>
    </row>
    <row r="418" spans="25:25">
      <c r="Y418" s="92"/>
    </row>
    <row r="419" spans="25:25">
      <c r="Y419" s="92"/>
    </row>
    <row r="420" spans="25:25">
      <c r="Y420" s="92"/>
    </row>
    <row r="421" spans="25:25">
      <c r="Y421" s="92"/>
    </row>
    <row r="422" spans="25:25">
      <c r="Y422" s="92"/>
    </row>
    <row r="423" spans="25:25">
      <c r="Y423" s="92"/>
    </row>
    <row r="424" spans="25:25">
      <c r="Y424" s="92"/>
    </row>
    <row r="425" spans="25:25">
      <c r="Y425" s="92"/>
    </row>
    <row r="426" spans="25:25">
      <c r="Y426" s="92"/>
    </row>
    <row r="427" spans="25:25">
      <c r="Y427" s="92"/>
    </row>
    <row r="428" spans="25:25">
      <c r="Y428" s="92"/>
    </row>
    <row r="429" spans="25:25">
      <c r="Y429" s="92"/>
    </row>
    <row r="430" spans="25:25">
      <c r="Y430" s="92"/>
    </row>
    <row r="431" spans="25:25">
      <c r="Y431" s="92"/>
    </row>
    <row r="432" spans="25:25">
      <c r="Y432" s="92"/>
    </row>
    <row r="433" spans="25:25">
      <c r="Y433" s="92"/>
    </row>
    <row r="434" spans="25:25">
      <c r="Y434" s="92"/>
    </row>
    <row r="435" spans="25:25">
      <c r="Y435" s="92"/>
    </row>
    <row r="436" spans="25:25">
      <c r="Y436" s="92"/>
    </row>
    <row r="437" spans="25:25">
      <c r="Y437" s="92"/>
    </row>
    <row r="438" spans="25:25">
      <c r="Y438" s="92"/>
    </row>
    <row r="439" spans="25:25">
      <c r="Y439" s="92"/>
    </row>
    <row r="440" spans="25:25">
      <c r="Y440" s="92"/>
    </row>
    <row r="441" spans="25:25">
      <c r="Y441" s="92"/>
    </row>
    <row r="442" spans="25:25">
      <c r="Y442" s="92"/>
    </row>
    <row r="443" spans="25:25">
      <c r="Y443" s="92"/>
    </row>
    <row r="444" spans="25:25">
      <c r="Y444" s="92"/>
    </row>
    <row r="445" spans="25:25">
      <c r="Y445" s="92"/>
    </row>
    <row r="446" spans="25:25">
      <c r="Y446" s="92"/>
    </row>
    <row r="447" spans="25:25">
      <c r="Y447" s="92"/>
    </row>
    <row r="448" spans="25:25">
      <c r="Y448" s="92"/>
    </row>
    <row r="449" spans="25:25">
      <c r="Y449" s="92"/>
    </row>
    <row r="450" spans="25:25">
      <c r="Y450" s="92"/>
    </row>
    <row r="451" spans="25:25">
      <c r="Y451" s="92"/>
    </row>
    <row r="452" spans="25:25">
      <c r="Y452" s="92"/>
    </row>
    <row r="453" spans="25:25">
      <c r="Y453" s="92"/>
    </row>
    <row r="454" spans="25:25">
      <c r="Y454" s="92"/>
    </row>
    <row r="455" spans="25:25">
      <c r="Y455" s="92"/>
    </row>
    <row r="456" spans="25:25">
      <c r="Y456" s="92"/>
    </row>
    <row r="457" spans="25:25">
      <c r="Y457" s="92"/>
    </row>
    <row r="458" spans="25:25">
      <c r="Y458" s="92"/>
    </row>
    <row r="459" spans="25:25">
      <c r="Y459" s="92"/>
    </row>
    <row r="460" spans="25:25">
      <c r="Y460" s="92"/>
    </row>
    <row r="461" spans="25:25">
      <c r="Y461" s="92"/>
    </row>
    <row r="462" spans="25:25">
      <c r="Y462" s="92"/>
    </row>
    <row r="463" spans="25:25">
      <c r="Y463" s="92"/>
    </row>
    <row r="464" spans="25:25">
      <c r="Y464" s="92"/>
    </row>
    <row r="465" spans="25:25">
      <c r="Y465" s="92"/>
    </row>
    <row r="466" spans="25:25">
      <c r="Y466" s="92"/>
    </row>
    <row r="467" spans="25:25">
      <c r="Y467" s="92"/>
    </row>
    <row r="468" spans="25:25">
      <c r="Y468" s="92"/>
    </row>
    <row r="469" spans="25:25">
      <c r="Y469" s="92"/>
    </row>
    <row r="470" spans="25:25">
      <c r="Y470" s="92"/>
    </row>
    <row r="471" spans="25:25">
      <c r="Y471" s="92"/>
    </row>
    <row r="472" spans="25:25">
      <c r="Y472" s="92"/>
    </row>
    <row r="473" spans="25:25">
      <c r="Y473" s="92"/>
    </row>
    <row r="474" spans="25:25">
      <c r="Y474" s="92"/>
    </row>
    <row r="475" spans="25:25">
      <c r="Y475" s="92"/>
    </row>
    <row r="476" spans="25:25">
      <c r="Y476" s="92"/>
    </row>
    <row r="477" spans="25:25">
      <c r="Y477" s="92"/>
    </row>
    <row r="478" spans="25:25">
      <c r="Y478" s="92"/>
    </row>
    <row r="479" spans="25:25">
      <c r="Y479" s="92"/>
    </row>
    <row r="480" spans="25:25">
      <c r="Y480" s="92"/>
    </row>
    <row r="481" spans="25:25">
      <c r="Y481" s="92"/>
    </row>
    <row r="482" spans="25:25">
      <c r="Y482" s="92"/>
    </row>
    <row r="483" spans="25:25">
      <c r="Y483" s="92"/>
    </row>
    <row r="484" spans="25:25">
      <c r="Y484" s="92"/>
    </row>
    <row r="485" spans="25:25">
      <c r="Y485" s="92"/>
    </row>
    <row r="486" spans="25:25">
      <c r="Y486" s="92"/>
    </row>
    <row r="487" spans="25:25">
      <c r="Y487" s="92"/>
    </row>
    <row r="488" spans="25:25">
      <c r="Y488" s="92"/>
    </row>
    <row r="489" spans="25:25">
      <c r="Y489" s="92"/>
    </row>
    <row r="490" spans="25:25">
      <c r="Y490" s="92"/>
    </row>
    <row r="491" spans="25:25">
      <c r="Y491" s="92"/>
    </row>
    <row r="492" spans="25:25">
      <c r="Y492" s="92"/>
    </row>
    <row r="493" spans="25:25">
      <c r="Y493" s="92"/>
    </row>
    <row r="494" spans="25:25">
      <c r="Y494" s="92"/>
    </row>
    <row r="495" spans="25:25">
      <c r="Y495" s="92"/>
    </row>
    <row r="496" spans="25:25">
      <c r="Y496" s="92"/>
    </row>
    <row r="497" spans="25:25">
      <c r="Y497" s="92"/>
    </row>
    <row r="498" spans="25:25">
      <c r="Y498" s="92"/>
    </row>
    <row r="499" spans="25:25">
      <c r="Y499" s="92"/>
    </row>
    <row r="500" spans="25:25">
      <c r="Y500" s="92"/>
    </row>
    <row r="501" spans="25:25">
      <c r="Y501" s="92"/>
    </row>
    <row r="502" spans="25:25">
      <c r="Y502" s="92"/>
    </row>
    <row r="503" spans="25:25">
      <c r="Y503" s="92"/>
    </row>
    <row r="504" spans="25:25">
      <c r="Y504" s="92"/>
    </row>
    <row r="505" spans="25:25">
      <c r="Y505" s="92"/>
    </row>
    <row r="506" spans="25:25">
      <c r="Y506" s="92"/>
    </row>
    <row r="507" spans="25:25">
      <c r="Y507" s="92"/>
    </row>
    <row r="508" spans="25:25">
      <c r="Y508" s="92"/>
    </row>
    <row r="509" spans="25:25">
      <c r="Y509" s="92"/>
    </row>
    <row r="510" spans="25:25">
      <c r="Y510" s="92"/>
    </row>
    <row r="511" spans="25:25">
      <c r="Y511" s="92"/>
    </row>
    <row r="512" spans="25:25">
      <c r="Y512" s="92"/>
    </row>
    <row r="513" spans="25:25">
      <c r="Y513" s="92"/>
    </row>
    <row r="514" spans="25:25">
      <c r="Y514" s="92"/>
    </row>
    <row r="515" spans="25:25">
      <c r="Y515" s="92"/>
    </row>
    <row r="516" spans="25:25">
      <c r="Y516" s="92"/>
    </row>
    <row r="517" spans="25:25">
      <c r="Y517" s="92"/>
    </row>
    <row r="518" spans="25:25">
      <c r="Y518" s="92"/>
    </row>
    <row r="519" spans="25:25">
      <c r="Y519" s="92"/>
    </row>
    <row r="520" spans="25:25">
      <c r="Y520" s="92"/>
    </row>
    <row r="521" spans="25:25">
      <c r="Y521" s="92"/>
    </row>
    <row r="522" spans="25:25">
      <c r="Y522" s="92"/>
    </row>
    <row r="523" spans="25:25">
      <c r="Y523" s="92"/>
    </row>
    <row r="524" spans="25:25">
      <c r="Y524" s="92"/>
    </row>
    <row r="525" spans="25:25">
      <c r="Y525" s="92"/>
    </row>
    <row r="526" spans="25:25">
      <c r="Y526" s="92"/>
    </row>
    <row r="527" spans="25:25">
      <c r="Y527" s="92"/>
    </row>
    <row r="528" spans="25:25">
      <c r="Y528" s="92"/>
    </row>
    <row r="529" spans="25:25">
      <c r="Y529" s="92"/>
    </row>
    <row r="530" spans="25:25">
      <c r="Y530" s="92"/>
    </row>
    <row r="531" spans="25:25">
      <c r="Y531" s="92"/>
    </row>
    <row r="532" spans="25:25">
      <c r="Y532" s="92"/>
    </row>
    <row r="533" spans="25:25">
      <c r="Y533" s="92"/>
    </row>
    <row r="534" spans="25:25">
      <c r="Y534" s="92"/>
    </row>
    <row r="535" spans="25:25">
      <c r="Y535" s="92"/>
    </row>
    <row r="536" spans="25:25">
      <c r="Y536" s="92"/>
    </row>
    <row r="537" spans="25:25">
      <c r="Y537" s="92"/>
    </row>
    <row r="538" spans="25:25">
      <c r="Y538" s="92"/>
    </row>
    <row r="539" spans="25:25">
      <c r="Y539" s="92"/>
    </row>
    <row r="540" spans="25:25">
      <c r="Y540" s="92"/>
    </row>
    <row r="541" spans="25:25">
      <c r="Y541" s="92"/>
    </row>
    <row r="542" spans="25:25">
      <c r="Y542" s="92"/>
    </row>
    <row r="543" spans="25:25">
      <c r="Y543" s="92"/>
    </row>
    <row r="544" spans="25:25">
      <c r="Y544" s="92"/>
    </row>
    <row r="545" spans="25:25">
      <c r="Y545" s="92"/>
    </row>
    <row r="546" spans="25:25">
      <c r="Y546" s="92"/>
    </row>
    <row r="547" spans="25:25">
      <c r="Y547" s="92"/>
    </row>
    <row r="548" spans="25:25">
      <c r="Y548" s="92"/>
    </row>
    <row r="549" spans="25:25">
      <c r="Y549" s="92"/>
    </row>
    <row r="550" spans="25:25">
      <c r="Y550" s="92"/>
    </row>
    <row r="551" spans="25:25">
      <c r="Y551" s="92"/>
    </row>
    <row r="552" spans="25:25">
      <c r="Y552" s="92"/>
    </row>
    <row r="553" spans="25:25">
      <c r="Y553" s="92"/>
    </row>
    <row r="554" spans="25:25">
      <c r="Y554" s="92"/>
    </row>
    <row r="555" spans="25:25">
      <c r="Y555" s="92"/>
    </row>
    <row r="556" spans="25:25">
      <c r="Y556" s="92"/>
    </row>
    <row r="557" spans="25:25">
      <c r="Y557" s="92"/>
    </row>
    <row r="558" spans="25:25">
      <c r="Y558" s="92"/>
    </row>
    <row r="559" spans="25:25">
      <c r="Y559" s="92"/>
    </row>
    <row r="560" spans="25:25">
      <c r="Y560" s="92"/>
    </row>
    <row r="561" spans="25:25">
      <c r="Y561" s="92"/>
    </row>
    <row r="562" spans="25:25">
      <c r="Y562" s="92"/>
    </row>
    <row r="563" spans="25:25">
      <c r="Y563" s="92"/>
    </row>
    <row r="564" spans="25:25">
      <c r="Y564" s="92"/>
    </row>
    <row r="565" spans="25:25">
      <c r="Y565" s="92"/>
    </row>
    <row r="566" spans="25:25">
      <c r="Y566" s="92"/>
    </row>
    <row r="567" spans="25:25">
      <c r="Y567" s="92"/>
    </row>
    <row r="568" spans="25:25">
      <c r="Y568" s="92"/>
    </row>
    <row r="569" spans="25:25">
      <c r="Y569" s="92"/>
    </row>
    <row r="570" spans="25:25">
      <c r="Y570" s="92"/>
    </row>
    <row r="571" spans="25:25">
      <c r="Y571" s="92"/>
    </row>
    <row r="572" spans="25:25">
      <c r="Y572" s="92"/>
    </row>
    <row r="573" spans="25:25">
      <c r="Y573" s="92"/>
    </row>
    <row r="574" spans="25:25">
      <c r="Y574" s="92"/>
    </row>
    <row r="575" spans="25:25">
      <c r="Y575" s="92"/>
    </row>
    <row r="576" spans="25:25">
      <c r="Y576" s="92"/>
    </row>
    <row r="577" spans="25:25">
      <c r="Y577" s="92"/>
    </row>
    <row r="578" spans="25:25">
      <c r="Y578" s="92"/>
    </row>
    <row r="579" spans="25:25">
      <c r="Y579" s="92"/>
    </row>
    <row r="580" spans="25:25">
      <c r="Y580" s="92"/>
    </row>
    <row r="581" spans="25:25">
      <c r="Y581" s="92"/>
    </row>
    <row r="582" spans="25:25">
      <c r="Y582" s="92"/>
    </row>
    <row r="583" spans="25:25">
      <c r="Y583" s="92"/>
    </row>
    <row r="584" spans="25:25">
      <c r="Y584" s="92"/>
    </row>
    <row r="585" spans="25:25">
      <c r="Y585" s="92"/>
    </row>
    <row r="586" spans="25:25">
      <c r="Y586" s="92"/>
    </row>
    <row r="587" spans="25:25">
      <c r="Y587" s="92"/>
    </row>
    <row r="588" spans="25:25">
      <c r="Y588" s="92"/>
    </row>
    <row r="589" spans="25:25">
      <c r="Y589" s="92"/>
    </row>
    <row r="590" spans="25:25">
      <c r="Y590" s="92"/>
    </row>
    <row r="591" spans="25:25">
      <c r="Y591" s="92"/>
    </row>
    <row r="592" spans="25:25">
      <c r="Y592" s="92"/>
    </row>
    <row r="593" spans="25:25">
      <c r="Y593" s="92"/>
    </row>
    <row r="594" spans="25:25">
      <c r="Y594" s="92"/>
    </row>
    <row r="595" spans="25:25">
      <c r="Y595" s="92"/>
    </row>
    <row r="596" spans="25:25">
      <c r="Y596" s="92"/>
    </row>
    <row r="597" spans="25:25">
      <c r="Y597" s="92"/>
    </row>
    <row r="598" spans="25:25">
      <c r="Y598" s="92"/>
    </row>
    <row r="599" spans="25:25">
      <c r="Y599" s="92"/>
    </row>
    <row r="600" spans="25:25">
      <c r="Y600" s="92"/>
    </row>
    <row r="601" spans="25:25">
      <c r="Y601" s="92"/>
    </row>
    <row r="602" spans="25:25">
      <c r="Y602" s="92"/>
    </row>
    <row r="603" spans="25:25">
      <c r="Y603" s="92"/>
    </row>
    <row r="604" spans="25:25">
      <c r="Y604" s="92"/>
    </row>
    <row r="605" spans="25:25">
      <c r="Y605" s="92"/>
    </row>
    <row r="606" spans="25:25">
      <c r="Y606" s="92"/>
    </row>
    <row r="607" spans="25:25">
      <c r="Y607" s="92"/>
    </row>
    <row r="608" spans="25:25">
      <c r="Y608" s="92"/>
    </row>
    <row r="609" spans="25:25">
      <c r="Y609" s="92"/>
    </row>
    <row r="610" spans="25:25">
      <c r="Y610" s="92"/>
    </row>
    <row r="611" spans="25:25">
      <c r="Y611" s="92"/>
    </row>
    <row r="612" spans="25:25">
      <c r="Y612" s="92"/>
    </row>
    <row r="613" spans="25:25">
      <c r="Y613" s="92"/>
    </row>
    <row r="614" spans="25:25">
      <c r="Y614" s="92"/>
    </row>
    <row r="615" spans="25:25">
      <c r="Y615" s="92"/>
    </row>
    <row r="616" spans="25:25">
      <c r="Y616" s="92"/>
    </row>
    <row r="617" spans="25:25">
      <c r="Y617" s="92"/>
    </row>
    <row r="618" spans="25:25">
      <c r="Y618" s="92"/>
    </row>
    <row r="619" spans="25:25">
      <c r="Y619" s="92"/>
    </row>
    <row r="620" spans="25:25">
      <c r="Y620" s="92"/>
    </row>
    <row r="621" spans="25:25">
      <c r="Y621" s="92"/>
    </row>
    <row r="622" spans="25:25">
      <c r="Y622" s="92"/>
    </row>
    <row r="623" spans="25:25">
      <c r="Y623" s="92"/>
    </row>
    <row r="624" spans="25:25">
      <c r="Y624" s="92"/>
    </row>
    <row r="625" spans="25:25">
      <c r="Y625" s="92"/>
    </row>
    <row r="626" spans="25:25">
      <c r="Y626" s="92"/>
    </row>
    <row r="627" spans="25:25">
      <c r="Y627" s="92"/>
    </row>
    <row r="628" spans="25:25">
      <c r="Y628" s="92"/>
    </row>
    <row r="629" spans="25:25">
      <c r="Y629" s="92"/>
    </row>
    <row r="630" spans="25:25">
      <c r="Y630" s="92"/>
    </row>
    <row r="631" spans="25:25">
      <c r="Y631" s="92"/>
    </row>
    <row r="632" spans="25:25">
      <c r="Y632" s="92"/>
    </row>
    <row r="633" spans="25:25">
      <c r="Y633" s="92"/>
    </row>
    <row r="634" spans="25:25">
      <c r="Y634" s="92"/>
    </row>
    <row r="635" spans="25:25">
      <c r="Y635" s="92"/>
    </row>
    <row r="636" spans="25:25">
      <c r="Y636" s="92"/>
    </row>
    <row r="637" spans="25:25">
      <c r="Y637" s="92"/>
    </row>
    <row r="638" spans="25:25">
      <c r="Y638" s="92"/>
    </row>
    <row r="639" spans="25:25">
      <c r="Y639" s="92"/>
    </row>
    <row r="640" spans="25:25">
      <c r="Y640" s="92"/>
    </row>
    <row r="641" spans="25:25">
      <c r="Y641" s="92"/>
    </row>
    <row r="642" spans="25:25">
      <c r="Y642" s="92"/>
    </row>
    <row r="643" spans="25:25">
      <c r="Y643" s="92"/>
    </row>
    <row r="644" spans="25:25">
      <c r="Y644" s="92"/>
    </row>
    <row r="645" spans="25:25">
      <c r="Y645" s="92"/>
    </row>
    <row r="646" spans="25:25">
      <c r="Y646" s="92"/>
    </row>
    <row r="647" spans="25:25">
      <c r="Y647" s="92"/>
    </row>
    <row r="648" spans="25:25">
      <c r="Y648" s="92"/>
    </row>
    <row r="649" spans="25:25">
      <c r="Y649" s="92"/>
    </row>
    <row r="650" spans="25:25">
      <c r="Y650" s="92"/>
    </row>
    <row r="651" spans="25:25">
      <c r="Y651" s="92"/>
    </row>
    <row r="652" spans="25:25">
      <c r="Y652" s="92"/>
    </row>
    <row r="653" spans="25:25">
      <c r="Y653" s="92"/>
    </row>
    <row r="654" spans="25:25">
      <c r="Y654" s="92"/>
    </row>
    <row r="655" spans="25:25">
      <c r="Y655" s="92"/>
    </row>
    <row r="656" spans="25:25">
      <c r="Y656" s="92"/>
    </row>
    <row r="657" spans="25:25">
      <c r="Y657" s="92"/>
    </row>
    <row r="658" spans="25:25">
      <c r="Y658" s="92"/>
    </row>
    <row r="659" spans="25:25">
      <c r="Y659" s="92"/>
    </row>
    <row r="660" spans="25:25">
      <c r="Y660" s="92"/>
    </row>
    <row r="661" spans="25:25">
      <c r="Y661" s="92"/>
    </row>
    <row r="662" spans="25:25">
      <c r="Y662" s="92"/>
    </row>
    <row r="663" spans="25:25">
      <c r="Y663" s="92"/>
    </row>
    <row r="664" spans="25:25">
      <c r="Y664" s="92"/>
    </row>
    <row r="665" spans="25:25">
      <c r="Y665" s="92"/>
    </row>
    <row r="666" spans="25:25">
      <c r="Y666" s="92"/>
    </row>
    <row r="667" spans="25:25">
      <c r="Y667" s="92"/>
    </row>
    <row r="668" spans="25:25">
      <c r="Y668" s="92"/>
    </row>
    <row r="669" spans="25:25">
      <c r="Y669" s="92"/>
    </row>
    <row r="670" spans="25:25">
      <c r="Y670" s="92"/>
    </row>
    <row r="671" spans="25:25">
      <c r="Y671" s="92"/>
    </row>
    <row r="672" spans="25:25">
      <c r="Y672" s="92"/>
    </row>
    <row r="673" spans="25:25">
      <c r="Y673" s="92"/>
    </row>
    <row r="674" spans="25:25">
      <c r="Y674" s="92"/>
    </row>
    <row r="675" spans="25:25">
      <c r="Y675" s="92"/>
    </row>
    <row r="676" spans="25:25">
      <c r="Y676" s="92"/>
    </row>
    <row r="677" spans="25:25">
      <c r="Y677" s="92"/>
    </row>
    <row r="678" spans="25:25">
      <c r="Y678" s="92"/>
    </row>
    <row r="679" spans="25:25">
      <c r="Y679" s="92"/>
    </row>
    <row r="680" spans="25:25">
      <c r="Y680" s="92"/>
    </row>
    <row r="681" spans="25:25">
      <c r="Y681" s="92"/>
    </row>
    <row r="682" spans="25:25">
      <c r="Y682" s="92"/>
    </row>
    <row r="683" spans="25:25">
      <c r="Y683" s="92"/>
    </row>
    <row r="684" spans="25:25">
      <c r="Y684" s="92"/>
    </row>
    <row r="685" spans="25:25">
      <c r="Y685" s="92"/>
    </row>
    <row r="686" spans="25:25">
      <c r="Y686" s="92"/>
    </row>
    <row r="687" spans="25:25">
      <c r="Y687" s="92"/>
    </row>
    <row r="688" spans="25:25">
      <c r="Y688" s="92"/>
    </row>
    <row r="689" spans="25:25">
      <c r="Y689" s="92"/>
    </row>
    <row r="690" spans="25:25">
      <c r="Y690" s="92"/>
    </row>
    <row r="691" spans="25:25">
      <c r="Y691" s="92"/>
    </row>
    <row r="692" spans="25:25">
      <c r="Y692" s="92"/>
    </row>
    <row r="693" spans="25:25">
      <c r="Y693" s="92"/>
    </row>
    <row r="694" spans="25:25">
      <c r="Y694" s="92"/>
    </row>
    <row r="695" spans="25:25">
      <c r="Y695" s="92"/>
    </row>
    <row r="696" spans="25:25">
      <c r="Y696" s="92"/>
    </row>
    <row r="697" spans="25:25">
      <c r="Y697" s="92"/>
    </row>
    <row r="698" spans="25:25">
      <c r="Y698" s="92"/>
    </row>
    <row r="699" spans="25:25">
      <c r="Y699" s="92"/>
    </row>
    <row r="700" spans="25:25">
      <c r="Y700" s="92"/>
    </row>
    <row r="701" spans="25:25">
      <c r="Y701" s="92"/>
    </row>
    <row r="702" spans="25:25">
      <c r="Y702" s="92"/>
    </row>
    <row r="703" spans="25:25">
      <c r="Y703" s="92"/>
    </row>
    <row r="704" spans="25:25">
      <c r="Y704" s="92"/>
    </row>
    <row r="705" spans="25:25">
      <c r="Y705" s="92"/>
    </row>
    <row r="706" spans="25:25">
      <c r="Y706" s="92"/>
    </row>
    <row r="707" spans="25:25">
      <c r="Y707" s="92"/>
    </row>
    <row r="708" spans="25:25">
      <c r="Y708" s="92"/>
    </row>
    <row r="709" spans="25:25">
      <c r="Y709" s="92"/>
    </row>
    <row r="710" spans="25:25">
      <c r="Y710" s="92"/>
    </row>
    <row r="711" spans="25:25">
      <c r="Y711" s="92"/>
    </row>
    <row r="712" spans="25:25">
      <c r="Y712" s="92"/>
    </row>
    <row r="713" spans="25:25">
      <c r="Y713" s="92"/>
    </row>
    <row r="714" spans="25:25">
      <c r="Y714" s="92"/>
    </row>
    <row r="715" spans="25:25">
      <c r="Y715" s="92"/>
    </row>
    <row r="716" spans="25:25">
      <c r="Y716" s="92"/>
    </row>
    <row r="717" spans="25:25">
      <c r="Y717" s="92"/>
    </row>
    <row r="718" spans="25:25">
      <c r="Y718" s="92"/>
    </row>
    <row r="719" spans="25:25">
      <c r="Y719" s="92"/>
    </row>
    <row r="720" spans="25:25">
      <c r="Y720" s="92"/>
    </row>
    <row r="721" spans="25:25">
      <c r="Y721" s="92"/>
    </row>
    <row r="722" spans="25:25">
      <c r="Y722" s="92"/>
    </row>
    <row r="723" spans="25:25">
      <c r="Y723" s="92"/>
    </row>
    <row r="724" spans="25:25">
      <c r="Y724" s="92"/>
    </row>
    <row r="725" spans="25:25">
      <c r="Y725" s="92"/>
    </row>
    <row r="726" spans="25:25">
      <c r="Y726" s="92"/>
    </row>
    <row r="727" spans="25:25">
      <c r="Y727" s="92"/>
    </row>
    <row r="728" spans="25:25">
      <c r="Y728" s="92"/>
    </row>
    <row r="729" spans="25:25">
      <c r="Y729" s="92"/>
    </row>
    <row r="730" spans="25:25">
      <c r="Y730" s="92"/>
    </row>
    <row r="731" spans="25:25">
      <c r="Y731" s="92"/>
    </row>
    <row r="732" spans="25:25">
      <c r="Y732" s="92"/>
    </row>
    <row r="733" spans="25:25">
      <c r="Y733" s="92"/>
    </row>
    <row r="734" spans="25:25">
      <c r="Y734" s="92"/>
    </row>
    <row r="735" spans="25:25">
      <c r="Y735" s="92"/>
    </row>
    <row r="736" spans="25:25">
      <c r="Y736" s="92"/>
    </row>
    <row r="737" spans="25:25">
      <c r="Y737" s="92"/>
    </row>
    <row r="738" spans="25:25">
      <c r="Y738" s="92"/>
    </row>
    <row r="739" spans="25:25">
      <c r="Y739" s="92"/>
    </row>
    <row r="740" spans="25:25">
      <c r="Y740" s="92"/>
    </row>
    <row r="741" spans="25:25">
      <c r="Y741" s="92"/>
    </row>
    <row r="742" spans="25:25">
      <c r="Y742" s="92"/>
    </row>
    <row r="743" spans="25:25">
      <c r="Y743" s="92"/>
    </row>
    <row r="744" spans="25:25">
      <c r="Y744" s="92"/>
    </row>
    <row r="745" spans="25:25">
      <c r="Y745" s="92"/>
    </row>
    <row r="746" spans="25:25">
      <c r="Y746" s="92"/>
    </row>
    <row r="747" spans="25:25">
      <c r="Y747" s="92"/>
    </row>
    <row r="748" spans="25:25">
      <c r="Y748" s="92"/>
    </row>
    <row r="749" spans="25:25">
      <c r="Y749" s="92"/>
    </row>
    <row r="750" spans="25:25">
      <c r="Y750" s="92"/>
    </row>
    <row r="751" spans="25:25">
      <c r="Y751" s="92"/>
    </row>
    <row r="752" spans="25:25">
      <c r="Y752" s="92"/>
    </row>
    <row r="753" spans="25:25">
      <c r="Y753" s="92"/>
    </row>
    <row r="754" spans="25:25">
      <c r="Y754" s="92"/>
    </row>
    <row r="755" spans="25:25">
      <c r="Y755" s="92"/>
    </row>
    <row r="756" spans="25:25">
      <c r="Y756" s="92"/>
    </row>
    <row r="757" spans="25:25">
      <c r="Y757" s="92"/>
    </row>
    <row r="758" spans="25:25">
      <c r="Y758" s="92"/>
    </row>
    <row r="759" spans="25:25">
      <c r="Y759" s="92"/>
    </row>
    <row r="760" spans="25:25">
      <c r="Y760" s="92"/>
    </row>
    <row r="761" spans="25:25">
      <c r="Y761" s="92"/>
    </row>
    <row r="762" spans="25:25">
      <c r="Y762" s="92"/>
    </row>
    <row r="763" spans="25:25">
      <c r="Y763" s="92"/>
    </row>
    <row r="764" spans="25:25">
      <c r="Y764" s="92"/>
    </row>
    <row r="765" spans="25:25">
      <c r="Y765" s="92"/>
    </row>
    <row r="766" spans="25:25">
      <c r="Y766" s="92"/>
    </row>
    <row r="767" spans="25:25">
      <c r="Y767" s="92"/>
    </row>
    <row r="768" spans="25:25">
      <c r="Y768" s="92"/>
    </row>
    <row r="769" spans="25:25">
      <c r="Y769" s="92"/>
    </row>
    <row r="770" spans="25:25">
      <c r="Y770" s="92"/>
    </row>
    <row r="771" spans="25:25">
      <c r="Y771" s="92"/>
    </row>
    <row r="772" spans="25:25">
      <c r="Y772" s="92"/>
    </row>
    <row r="773" spans="25:25">
      <c r="Y773" s="92"/>
    </row>
    <row r="774" spans="25:25">
      <c r="Y774" s="92"/>
    </row>
    <row r="775" spans="25:25">
      <c r="Y775" s="92"/>
    </row>
    <row r="776" spans="25:25">
      <c r="Y776" s="92"/>
    </row>
    <row r="777" spans="25:25">
      <c r="Y777" s="92"/>
    </row>
    <row r="778" spans="25:25">
      <c r="Y778" s="92"/>
    </row>
    <row r="779" spans="25:25">
      <c r="Y779" s="92"/>
    </row>
    <row r="780" spans="25:25">
      <c r="Y780" s="92"/>
    </row>
    <row r="781" spans="25:25">
      <c r="Y781" s="92"/>
    </row>
    <row r="782" spans="25:25">
      <c r="Y782" s="92"/>
    </row>
    <row r="783" spans="25:25">
      <c r="Y783" s="92"/>
    </row>
    <row r="784" spans="25:25">
      <c r="Y784" s="92"/>
    </row>
    <row r="785" spans="25:25">
      <c r="Y785" s="92"/>
    </row>
    <row r="786" spans="25:25">
      <c r="Y786" s="92"/>
    </row>
    <row r="787" spans="25:25">
      <c r="Y787" s="92"/>
    </row>
    <row r="788" spans="25:25">
      <c r="Y788" s="92"/>
    </row>
    <row r="789" spans="25:25">
      <c r="Y789" s="92"/>
    </row>
    <row r="790" spans="25:25">
      <c r="Y790" s="92"/>
    </row>
    <row r="791" spans="25:25">
      <c r="Y791" s="92"/>
    </row>
    <row r="792" spans="25:25">
      <c r="Y792" s="92"/>
    </row>
    <row r="793" spans="25:25">
      <c r="Y793" s="92"/>
    </row>
    <row r="794" spans="25:25">
      <c r="Y794" s="92"/>
    </row>
    <row r="795" spans="25:25">
      <c r="Y795" s="92"/>
    </row>
    <row r="796" spans="25:25">
      <c r="Y796" s="92"/>
    </row>
    <row r="797" spans="25:25">
      <c r="Y797" s="92"/>
    </row>
    <row r="798" spans="25:25">
      <c r="Y798" s="92"/>
    </row>
    <row r="799" spans="25:25">
      <c r="Y799" s="92"/>
    </row>
    <row r="800" spans="25:25">
      <c r="Y800" s="92"/>
    </row>
    <row r="801" spans="25:25">
      <c r="Y801" s="92"/>
    </row>
    <row r="802" spans="25:25">
      <c r="Y802" s="92"/>
    </row>
    <row r="803" spans="25:25">
      <c r="Y803" s="92"/>
    </row>
    <row r="804" spans="25:25">
      <c r="Y804" s="92"/>
    </row>
    <row r="805" spans="25:25">
      <c r="Y805" s="92"/>
    </row>
    <row r="806" spans="25:25">
      <c r="Y806" s="92"/>
    </row>
    <row r="807" spans="25:25">
      <c r="Y807" s="92"/>
    </row>
    <row r="808" spans="25:25">
      <c r="Y808" s="92"/>
    </row>
    <row r="809" spans="25:25">
      <c r="Y809" s="92"/>
    </row>
    <row r="810" spans="25:25">
      <c r="Y810" s="92"/>
    </row>
    <row r="811" spans="25:25">
      <c r="Y811" s="92"/>
    </row>
    <row r="812" spans="25:25">
      <c r="Y812" s="92"/>
    </row>
    <row r="813" spans="25:25">
      <c r="Y813" s="92"/>
    </row>
    <row r="814" spans="25:25">
      <c r="Y814" s="92"/>
    </row>
    <row r="815" spans="25:25">
      <c r="Y815" s="92"/>
    </row>
    <row r="816" spans="25:25">
      <c r="Y816" s="92"/>
    </row>
    <row r="817" spans="25:25">
      <c r="Y817" s="92"/>
    </row>
    <row r="818" spans="25:25">
      <c r="Y818" s="92"/>
    </row>
    <row r="819" spans="25:25">
      <c r="Y819" s="92"/>
    </row>
    <row r="820" spans="25:25">
      <c r="Y820" s="92"/>
    </row>
    <row r="821" spans="25:25">
      <c r="Y821" s="92"/>
    </row>
    <row r="822" spans="25:25">
      <c r="Y822" s="92"/>
    </row>
    <row r="823" spans="25:25">
      <c r="Y823" s="92"/>
    </row>
    <row r="824" spans="25:25">
      <c r="Y824" s="92"/>
    </row>
    <row r="825" spans="25:25">
      <c r="Y825" s="92"/>
    </row>
    <row r="826" spans="25:25">
      <c r="Y826" s="92"/>
    </row>
    <row r="827" spans="25:25">
      <c r="Y827" s="92"/>
    </row>
    <row r="828" spans="25:25">
      <c r="Y828" s="92"/>
    </row>
    <row r="829" spans="25:25">
      <c r="Y829" s="92"/>
    </row>
    <row r="830" spans="25:25">
      <c r="Y830" s="92"/>
    </row>
    <row r="831" spans="25:25">
      <c r="Y831" s="92"/>
    </row>
    <row r="832" spans="25:25">
      <c r="Y832" s="92"/>
    </row>
    <row r="833" spans="25:25">
      <c r="Y833" s="92"/>
    </row>
    <row r="834" spans="25:25">
      <c r="Y834" s="92"/>
    </row>
    <row r="835" spans="25:25">
      <c r="Y835" s="92"/>
    </row>
    <row r="836" spans="25:25">
      <c r="Y836" s="92"/>
    </row>
    <row r="837" spans="25:25">
      <c r="Y837" s="92"/>
    </row>
    <row r="838" spans="25:25">
      <c r="Y838" s="92"/>
    </row>
    <row r="839" spans="25:25">
      <c r="Y839" s="92"/>
    </row>
    <row r="840" spans="25:25">
      <c r="Y840" s="92"/>
    </row>
    <row r="841" spans="25:25">
      <c r="Y841" s="92"/>
    </row>
    <row r="842" spans="25:25">
      <c r="Y842" s="92"/>
    </row>
    <row r="843" spans="25:25">
      <c r="Y843" s="92"/>
    </row>
    <row r="844" spans="25:25">
      <c r="Y844" s="92"/>
    </row>
    <row r="845" spans="25:25">
      <c r="Y845" s="92"/>
    </row>
    <row r="846" spans="25:25">
      <c r="Y846" s="92"/>
    </row>
    <row r="847" spans="25:25">
      <c r="Y847" s="92"/>
    </row>
    <row r="848" spans="25:25">
      <c r="Y848" s="92"/>
    </row>
    <row r="849" spans="25:25">
      <c r="Y849" s="92"/>
    </row>
    <row r="850" spans="25:25">
      <c r="Y850" s="92"/>
    </row>
    <row r="851" spans="25:25">
      <c r="Y851" s="92"/>
    </row>
    <row r="852" spans="25:25">
      <c r="Y852" s="92"/>
    </row>
    <row r="853" spans="25:25">
      <c r="Y853" s="92"/>
    </row>
    <row r="854" spans="25:25">
      <c r="Y854" s="92"/>
    </row>
    <row r="855" spans="25:25">
      <c r="Y855" s="92"/>
    </row>
    <row r="856" spans="25:25">
      <c r="Y856" s="92"/>
    </row>
    <row r="857" spans="25:25">
      <c r="Y857" s="92"/>
    </row>
    <row r="858" spans="25:25">
      <c r="Y858" s="92"/>
    </row>
    <row r="859" spans="25:25">
      <c r="Y859" s="92"/>
    </row>
    <row r="860" spans="25:25">
      <c r="Y860" s="92"/>
    </row>
    <row r="861" spans="25:25">
      <c r="Y861" s="92"/>
    </row>
    <row r="862" spans="25:25">
      <c r="Y862" s="92"/>
    </row>
    <row r="863" spans="25:25">
      <c r="Y863" s="92"/>
    </row>
    <row r="864" spans="25:25">
      <c r="Y864" s="92"/>
    </row>
    <row r="865" spans="25:25">
      <c r="Y865" s="92"/>
    </row>
    <row r="866" spans="25:25">
      <c r="Y866" s="92"/>
    </row>
    <row r="867" spans="25:25">
      <c r="Y867" s="92"/>
    </row>
    <row r="868" spans="25:25">
      <c r="Y868" s="92"/>
    </row>
    <row r="869" spans="25:25">
      <c r="Y869" s="92"/>
    </row>
    <row r="870" spans="25:25">
      <c r="Y870" s="92"/>
    </row>
    <row r="871" spans="25:25">
      <c r="Y871" s="92"/>
    </row>
    <row r="872" spans="25:25">
      <c r="Y872" s="92"/>
    </row>
    <row r="873" spans="25:25">
      <c r="Y873" s="92"/>
    </row>
    <row r="874" spans="25:25">
      <c r="Y874" s="92"/>
    </row>
    <row r="875" spans="25:25">
      <c r="Y875" s="92"/>
    </row>
    <row r="876" spans="25:25">
      <c r="Y876" s="92"/>
    </row>
    <row r="877" spans="25:25">
      <c r="Y877" s="92"/>
    </row>
    <row r="878" spans="25:25">
      <c r="Y878" s="92"/>
    </row>
    <row r="879" spans="25:25">
      <c r="Y879" s="92"/>
    </row>
    <row r="880" spans="25:25">
      <c r="Y880" s="92"/>
    </row>
    <row r="881" spans="25:25">
      <c r="Y881" s="92"/>
    </row>
    <row r="882" spans="25:25">
      <c r="Y882" s="92"/>
    </row>
    <row r="883" spans="25:25">
      <c r="Y883" s="92"/>
    </row>
    <row r="884" spans="25:25">
      <c r="Y884" s="92"/>
    </row>
    <row r="885" spans="25:25">
      <c r="Y885" s="92"/>
    </row>
    <row r="886" spans="25:25">
      <c r="Y886" s="92"/>
    </row>
    <row r="887" spans="25:25">
      <c r="Y887" s="92"/>
    </row>
    <row r="888" spans="25:25">
      <c r="Y888" s="92"/>
    </row>
    <row r="889" spans="25:25">
      <c r="Y889" s="92"/>
    </row>
    <row r="890" spans="25:25">
      <c r="Y890" s="92"/>
    </row>
    <row r="891" spans="25:25">
      <c r="Y891" s="92"/>
    </row>
    <row r="892" spans="25:25">
      <c r="Y892" s="92"/>
    </row>
    <row r="893" spans="25:25">
      <c r="Y893" s="92"/>
    </row>
    <row r="894" spans="25:25">
      <c r="Y894" s="92"/>
    </row>
    <row r="895" spans="25:25">
      <c r="Y895" s="92"/>
    </row>
    <row r="896" spans="25:25">
      <c r="Y896" s="92"/>
    </row>
    <row r="897" spans="25:25">
      <c r="Y897" s="92"/>
    </row>
    <row r="898" spans="25:25">
      <c r="Y898" s="92"/>
    </row>
    <row r="899" spans="25:25">
      <c r="Y899" s="92"/>
    </row>
    <row r="900" spans="25:25">
      <c r="Y900" s="92"/>
    </row>
    <row r="901" spans="25:25">
      <c r="Y901" s="92"/>
    </row>
    <row r="902" spans="25:25">
      <c r="Y902" s="92"/>
    </row>
    <row r="903" spans="25:25">
      <c r="Y903" s="92"/>
    </row>
    <row r="904" spans="25:25">
      <c r="Y904" s="92"/>
    </row>
    <row r="905" spans="25:25">
      <c r="Y905" s="92"/>
    </row>
    <row r="906" spans="25:25">
      <c r="Y906" s="92"/>
    </row>
    <row r="907" spans="25:25">
      <c r="Y907" s="92"/>
    </row>
    <row r="908" spans="25:25">
      <c r="Y908" s="92"/>
    </row>
    <row r="909" spans="25:25">
      <c r="Y909" s="92"/>
    </row>
    <row r="910" spans="25:25">
      <c r="Y910" s="92"/>
    </row>
    <row r="911" spans="25:25">
      <c r="Y911" s="92"/>
    </row>
    <row r="912" spans="25:25">
      <c r="Y912" s="92"/>
    </row>
    <row r="913" spans="25:25">
      <c r="Y913" s="92"/>
    </row>
    <row r="914" spans="25:25">
      <c r="Y914" s="92"/>
    </row>
    <row r="915" spans="25:25">
      <c r="Y915" s="92"/>
    </row>
    <row r="916" spans="25:25">
      <c r="Y916" s="92"/>
    </row>
    <row r="917" spans="25:25">
      <c r="Y917" s="92"/>
    </row>
    <row r="918" spans="25:25">
      <c r="Y918" s="92"/>
    </row>
    <row r="919" spans="25:25">
      <c r="Y919" s="92"/>
    </row>
    <row r="920" spans="25:25">
      <c r="Y920" s="92"/>
    </row>
    <row r="921" spans="25:25">
      <c r="Y921" s="92"/>
    </row>
    <row r="922" spans="25:25">
      <c r="Y922" s="92"/>
    </row>
    <row r="923" spans="25:25">
      <c r="Y923" s="92"/>
    </row>
    <row r="924" spans="25:25">
      <c r="Y924" s="92"/>
    </row>
    <row r="925" spans="25:25">
      <c r="Y925" s="92"/>
    </row>
    <row r="926" spans="25:25">
      <c r="Y926" s="92"/>
    </row>
    <row r="927" spans="25:25">
      <c r="Y927" s="92"/>
    </row>
    <row r="928" spans="25:25">
      <c r="Y928" s="92"/>
    </row>
    <row r="929" spans="25:25">
      <c r="Y929" s="92"/>
    </row>
    <row r="930" spans="25:25">
      <c r="Y930" s="92"/>
    </row>
    <row r="931" spans="25:25">
      <c r="Y931" s="92"/>
    </row>
    <row r="932" spans="25:25">
      <c r="Y932" s="92"/>
    </row>
    <row r="933" spans="25:25">
      <c r="Y933" s="92"/>
    </row>
    <row r="934" spans="25:25">
      <c r="Y934" s="92"/>
    </row>
    <row r="935" spans="25:25">
      <c r="Y935" s="92"/>
    </row>
    <row r="936" spans="25:25">
      <c r="Y936" s="92"/>
    </row>
    <row r="937" spans="25:25">
      <c r="Y937" s="92"/>
    </row>
    <row r="938" spans="25:25">
      <c r="Y938" s="92"/>
    </row>
    <row r="939" spans="25:25">
      <c r="Y939" s="92"/>
    </row>
    <row r="940" spans="25:25">
      <c r="Y940" s="92"/>
    </row>
    <row r="941" spans="25:25">
      <c r="Y941" s="92"/>
    </row>
    <row r="942" spans="25:25">
      <c r="Y942" s="92"/>
    </row>
    <row r="943" spans="25:25">
      <c r="Y943" s="92"/>
    </row>
    <row r="944" spans="25:25">
      <c r="Y944" s="92"/>
    </row>
    <row r="945" spans="25:25">
      <c r="Y945" s="92"/>
    </row>
    <row r="946" spans="25:25">
      <c r="Y946" s="92"/>
    </row>
    <row r="947" spans="25:25">
      <c r="Y947" s="92"/>
    </row>
    <row r="948" spans="25:25">
      <c r="Y948" s="92"/>
    </row>
    <row r="949" spans="25:25">
      <c r="Y949" s="92"/>
    </row>
    <row r="950" spans="25:25">
      <c r="Y950" s="92"/>
    </row>
    <row r="951" spans="25:25">
      <c r="Y951" s="92"/>
    </row>
    <row r="952" spans="25:25">
      <c r="Y952" s="92"/>
    </row>
    <row r="953" spans="25:25">
      <c r="Y953" s="92"/>
    </row>
    <row r="954" spans="25:25">
      <c r="Y954" s="92"/>
    </row>
    <row r="955" spans="25:25">
      <c r="Y955" s="92"/>
    </row>
    <row r="956" spans="25:25">
      <c r="Y956" s="92"/>
    </row>
    <row r="957" spans="25:25">
      <c r="Y957" s="92"/>
    </row>
    <row r="958" spans="25:25">
      <c r="Y958" s="92"/>
    </row>
    <row r="959" spans="25:25">
      <c r="Y959" s="92"/>
    </row>
    <row r="960" spans="25:25">
      <c r="Y960" s="92"/>
    </row>
    <row r="961" spans="25:25">
      <c r="Y961" s="92"/>
    </row>
    <row r="962" spans="25:25">
      <c r="Y962" s="92"/>
    </row>
    <row r="963" spans="25:25">
      <c r="Y963" s="92"/>
    </row>
    <row r="964" spans="25:25">
      <c r="Y964" s="92"/>
    </row>
    <row r="965" spans="25:25">
      <c r="Y965" s="92"/>
    </row>
    <row r="966" spans="25:25">
      <c r="Y966" s="92"/>
    </row>
    <row r="967" spans="25:25">
      <c r="Y967" s="92"/>
    </row>
    <row r="968" spans="25:25">
      <c r="Y968" s="92"/>
    </row>
    <row r="969" spans="25:25">
      <c r="Y969" s="92"/>
    </row>
    <row r="970" spans="25:25">
      <c r="Y970" s="92"/>
    </row>
    <row r="971" spans="25:25">
      <c r="Y971" s="92"/>
    </row>
    <row r="972" spans="25:25">
      <c r="Y972" s="92"/>
    </row>
    <row r="973" spans="25:25">
      <c r="Y973" s="92"/>
    </row>
    <row r="974" spans="25:25">
      <c r="Y974" s="92"/>
    </row>
    <row r="975" spans="25:25">
      <c r="Y975" s="92"/>
    </row>
    <row r="976" spans="25:25">
      <c r="Y976" s="92"/>
    </row>
    <row r="977" spans="25:25">
      <c r="Y977" s="92"/>
    </row>
    <row r="978" spans="25:25">
      <c r="Y978" s="92"/>
    </row>
    <row r="979" spans="25:25">
      <c r="Y979" s="92"/>
    </row>
    <row r="980" spans="25:25">
      <c r="Y980" s="92"/>
    </row>
    <row r="981" spans="25:25">
      <c r="Y981" s="92"/>
    </row>
    <row r="982" spans="25:25">
      <c r="Y982" s="92"/>
    </row>
    <row r="983" spans="25:25">
      <c r="Y983" s="92"/>
    </row>
    <row r="984" spans="25:25">
      <c r="Y984" s="92"/>
    </row>
    <row r="985" spans="25:25">
      <c r="Y985" s="92"/>
    </row>
    <row r="986" spans="25:25">
      <c r="Y986" s="92"/>
    </row>
    <row r="987" spans="25:25">
      <c r="Y987" s="92"/>
    </row>
    <row r="988" spans="25:25">
      <c r="Y988" s="92"/>
    </row>
    <row r="989" spans="25:25">
      <c r="Y989" s="92"/>
    </row>
    <row r="990" spans="25:25">
      <c r="Y990" s="92"/>
    </row>
    <row r="991" spans="25:25">
      <c r="Y991" s="92"/>
    </row>
    <row r="992" spans="25:25">
      <c r="Y992" s="92"/>
    </row>
    <row r="993" spans="25:25">
      <c r="Y993" s="92"/>
    </row>
    <row r="994" spans="25:25">
      <c r="Y994" s="92"/>
    </row>
    <row r="995" spans="25:25">
      <c r="Y995" s="92"/>
    </row>
    <row r="996" spans="25:25">
      <c r="Y996" s="92"/>
    </row>
    <row r="997" spans="25:25">
      <c r="Y997" s="92"/>
    </row>
    <row r="998" spans="25:25">
      <c r="Y998" s="92"/>
    </row>
    <row r="999" spans="25:25">
      <c r="Y999" s="92"/>
    </row>
    <row r="1000" spans="25:25">
      <c r="Y1000" s="92"/>
    </row>
  </sheetData>
  <autoFilter ref="E1:E1000" xr:uid="{00000000-0009-0000-0000-000005000000}"/>
  <phoneticPr fontId="4" type="noConversion"/>
  <pageMargins left="0.75" right="0.75" top="1" bottom="1" header="0.5" footer="0.5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00"/>
  <sheetViews>
    <sheetView zoomScale="73" zoomScaleNormal="70" workbookViewId="0">
      <pane xSplit="5" ySplit="2" topLeftCell="F174" activePane="bottomRight" state="frozen"/>
      <selection pane="topRight" activeCell="F1" sqref="F1"/>
      <selection pane="bottomLeft" activeCell="A3" sqref="A3"/>
      <selection pane="bottomRight" activeCell="K199" sqref="K199"/>
    </sheetView>
  </sheetViews>
  <sheetFormatPr defaultColWidth="10" defaultRowHeight="15.6"/>
  <cols>
    <col min="1" max="1" width="11.21875" style="13" customWidth="1"/>
    <col min="2" max="2" width="14.21875" style="13" customWidth="1"/>
    <col min="3" max="3" width="6.88671875" style="13" bestFit="1" customWidth="1"/>
    <col min="4" max="4" width="10.109375" style="14" customWidth="1"/>
    <col min="5" max="5" width="15.88671875" style="14" customWidth="1"/>
    <col min="6" max="6" width="10.109375" style="15" customWidth="1"/>
    <col min="7" max="7" width="10.88671875" style="16" customWidth="1"/>
    <col min="8" max="8" width="7.109375" style="16" customWidth="1"/>
    <col min="9" max="9" width="7.21875" style="16" customWidth="1"/>
    <col min="10" max="10" width="13.21875" style="16" customWidth="1"/>
    <col min="11" max="11" width="16.88671875" style="17" customWidth="1"/>
    <col min="12" max="12" width="11.21875" style="16" hidden="1" customWidth="1"/>
    <col min="13" max="13" width="10.109375" style="13" hidden="1" customWidth="1"/>
    <col min="14" max="14" width="11.21875" style="13" hidden="1" customWidth="1"/>
    <col min="15" max="15" width="6.88671875" style="13" hidden="1" customWidth="1"/>
    <col min="16" max="16" width="11.21875" style="18" customWidth="1"/>
    <col min="17" max="17" width="9.109375" style="18" customWidth="1"/>
    <col min="18" max="18" width="10.21875" style="21" customWidth="1"/>
    <col min="19" max="19" width="11.109375" style="21" customWidth="1"/>
    <col min="20" max="21" width="12.21875" style="21" customWidth="1"/>
    <col min="22" max="22" width="13.109375" style="21" customWidth="1"/>
    <col min="23" max="23" width="8.21875" style="18" customWidth="1"/>
    <col min="24" max="24" width="8.88671875" style="19" customWidth="1"/>
    <col min="25" max="25" width="21.88671875" customWidth="1"/>
    <col min="26" max="26" width="11.88671875" style="20" customWidth="1"/>
    <col min="27" max="27" width="12.88671875" style="10" customWidth="1"/>
    <col min="28" max="28" width="7.88671875" style="17" customWidth="1"/>
    <col min="29" max="29" width="7.88671875" style="21" customWidth="1"/>
    <col min="30" max="30" width="7.109375" style="33" customWidth="1"/>
    <col min="31" max="31" width="7.88671875" style="33" customWidth="1"/>
    <col min="32" max="32" width="9.109375" style="33" customWidth="1"/>
    <col min="33" max="33" width="7.88671875" style="33" customWidth="1"/>
    <col min="34" max="34" width="8.109375" style="33" bestFit="1" customWidth="1"/>
    <col min="35" max="35" width="24" style="17" customWidth="1"/>
    <col min="36" max="36" width="7.88671875" style="17" customWidth="1"/>
    <col min="37" max="16384" width="10" style="16"/>
  </cols>
  <sheetData>
    <row r="1" spans="1:36" s="9" customFormat="1" ht="17.25" customHeight="1">
      <c r="A1" s="1"/>
      <c r="B1" s="1"/>
      <c r="C1" s="1"/>
      <c r="D1" s="2"/>
      <c r="E1" s="2"/>
      <c r="F1" s="3"/>
      <c r="G1" s="4"/>
      <c r="H1" s="1" t="s">
        <v>2</v>
      </c>
      <c r="I1" s="1"/>
      <c r="J1" s="1" t="s">
        <v>3</v>
      </c>
      <c r="K1" s="5" t="s">
        <v>4</v>
      </c>
      <c r="L1" s="6" t="s">
        <v>149</v>
      </c>
      <c r="M1" s="7" t="s">
        <v>60</v>
      </c>
      <c r="N1" s="7" t="s">
        <v>61</v>
      </c>
      <c r="O1" s="7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150</v>
      </c>
      <c r="V1" s="8" t="s">
        <v>12</v>
      </c>
      <c r="W1" s="8" t="s">
        <v>11</v>
      </c>
      <c r="X1" s="1" t="s">
        <v>143</v>
      </c>
      <c r="Y1" s="90" t="s">
        <v>13</v>
      </c>
      <c r="Z1" s="1" t="s">
        <v>14</v>
      </c>
      <c r="AA1" s="1" t="s">
        <v>141</v>
      </c>
      <c r="AB1" s="1" t="s">
        <v>140</v>
      </c>
      <c r="AC1" s="1" t="s">
        <v>140</v>
      </c>
      <c r="AD1" s="1" t="s">
        <v>140</v>
      </c>
      <c r="AE1" s="1" t="s">
        <v>140</v>
      </c>
      <c r="AF1" s="1" t="s">
        <v>140</v>
      </c>
      <c r="AG1" s="1" t="s">
        <v>140</v>
      </c>
      <c r="AH1" s="1" t="s">
        <v>140</v>
      </c>
      <c r="AI1" s="1"/>
      <c r="AJ1" s="1"/>
    </row>
    <row r="2" spans="1:36" s="9" customFormat="1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15</v>
      </c>
      <c r="G2" s="4" t="s">
        <v>21</v>
      </c>
      <c r="H2" s="1" t="s">
        <v>22</v>
      </c>
      <c r="I2" s="1" t="s">
        <v>23</v>
      </c>
      <c r="J2" s="1" t="s">
        <v>24</v>
      </c>
      <c r="K2" s="10" t="s">
        <v>25</v>
      </c>
      <c r="L2" s="7" t="s">
        <v>26</v>
      </c>
      <c r="M2" s="7" t="s">
        <v>0</v>
      </c>
      <c r="N2" s="7" t="s">
        <v>1</v>
      </c>
      <c r="O2" s="7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 t="s">
        <v>34</v>
      </c>
      <c r="W2" s="11" t="s">
        <v>35</v>
      </c>
      <c r="X2" s="12" t="s">
        <v>144</v>
      </c>
      <c r="Y2" s="91" t="s">
        <v>36</v>
      </c>
      <c r="Z2" s="12" t="s">
        <v>37</v>
      </c>
      <c r="AA2" s="12" t="s">
        <v>38</v>
      </c>
      <c r="AB2" s="12" t="s">
        <v>39</v>
      </c>
      <c r="AC2" s="12" t="s">
        <v>40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</row>
    <row r="3" spans="1:36">
      <c r="A3" s="13" t="s">
        <v>177</v>
      </c>
      <c r="B3" s="13" t="s">
        <v>84</v>
      </c>
      <c r="C3" s="13">
        <v>5</v>
      </c>
      <c r="E3" s="14">
        <v>44628</v>
      </c>
      <c r="P3" s="18">
        <v>0.10050000000000001</v>
      </c>
      <c r="Q3" s="18">
        <v>7.2253947872805142</v>
      </c>
      <c r="R3" s="18" t="s">
        <v>50</v>
      </c>
      <c r="S3" s="18">
        <v>1.582414212310794</v>
      </c>
      <c r="T3" s="18">
        <v>4.7698359513725102</v>
      </c>
      <c r="U3" s="18"/>
      <c r="V3" s="18">
        <v>8.4329219011375717E-2</v>
      </c>
      <c r="Y3" s="92">
        <v>1.2454159982442281</v>
      </c>
      <c r="Z3" s="20">
        <v>-2.9497980281835838</v>
      </c>
      <c r="AA3" s="10">
        <v>0.22095433368001591</v>
      </c>
      <c r="AB3" s="21">
        <v>2.5004094297042099</v>
      </c>
      <c r="AC3" s="18">
        <v>1.1003619601904691</v>
      </c>
      <c r="AD3" s="21">
        <v>14.590259067179259</v>
      </c>
      <c r="AE3" s="18">
        <v>1.833020916414402</v>
      </c>
      <c r="AF3" s="18">
        <v>6.0574445082939533E-3</v>
      </c>
      <c r="AG3" s="21"/>
      <c r="AH3" s="21">
        <v>0.58451300947140006</v>
      </c>
      <c r="AI3" s="19"/>
      <c r="AJ3" s="19"/>
    </row>
    <row r="4" spans="1:36">
      <c r="A4" s="13" t="s">
        <v>177</v>
      </c>
      <c r="B4" s="13" t="s">
        <v>84</v>
      </c>
      <c r="C4" s="13">
        <v>6</v>
      </c>
      <c r="E4" s="14">
        <v>44635</v>
      </c>
      <c r="R4" s="18"/>
      <c r="S4" s="18"/>
      <c r="T4" s="18"/>
      <c r="U4" s="18"/>
      <c r="V4" s="18"/>
      <c r="Y4" s="92"/>
      <c r="AC4" s="18"/>
      <c r="AD4" s="21"/>
      <c r="AE4" s="21"/>
      <c r="AF4" s="21"/>
      <c r="AG4" s="21"/>
      <c r="AH4" s="21"/>
    </row>
    <row r="5" spans="1:36">
      <c r="A5" s="13" t="s">
        <v>177</v>
      </c>
      <c r="B5" s="13" t="s">
        <v>84</v>
      </c>
      <c r="C5" s="13">
        <v>8</v>
      </c>
      <c r="E5" s="14">
        <v>44649</v>
      </c>
      <c r="H5" s="16" t="s">
        <v>85</v>
      </c>
      <c r="I5" s="16">
        <v>6.39</v>
      </c>
      <c r="J5" s="16">
        <v>23.71</v>
      </c>
      <c r="K5" s="17">
        <v>4.1192042117123684</v>
      </c>
      <c r="P5" s="18" t="s">
        <v>50</v>
      </c>
      <c r="Q5" s="18">
        <v>0.6315766500279596</v>
      </c>
      <c r="R5" s="18">
        <v>2.7099999999999999E-2</v>
      </c>
      <c r="S5" s="18">
        <v>0.31941925121968651</v>
      </c>
      <c r="T5" s="18">
        <v>0.42419519663556993</v>
      </c>
      <c r="U5" s="18"/>
      <c r="V5" s="18">
        <v>0.31585832401813518</v>
      </c>
      <c r="W5" s="18">
        <v>5.9549000000000003</v>
      </c>
      <c r="X5" s="19">
        <v>2.0623</v>
      </c>
      <c r="Y5" s="92">
        <v>0.77085444243840617</v>
      </c>
      <c r="Z5" s="20">
        <v>-6.5791943776933151</v>
      </c>
      <c r="AA5" s="10">
        <v>-35.608575774657893</v>
      </c>
      <c r="AB5" s="17">
        <v>0.57013147664038544</v>
      </c>
      <c r="AC5" s="18">
        <v>0.23972601734673199</v>
      </c>
      <c r="AD5" s="21">
        <v>5.7177202257713953</v>
      </c>
      <c r="AE5" s="21">
        <v>0.44225533918812959</v>
      </c>
      <c r="AF5" s="21" t="s">
        <v>51</v>
      </c>
      <c r="AG5" s="21"/>
      <c r="AH5" s="21">
        <v>0.15904472899768959</v>
      </c>
    </row>
    <row r="6" spans="1:36">
      <c r="A6" s="13" t="s">
        <v>83</v>
      </c>
      <c r="B6" s="13" t="s">
        <v>84</v>
      </c>
      <c r="C6" s="13">
        <v>9</v>
      </c>
      <c r="E6" s="14">
        <v>44658</v>
      </c>
      <c r="H6" s="16" t="s">
        <v>86</v>
      </c>
      <c r="I6" s="16">
        <v>7.06</v>
      </c>
      <c r="J6" s="16">
        <v>27.06</v>
      </c>
      <c r="K6" s="17">
        <v>1.8526673669767311</v>
      </c>
      <c r="P6" s="18" t="s">
        <v>50</v>
      </c>
      <c r="Q6" s="18">
        <v>4.5646469833577044</v>
      </c>
      <c r="R6" s="18" t="s">
        <v>50</v>
      </c>
      <c r="S6" s="18">
        <v>0.31666408463135132</v>
      </c>
      <c r="T6" s="18">
        <v>0.88204177010903206</v>
      </c>
      <c r="U6" s="18"/>
      <c r="V6" s="18">
        <v>0.40921745244066909</v>
      </c>
      <c r="W6" s="18">
        <v>4.4871999999999996</v>
      </c>
      <c r="X6" s="19">
        <v>0.88639999999999997</v>
      </c>
      <c r="Y6" s="92">
        <v>0.67065889293023428</v>
      </c>
      <c r="Z6" s="20">
        <v>-5.2008761976265658</v>
      </c>
      <c r="AA6" s="10">
        <v>-19.252786614634001</v>
      </c>
      <c r="AB6" s="17">
        <v>1.7612207578772441</v>
      </c>
      <c r="AC6" s="18">
        <v>0.37655033355773287</v>
      </c>
      <c r="AD6" s="21">
        <v>3.2922295188698891</v>
      </c>
      <c r="AE6" s="21">
        <v>0.67877513952429613</v>
      </c>
      <c r="AF6" s="21" t="s">
        <v>51</v>
      </c>
      <c r="AG6" s="21"/>
      <c r="AH6" s="21">
        <v>0.12027685894281651</v>
      </c>
    </row>
    <row r="7" spans="1:36" s="25" customFormat="1">
      <c r="A7" s="22" t="s">
        <v>83</v>
      </c>
      <c r="B7" s="22" t="s">
        <v>84</v>
      </c>
      <c r="C7" s="22">
        <v>10</v>
      </c>
      <c r="D7" s="23"/>
      <c r="E7" s="23">
        <v>44663</v>
      </c>
      <c r="F7" s="24"/>
      <c r="H7" s="25" t="s">
        <v>87</v>
      </c>
      <c r="I7" s="25">
        <v>6.34</v>
      </c>
      <c r="J7" s="25">
        <v>35.17</v>
      </c>
      <c r="K7" s="26">
        <v>1.9022560720927979</v>
      </c>
      <c r="M7" s="22"/>
      <c r="N7" s="22"/>
      <c r="O7" s="22"/>
      <c r="P7" s="27" t="s">
        <v>50</v>
      </c>
      <c r="Q7" s="27">
        <v>4.3855033534496677</v>
      </c>
      <c r="R7" s="27" t="s">
        <v>50</v>
      </c>
      <c r="S7" s="27">
        <v>0.66401567134432249</v>
      </c>
      <c r="T7" s="27">
        <v>3.841852130258689</v>
      </c>
      <c r="U7" s="27"/>
      <c r="V7" s="27">
        <v>0.30767916493391412</v>
      </c>
      <c r="W7" s="27">
        <v>4.4442000000000004</v>
      </c>
      <c r="X7" s="28"/>
      <c r="Y7" s="93">
        <v>0.53512199068726807</v>
      </c>
      <c r="Z7" s="26">
        <v>-2.6832488653876099</v>
      </c>
      <c r="AA7" s="29">
        <v>7.7797934027282203</v>
      </c>
      <c r="AB7" s="26">
        <v>2.3301264990074548</v>
      </c>
      <c r="AC7" s="30">
        <v>0.53589163921177996</v>
      </c>
      <c r="AD7" s="30">
        <v>4.0957375144867134</v>
      </c>
      <c r="AE7" s="30">
        <v>0.9592951008625602</v>
      </c>
      <c r="AF7" s="30">
        <v>2.0612426045540058E-3</v>
      </c>
      <c r="AG7" s="30"/>
      <c r="AH7" s="30">
        <v>0.1401821965662183</v>
      </c>
      <c r="AI7" s="26"/>
      <c r="AJ7" s="26"/>
    </row>
    <row r="8" spans="1:36">
      <c r="A8" s="13" t="s">
        <v>178</v>
      </c>
      <c r="B8" s="13" t="s">
        <v>84</v>
      </c>
      <c r="C8" s="13">
        <v>14</v>
      </c>
      <c r="E8" s="14">
        <v>44691</v>
      </c>
      <c r="P8" s="18" t="s">
        <v>50</v>
      </c>
      <c r="Q8" s="18">
        <v>2.5003227155216901</v>
      </c>
      <c r="R8" s="18" t="s">
        <v>50</v>
      </c>
      <c r="S8" s="18">
        <v>0.233766888613401</v>
      </c>
      <c r="T8" s="18">
        <v>1.199128086776593</v>
      </c>
      <c r="U8" s="18"/>
      <c r="V8" s="18">
        <v>0.16600000000000001</v>
      </c>
      <c r="W8" s="18">
        <v>2.3855522959645321</v>
      </c>
      <c r="Y8" s="92">
        <v>0.29715065183894451</v>
      </c>
      <c r="Z8" s="20">
        <v>-4.1713586675915968</v>
      </c>
      <c r="AA8" s="10">
        <v>-6.5432253838759351</v>
      </c>
      <c r="AB8" s="17">
        <v>1.1475199833087759</v>
      </c>
      <c r="AC8" s="18">
        <v>3.8753896965414932E-2</v>
      </c>
      <c r="AD8" s="21">
        <v>1.452226281406799</v>
      </c>
      <c r="AE8" s="21">
        <v>0.38545920598912459</v>
      </c>
      <c r="AF8" s="21">
        <v>9.9679248066487537E-5</v>
      </c>
      <c r="AG8" s="21"/>
      <c r="AH8" s="21">
        <v>2.2758023197058289E-2</v>
      </c>
    </row>
    <row r="9" spans="1:36" ht="16.2">
      <c r="A9" s="13" t="s">
        <v>178</v>
      </c>
      <c r="B9" s="77" t="s">
        <v>184</v>
      </c>
      <c r="C9" s="13">
        <v>15</v>
      </c>
      <c r="E9" s="14">
        <v>44698</v>
      </c>
      <c r="H9" s="16" t="s">
        <v>88</v>
      </c>
      <c r="I9" s="16">
        <v>7.21</v>
      </c>
      <c r="J9" s="16">
        <v>9.52</v>
      </c>
      <c r="K9" s="17">
        <v>1.2658582917211949</v>
      </c>
      <c r="P9" s="18" t="s">
        <v>50</v>
      </c>
      <c r="Q9" s="18">
        <v>0.44405639588132079</v>
      </c>
      <c r="R9" s="18">
        <v>8.8000000000000005E-3</v>
      </c>
      <c r="S9" s="18">
        <v>0.1292610991505152</v>
      </c>
      <c r="T9" s="18">
        <v>0.2594084147949568</v>
      </c>
      <c r="U9" s="18"/>
      <c r="V9" s="18">
        <v>0.19500000000000001</v>
      </c>
      <c r="W9" s="18">
        <v>4.7658130457411314</v>
      </c>
      <c r="Y9" s="92">
        <v>0.33928424820463149</v>
      </c>
      <c r="Z9" s="20">
        <v>-8.288773635634767</v>
      </c>
      <c r="AA9" s="10">
        <v>-49.414910058812318</v>
      </c>
      <c r="AB9" s="17">
        <v>0.42486284076937658</v>
      </c>
      <c r="AC9" s="18" t="s">
        <v>154</v>
      </c>
      <c r="AD9" s="21">
        <v>0.95393769805526141</v>
      </c>
      <c r="AE9" s="21">
        <v>0.28181339512021991</v>
      </c>
      <c r="AF9" s="21" t="s">
        <v>51</v>
      </c>
      <c r="AG9" s="21"/>
      <c r="AH9" s="21">
        <v>5.45384126617348E-2</v>
      </c>
    </row>
    <row r="10" spans="1:36">
      <c r="A10" s="13" t="s">
        <v>83</v>
      </c>
      <c r="B10" s="13" t="s">
        <v>84</v>
      </c>
      <c r="C10" s="13">
        <v>16</v>
      </c>
      <c r="E10" s="14">
        <v>44705</v>
      </c>
      <c r="H10" s="16" t="s">
        <v>89</v>
      </c>
      <c r="I10" s="16">
        <v>7.1</v>
      </c>
      <c r="J10" s="16">
        <v>12.61</v>
      </c>
      <c r="P10" s="18" t="s">
        <v>50</v>
      </c>
      <c r="Q10" s="18">
        <v>1.228454800421438</v>
      </c>
      <c r="R10" s="18">
        <v>4.0899999999999999E-2</v>
      </c>
      <c r="S10" s="18">
        <v>0.30627510462042579</v>
      </c>
      <c r="T10" s="18">
        <v>0.60329315826353147</v>
      </c>
      <c r="U10" s="18"/>
      <c r="V10" s="18">
        <v>0.19500000000000001</v>
      </c>
      <c r="W10" s="18">
        <v>3.8366243882298878</v>
      </c>
      <c r="Y10" s="92">
        <v>0.35491429464667168</v>
      </c>
      <c r="Z10" s="20">
        <v>-5.7955965241852656</v>
      </c>
      <c r="AA10" s="10">
        <v>-26.61381494551722</v>
      </c>
      <c r="AB10" s="17">
        <v>0.56863465238850175</v>
      </c>
      <c r="AC10" s="18">
        <v>1.8111626251680141E-2</v>
      </c>
      <c r="AD10" s="21">
        <v>1.0763374036842721</v>
      </c>
      <c r="AE10" s="21">
        <v>0.41208956719724582</v>
      </c>
      <c r="AF10" s="21">
        <v>6.2068033726199475E-5</v>
      </c>
      <c r="AG10" s="21"/>
      <c r="AH10" s="21">
        <v>9.1450046966983362E-2</v>
      </c>
    </row>
    <row r="11" spans="1:36">
      <c r="A11" s="13" t="s">
        <v>83</v>
      </c>
      <c r="B11" s="13" t="s">
        <v>84</v>
      </c>
      <c r="C11" s="13">
        <v>17</v>
      </c>
      <c r="E11" s="14">
        <v>44712</v>
      </c>
      <c r="H11" s="16" t="s">
        <v>90</v>
      </c>
      <c r="I11" s="16">
        <v>7.02</v>
      </c>
      <c r="J11" s="16">
        <v>10.73</v>
      </c>
      <c r="K11" s="17">
        <v>1.068370283596628</v>
      </c>
      <c r="P11" s="18" t="s">
        <v>50</v>
      </c>
      <c r="Q11" s="18">
        <v>0.42173847920021668</v>
      </c>
      <c r="R11" s="18">
        <v>1.09E-2</v>
      </c>
      <c r="S11" s="18">
        <v>0.22767630102697381</v>
      </c>
      <c r="T11" s="18">
        <v>0.41558960264152223</v>
      </c>
      <c r="U11" s="18"/>
      <c r="V11" s="18">
        <v>0.16300000000000001</v>
      </c>
      <c r="W11" s="18">
        <v>3.4818533839022878</v>
      </c>
      <c r="Y11" s="92">
        <v>0.36867567491554087</v>
      </c>
      <c r="Z11" s="20">
        <v>-12.89961961344823</v>
      </c>
      <c r="AA11" s="10">
        <v>-90.291376254461667</v>
      </c>
      <c r="AB11" s="17">
        <v>0.27348193784362113</v>
      </c>
      <c r="AC11" s="18" t="s">
        <v>154</v>
      </c>
      <c r="AD11" s="21">
        <v>0.90321373253160475</v>
      </c>
      <c r="AE11" s="21">
        <v>0.28248751391628479</v>
      </c>
      <c r="AF11" s="21" t="s">
        <v>51</v>
      </c>
      <c r="AG11" s="21"/>
      <c r="AH11" s="21">
        <v>5.2609563649610017E-2</v>
      </c>
    </row>
    <row r="12" spans="1:36">
      <c r="A12" s="13" t="s">
        <v>83</v>
      </c>
      <c r="B12" s="13" t="s">
        <v>84</v>
      </c>
      <c r="C12" s="13">
        <v>18</v>
      </c>
      <c r="E12" s="14">
        <v>44719</v>
      </c>
      <c r="H12" s="16" t="s">
        <v>91</v>
      </c>
      <c r="I12" s="16">
        <v>6.73</v>
      </c>
      <c r="J12" s="16">
        <v>16.920000000000002</v>
      </c>
      <c r="P12" s="18" t="s">
        <v>50</v>
      </c>
      <c r="Q12" s="18">
        <v>0.85738492313122661</v>
      </c>
      <c r="R12" s="18">
        <v>1.9199999999999998E-2</v>
      </c>
      <c r="S12" s="18">
        <v>0.32511345377771123</v>
      </c>
      <c r="T12" s="18">
        <v>0.55044770399696397</v>
      </c>
      <c r="U12" s="18"/>
      <c r="V12" s="18">
        <v>0.17799999999999999</v>
      </c>
      <c r="Y12" s="92">
        <v>0.41354534204186238</v>
      </c>
      <c r="Z12" s="20">
        <v>-9.5776892172310006</v>
      </c>
      <c r="AA12" s="10">
        <v>-63.502787947561913</v>
      </c>
      <c r="AB12" s="17">
        <v>0.40357960436825319</v>
      </c>
      <c r="AC12" s="21">
        <v>4.7930353077825678E-2</v>
      </c>
      <c r="AD12" s="33">
        <v>1.9912219726491871</v>
      </c>
      <c r="AE12" s="33">
        <v>0.41095015837358467</v>
      </c>
      <c r="AF12" s="33">
        <v>1.925303811310139E-4</v>
      </c>
      <c r="AH12" s="33">
        <v>0.10188385260142779</v>
      </c>
    </row>
    <row r="13" spans="1:36">
      <c r="A13" s="13" t="s">
        <v>83</v>
      </c>
      <c r="B13" s="13" t="s">
        <v>84</v>
      </c>
      <c r="C13" s="13">
        <v>19</v>
      </c>
      <c r="E13" s="14">
        <v>44726</v>
      </c>
      <c r="H13" s="16" t="s">
        <v>92</v>
      </c>
      <c r="I13" s="16">
        <v>6.65</v>
      </c>
      <c r="J13" s="16">
        <v>13.69</v>
      </c>
      <c r="K13" s="17">
        <v>1.888196628395562</v>
      </c>
      <c r="P13" s="18">
        <v>1.285775684400061E-2</v>
      </c>
      <c r="Q13" s="18">
        <v>0.64674204830064175</v>
      </c>
      <c r="R13" s="18">
        <v>1.46876303496523E-2</v>
      </c>
      <c r="S13" s="18">
        <v>0.12679128607895659</v>
      </c>
      <c r="T13" s="18">
        <v>0.43883202596591891</v>
      </c>
      <c r="U13" s="18"/>
      <c r="V13" s="18">
        <v>0.14869942300139649</v>
      </c>
      <c r="W13" s="18">
        <v>6.2474702874112573</v>
      </c>
      <c r="Y13" s="92">
        <v>0.45831531013662052</v>
      </c>
      <c r="Z13" s="20">
        <v>-9.6323949082134259</v>
      </c>
      <c r="AA13" s="10">
        <v>-64.667341750899354</v>
      </c>
      <c r="AB13" s="17">
        <v>0.34415588575242217</v>
      </c>
      <c r="AC13" s="18">
        <v>0.21965163247720801</v>
      </c>
      <c r="AD13" s="21">
        <v>1.61719982313249</v>
      </c>
      <c r="AE13" s="21">
        <v>0.57500416478469407</v>
      </c>
      <c r="AF13" s="21">
        <v>1.0476170645751501E-2</v>
      </c>
      <c r="AG13" s="21"/>
      <c r="AH13" s="21">
        <v>0.15339270963259519</v>
      </c>
    </row>
    <row r="14" spans="1:36">
      <c r="A14" s="13" t="s">
        <v>83</v>
      </c>
      <c r="B14" s="13" t="s">
        <v>84</v>
      </c>
      <c r="C14" s="13">
        <v>20</v>
      </c>
      <c r="E14" s="14">
        <v>44733</v>
      </c>
      <c r="H14" s="16" t="s">
        <v>93</v>
      </c>
      <c r="I14" s="16">
        <v>7.17</v>
      </c>
      <c r="J14" s="16">
        <v>17.2</v>
      </c>
      <c r="P14" s="18">
        <v>1.399154057012685E-2</v>
      </c>
      <c r="Q14" s="18">
        <v>0.86537731644520588</v>
      </c>
      <c r="R14" s="18">
        <v>3.1698117813350232E-2</v>
      </c>
      <c r="S14" s="18">
        <v>0.88431001747399063</v>
      </c>
      <c r="T14" s="18">
        <v>2.0364369824222921</v>
      </c>
      <c r="U14" s="18"/>
      <c r="V14" s="18">
        <v>9.8561872379051119E-2</v>
      </c>
      <c r="W14" s="18">
        <v>5.0560999999999998</v>
      </c>
      <c r="Y14" s="92">
        <v>7.5571424742841122</v>
      </c>
      <c r="Z14" s="20">
        <v>-5.7278271174135993</v>
      </c>
      <c r="AA14" s="10">
        <v>-30.46492083135027</v>
      </c>
      <c r="AB14" s="17">
        <v>0.32134732018829459</v>
      </c>
      <c r="AC14" s="18">
        <v>0.244484923295681</v>
      </c>
      <c r="AD14" s="21">
        <v>1.814002088656687</v>
      </c>
      <c r="AE14" s="21">
        <v>0.70469137999473541</v>
      </c>
      <c r="AF14" s="21">
        <v>1.099642192861556E-2</v>
      </c>
      <c r="AG14" s="21"/>
      <c r="AH14" s="21">
        <v>0.1193992876890301</v>
      </c>
    </row>
    <row r="15" spans="1:36">
      <c r="A15" s="13" t="s">
        <v>83</v>
      </c>
      <c r="B15" s="13" t="s">
        <v>84</v>
      </c>
      <c r="C15" s="13">
        <v>21</v>
      </c>
      <c r="E15" s="14">
        <v>44740</v>
      </c>
      <c r="P15" s="18">
        <v>3.5339183992026131E-2</v>
      </c>
      <c r="Q15" s="18">
        <v>1.544818573212009</v>
      </c>
      <c r="R15" s="18">
        <v>5.2863703619603492E-2</v>
      </c>
      <c r="S15" s="18">
        <v>0.61084180381583153</v>
      </c>
      <c r="T15" s="18">
        <v>2.089455138743471</v>
      </c>
      <c r="U15" s="18"/>
      <c r="V15" s="18">
        <v>0.10229230761771151</v>
      </c>
      <c r="Y15" s="92"/>
      <c r="Z15" s="20">
        <v>-6.5580444797301096</v>
      </c>
      <c r="AA15" s="10">
        <v>-39.900451757845069</v>
      </c>
      <c r="AB15" s="17">
        <v>0.79407895761455727</v>
      </c>
      <c r="AC15" s="18">
        <v>0.21161353005356251</v>
      </c>
      <c r="AD15" s="21">
        <v>1.257640341351224</v>
      </c>
      <c r="AE15" s="21">
        <v>0.85325450115209234</v>
      </c>
      <c r="AF15" s="21">
        <v>1.4512311937621749E-2</v>
      </c>
      <c r="AG15" s="21"/>
      <c r="AH15" s="21">
        <v>0.16420429555958391</v>
      </c>
    </row>
    <row r="16" spans="1:36">
      <c r="A16" s="13" t="s">
        <v>83</v>
      </c>
      <c r="B16" s="13" t="s">
        <v>84</v>
      </c>
      <c r="C16" s="13">
        <v>22</v>
      </c>
      <c r="E16" s="14">
        <v>44747</v>
      </c>
      <c r="P16" s="18">
        <v>5.2253309736319607E-2</v>
      </c>
      <c r="Q16" s="18">
        <v>1.896432660638931</v>
      </c>
      <c r="R16" s="18">
        <v>1.9777253235378621E-2</v>
      </c>
      <c r="S16" s="18">
        <v>1.192262502420147</v>
      </c>
      <c r="T16" s="18">
        <v>4.3030659893182426</v>
      </c>
      <c r="U16" s="18"/>
      <c r="V16" s="18">
        <v>0.77812715783613229</v>
      </c>
      <c r="Y16" s="92">
        <v>3.0602865044292389</v>
      </c>
      <c r="Z16" s="20">
        <v>-7.691924301914165</v>
      </c>
      <c r="AA16" s="10">
        <v>-48.395113745862183</v>
      </c>
      <c r="AB16" s="17">
        <v>0.89418934614451462</v>
      </c>
      <c r="AC16" s="18">
        <v>0.76378754381571512</v>
      </c>
      <c r="AD16" s="21">
        <v>8.873071672349484</v>
      </c>
      <c r="AE16" s="21">
        <v>1.993035246770513</v>
      </c>
      <c r="AF16" s="21">
        <v>1.995738417416381E-2</v>
      </c>
      <c r="AG16" s="21"/>
      <c r="AH16" s="21">
        <v>0.42105493941102662</v>
      </c>
    </row>
    <row r="17" spans="1:35">
      <c r="A17" s="13" t="s">
        <v>83</v>
      </c>
      <c r="B17" s="13" t="s">
        <v>84</v>
      </c>
      <c r="C17" s="13">
        <v>23</v>
      </c>
      <c r="E17" s="14">
        <v>44754</v>
      </c>
      <c r="H17" s="16" t="s">
        <v>94</v>
      </c>
      <c r="I17" s="16">
        <v>6.61</v>
      </c>
      <c r="J17" s="16">
        <v>20.23</v>
      </c>
      <c r="P17" s="18">
        <v>3.6393127330072002E-2</v>
      </c>
      <c r="Q17" s="18">
        <v>0.96427261410032428</v>
      </c>
      <c r="R17" s="18">
        <v>3.8876603031934923E-2</v>
      </c>
      <c r="S17" s="18">
        <v>0.32799244424515039</v>
      </c>
      <c r="T17" s="18">
        <v>0.9397413479033786</v>
      </c>
      <c r="U17" s="18"/>
      <c r="V17" s="18">
        <v>0.2471810328047972</v>
      </c>
      <c r="W17" s="18">
        <v>5.1859522068815496</v>
      </c>
      <c r="Y17" s="92">
        <v>0.61600824068528737</v>
      </c>
      <c r="Z17" s="20">
        <v>-8.1452084115206631</v>
      </c>
      <c r="AA17" s="10">
        <v>-51.278332352742623</v>
      </c>
      <c r="AB17" s="17">
        <v>0.57973558106317968</v>
      </c>
      <c r="AC17" s="18">
        <v>0.20316996519496361</v>
      </c>
      <c r="AD17" s="21">
        <v>1.7368121266724219</v>
      </c>
      <c r="AE17" s="21">
        <v>0.66748931385557286</v>
      </c>
      <c r="AF17" s="21">
        <v>1.427438921322636E-2</v>
      </c>
      <c r="AG17" s="21"/>
      <c r="AH17" s="21">
        <v>0.1067106425851367</v>
      </c>
    </row>
    <row r="18" spans="1:35">
      <c r="A18" s="13" t="s">
        <v>83</v>
      </c>
      <c r="B18" s="13" t="s">
        <v>84</v>
      </c>
      <c r="C18" s="13">
        <v>25</v>
      </c>
      <c r="E18" s="14">
        <v>44768</v>
      </c>
      <c r="H18" s="16" t="s">
        <v>95</v>
      </c>
      <c r="I18" s="16">
        <v>6.84</v>
      </c>
      <c r="J18" s="16">
        <v>39.799999999999997</v>
      </c>
      <c r="P18" s="18">
        <v>4.2500000000000003E-2</v>
      </c>
      <c r="Q18" s="18">
        <v>1.7649118504845951</v>
      </c>
      <c r="R18" s="18">
        <v>2.6599999999999999E-2</v>
      </c>
      <c r="S18" s="18">
        <v>0.28884174091329801</v>
      </c>
      <c r="T18" s="18">
        <v>2.286277528587354</v>
      </c>
      <c r="U18" s="18"/>
      <c r="V18" s="18">
        <v>7.8892931067826702E-2</v>
      </c>
      <c r="W18" s="18">
        <v>14.16912642157671</v>
      </c>
      <c r="Y18" s="92">
        <v>0.82429394804751865</v>
      </c>
      <c r="Z18" s="20">
        <v>-5.126416729489903</v>
      </c>
      <c r="AA18" s="10">
        <v>-30.812709199966001</v>
      </c>
      <c r="AB18" s="17">
        <v>0.96781266866601401</v>
      </c>
      <c r="AC18" s="18">
        <v>0.5349266934946677</v>
      </c>
      <c r="AD18" s="21">
        <v>6.3652967000407434</v>
      </c>
      <c r="AE18" s="21">
        <v>1.1699578264435351</v>
      </c>
      <c r="AF18" s="21">
        <v>1.546169103273386E-2</v>
      </c>
      <c r="AG18" s="21"/>
      <c r="AH18" s="21">
        <v>0.30593229217796403</v>
      </c>
    </row>
    <row r="19" spans="1:35">
      <c r="A19" s="13" t="s">
        <v>83</v>
      </c>
      <c r="B19" s="13" t="s">
        <v>84</v>
      </c>
      <c r="C19" s="13">
        <v>26</v>
      </c>
      <c r="E19" s="14">
        <v>44775</v>
      </c>
      <c r="H19" s="16" t="s">
        <v>96</v>
      </c>
      <c r="I19" s="16">
        <v>6.78</v>
      </c>
      <c r="J19" s="16">
        <v>14.33</v>
      </c>
      <c r="P19" s="18">
        <v>3.1600000000000003E-2</v>
      </c>
      <c r="Q19" s="18">
        <v>0.59236869116636603</v>
      </c>
      <c r="R19" s="18">
        <v>2.12E-2</v>
      </c>
      <c r="S19" s="18">
        <v>0.79248350930551914</v>
      </c>
      <c r="T19" s="18">
        <v>0.90275523360862886</v>
      </c>
      <c r="U19" s="18"/>
      <c r="V19" s="18">
        <v>5.2008598031308959E-2</v>
      </c>
      <c r="W19" s="18">
        <v>4.4535426721805162</v>
      </c>
      <c r="Y19" s="92">
        <v>0.5264082403012964</v>
      </c>
      <c r="Z19" s="20">
        <v>-6.2166846282219694</v>
      </c>
      <c r="AA19" s="10">
        <v>-33.918622260932501</v>
      </c>
      <c r="AB19" s="17">
        <v>0.42410401434256279</v>
      </c>
      <c r="AC19" s="18">
        <v>5.3956195287079407E-2</v>
      </c>
      <c r="AD19" s="21">
        <v>1.7871214433621909</v>
      </c>
      <c r="AE19" s="21">
        <v>0.33543265424428109</v>
      </c>
      <c r="AF19" s="21">
        <v>1.2129483874331709E-2</v>
      </c>
      <c r="AG19" s="21"/>
      <c r="AH19" s="21">
        <v>9.3270334743353209E-2</v>
      </c>
    </row>
    <row r="20" spans="1:35">
      <c r="A20" s="13" t="s">
        <v>83</v>
      </c>
      <c r="B20" s="13" t="s">
        <v>84</v>
      </c>
      <c r="C20" s="13">
        <v>27</v>
      </c>
      <c r="E20" s="14">
        <v>44782</v>
      </c>
      <c r="P20" s="18">
        <v>1.6299999999999999E-2</v>
      </c>
      <c r="Q20" s="18">
        <v>0.30133509277547188</v>
      </c>
      <c r="R20" s="18">
        <v>1.0800000000000001E-2</v>
      </c>
      <c r="S20" s="18">
        <v>2.0944994907908669</v>
      </c>
      <c r="T20" s="18">
        <v>0.61652414040991965</v>
      </c>
      <c r="U20" s="18"/>
      <c r="V20" s="18">
        <v>0.31547609845659569</v>
      </c>
      <c r="Y20" s="92">
        <v>1.1006108083205901</v>
      </c>
      <c r="Z20" s="20">
        <v>-6.9245426437446191</v>
      </c>
      <c r="AA20" s="10">
        <v>-42.012328585051371</v>
      </c>
      <c r="AB20" s="17">
        <v>0.26653649593961948</v>
      </c>
      <c r="AC20" s="18">
        <v>7.6622788486553739E-2</v>
      </c>
      <c r="AD20" s="21">
        <v>1.297650793939418</v>
      </c>
      <c r="AE20" s="21">
        <v>0.3713296664468117</v>
      </c>
      <c r="AF20" s="21">
        <v>1.268852824162035E-2</v>
      </c>
      <c r="AG20" s="21"/>
      <c r="AH20" s="21">
        <v>0.23175874000367891</v>
      </c>
    </row>
    <row r="21" spans="1:35">
      <c r="A21" s="13" t="s">
        <v>83</v>
      </c>
      <c r="B21" s="13" t="s">
        <v>84</v>
      </c>
      <c r="C21" s="13">
        <v>28</v>
      </c>
      <c r="E21" s="14">
        <v>44803</v>
      </c>
      <c r="H21" s="16" t="s">
        <v>97</v>
      </c>
      <c r="I21" s="16">
        <v>6.76</v>
      </c>
      <c r="J21" s="16">
        <v>45.85</v>
      </c>
      <c r="K21" s="17">
        <v>3.5545255419310591</v>
      </c>
      <c r="P21" s="18">
        <v>0.12376355602502991</v>
      </c>
      <c r="Q21" s="18">
        <v>2.2980707841379018</v>
      </c>
      <c r="R21" s="18">
        <v>2.6478460672493331E-2</v>
      </c>
      <c r="S21" s="18">
        <v>1.3317060672091381</v>
      </c>
      <c r="T21" s="18">
        <v>2.8003783838788538</v>
      </c>
      <c r="U21" s="18"/>
      <c r="V21" s="18">
        <v>0.31357868644136128</v>
      </c>
      <c r="W21" s="18">
        <v>14.205764073752629</v>
      </c>
      <c r="X21" s="19">
        <v>1.5690625158260829</v>
      </c>
      <c r="Y21" s="92">
        <v>1.4898728935918939</v>
      </c>
      <c r="Z21" s="20">
        <v>-8.2370900575059256</v>
      </c>
      <c r="AA21" s="10">
        <v>-51.943314031120387</v>
      </c>
      <c r="AB21" s="17">
        <v>1.1102818509618819</v>
      </c>
      <c r="AC21" s="18">
        <v>0.55979454442827059</v>
      </c>
      <c r="AD21" s="21">
        <v>6.6528112820698331</v>
      </c>
      <c r="AE21" s="21">
        <v>1.732207880676397</v>
      </c>
      <c r="AF21" s="21">
        <v>2.1968363497312751E-2</v>
      </c>
      <c r="AG21" s="21"/>
      <c r="AH21" s="21">
        <v>0.32241882926181248</v>
      </c>
    </row>
    <row r="22" spans="1:35">
      <c r="A22" s="13" t="s">
        <v>83</v>
      </c>
      <c r="B22" s="13" t="s">
        <v>84</v>
      </c>
      <c r="C22" s="13">
        <v>31</v>
      </c>
      <c r="E22" s="14">
        <v>44810</v>
      </c>
      <c r="K22" s="17">
        <v>1.254121345370661</v>
      </c>
      <c r="P22" s="18">
        <v>2.3E-2</v>
      </c>
      <c r="Q22" s="18">
        <v>0.92226498787547817</v>
      </c>
      <c r="R22" s="18">
        <v>2.4767295193711139E-2</v>
      </c>
      <c r="S22" s="18">
        <v>0.2229540097719061</v>
      </c>
      <c r="T22" s="18">
        <v>0.54774283803668011</v>
      </c>
      <c r="U22" s="18">
        <v>0.14046841164074381</v>
      </c>
      <c r="V22" s="18">
        <v>0.15740910216190551</v>
      </c>
      <c r="W22" s="18">
        <v>2.789413859455633</v>
      </c>
      <c r="X22" s="19">
        <v>0.74631574614536933</v>
      </c>
      <c r="Y22" s="92">
        <v>0.36167475332153792</v>
      </c>
      <c r="Z22" s="20">
        <v>-6.3848981765626256</v>
      </c>
      <c r="AA22" s="10">
        <v>-36.372148451400562</v>
      </c>
      <c r="AB22" s="17">
        <v>0.79818103448166666</v>
      </c>
      <c r="AC22" s="18">
        <v>6.3817566516348179E-2</v>
      </c>
      <c r="AD22" s="21">
        <v>1.1907273226680619</v>
      </c>
      <c r="AE22" s="21">
        <v>0.36546501589581543</v>
      </c>
      <c r="AF22" s="21">
        <v>1.7926655142023649E-2</v>
      </c>
      <c r="AG22" s="21"/>
      <c r="AH22" s="21">
        <v>0.1612175551869573</v>
      </c>
    </row>
    <row r="23" spans="1:35">
      <c r="A23" s="13" t="s">
        <v>178</v>
      </c>
      <c r="B23" s="13" t="s">
        <v>84</v>
      </c>
      <c r="C23" s="13">
        <v>32</v>
      </c>
      <c r="E23" s="14">
        <v>44817</v>
      </c>
      <c r="H23" s="16" t="s">
        <v>98</v>
      </c>
      <c r="I23" s="16">
        <v>6.41</v>
      </c>
      <c r="J23" s="16">
        <v>10.88</v>
      </c>
      <c r="P23" s="18">
        <v>1.2699999999999999E-2</v>
      </c>
      <c r="Q23" s="18">
        <v>0.6732780255954951</v>
      </c>
      <c r="R23" s="18">
        <v>1.533618314039136E-2</v>
      </c>
      <c r="S23" s="18">
        <v>0.39359211554041118</v>
      </c>
      <c r="T23" s="18">
        <v>0.43269355972155038</v>
      </c>
      <c r="U23" s="18">
        <v>8.0895724826201179E-2</v>
      </c>
      <c r="V23" s="18">
        <v>0.1855378181272144</v>
      </c>
      <c r="W23" s="18">
        <v>2.915983010693318</v>
      </c>
      <c r="X23" s="19">
        <v>0.57589999999999997</v>
      </c>
      <c r="Y23" s="92">
        <v>0.31626691176524208</v>
      </c>
      <c r="Z23" s="20">
        <v>-7.522697442014687</v>
      </c>
      <c r="AA23" s="10">
        <v>-48.359098594829497</v>
      </c>
      <c r="AB23" s="17">
        <v>0.46357424928792013</v>
      </c>
      <c r="AC23" s="18">
        <v>3.5980045154853722E-2</v>
      </c>
      <c r="AD23" s="21">
        <v>0.99260503682653012</v>
      </c>
      <c r="AE23" s="21">
        <v>0.31133069709159977</v>
      </c>
      <c r="AF23" s="21">
        <v>1.7503761015544961E-2</v>
      </c>
      <c r="AG23" s="21"/>
      <c r="AH23" s="21">
        <v>0.13884428435682081</v>
      </c>
    </row>
    <row r="24" spans="1:35">
      <c r="A24" s="13" t="s">
        <v>178</v>
      </c>
      <c r="B24" s="13" t="s">
        <v>84</v>
      </c>
      <c r="C24" s="13">
        <v>33</v>
      </c>
      <c r="E24" s="14">
        <v>44824</v>
      </c>
      <c r="H24" s="16" t="s">
        <v>99</v>
      </c>
      <c r="I24" s="16">
        <v>6.9</v>
      </c>
      <c r="J24" s="16">
        <v>23.31</v>
      </c>
      <c r="P24" s="18">
        <v>3.8100000000000002E-2</v>
      </c>
      <c r="Q24" s="18">
        <v>1.171588358553654</v>
      </c>
      <c r="R24" s="18">
        <v>2.26906115656649E-2</v>
      </c>
      <c r="S24" s="18">
        <v>0.71740033330023911</v>
      </c>
      <c r="T24" s="18">
        <v>1.7053416113294031</v>
      </c>
      <c r="U24" s="18">
        <v>0.30809362695338788</v>
      </c>
      <c r="V24" s="18">
        <v>0.6452353055867166</v>
      </c>
      <c r="Y24" s="92">
        <v>1.0398266769679769</v>
      </c>
      <c r="Z24" s="20">
        <v>-7.3118429675754966</v>
      </c>
      <c r="AA24" s="10">
        <v>-41.821684422324957</v>
      </c>
      <c r="AB24" s="17">
        <v>0.85369833803587469</v>
      </c>
      <c r="AC24" s="18">
        <v>0.26051241398468322</v>
      </c>
      <c r="AD24" s="21">
        <v>1.5014316156724941</v>
      </c>
      <c r="AE24" s="21">
        <v>0.94675196405305218</v>
      </c>
      <c r="AF24" s="21">
        <v>1.9847546306667511E-2</v>
      </c>
      <c r="AG24" s="21"/>
      <c r="AH24" s="21">
        <v>0.39015076927739689</v>
      </c>
    </row>
    <row r="25" spans="1:35">
      <c r="A25" s="13" t="s">
        <v>178</v>
      </c>
      <c r="B25" s="13" t="s">
        <v>84</v>
      </c>
      <c r="C25" s="13">
        <v>34</v>
      </c>
      <c r="E25" s="14">
        <v>44831</v>
      </c>
      <c r="H25" s="16" t="s">
        <v>100</v>
      </c>
      <c r="I25" s="16">
        <v>6.3</v>
      </c>
      <c r="J25" s="16">
        <v>7.45</v>
      </c>
      <c r="K25" s="17">
        <v>0.24213724382295251</v>
      </c>
      <c r="P25" s="18" t="s">
        <v>50</v>
      </c>
      <c r="Q25" s="18">
        <v>0.90258053337359412</v>
      </c>
      <c r="R25" s="18" t="s">
        <v>50</v>
      </c>
      <c r="S25" s="18">
        <v>0.2353152283357538</v>
      </c>
      <c r="T25" s="18">
        <v>0.52629171371520878</v>
      </c>
      <c r="U25" s="18" t="s">
        <v>50</v>
      </c>
      <c r="V25" s="18">
        <v>5.2883715894326569E-2</v>
      </c>
      <c r="W25" s="18">
        <v>1.375870338966904</v>
      </c>
      <c r="X25" s="19">
        <v>0.30930000000000002</v>
      </c>
      <c r="Y25" s="92">
        <v>0.23070750350889699</v>
      </c>
      <c r="Z25" s="20">
        <v>-8.0785247764059225</v>
      </c>
      <c r="AA25" s="10">
        <v>-50.552439600564263</v>
      </c>
      <c r="AB25" s="17">
        <v>0.54362867045200658</v>
      </c>
      <c r="AC25" s="18" t="s">
        <v>51</v>
      </c>
      <c r="AD25" s="21">
        <v>0.36971166215825002</v>
      </c>
      <c r="AE25" s="21">
        <v>0.1726715707860314</v>
      </c>
      <c r="AF25" s="21">
        <v>1.71118285592219E-2</v>
      </c>
      <c r="AG25" s="21"/>
      <c r="AH25" s="21">
        <v>0.13185078510250481</v>
      </c>
    </row>
    <row r="26" spans="1:35">
      <c r="A26" s="13" t="s">
        <v>178</v>
      </c>
      <c r="B26" s="13" t="s">
        <v>84</v>
      </c>
      <c r="C26" s="13">
        <v>35</v>
      </c>
      <c r="E26" s="14">
        <v>44838</v>
      </c>
      <c r="P26" s="18">
        <v>3.8800000000000001E-2</v>
      </c>
      <c r="Q26" s="18">
        <v>2.111976066135953</v>
      </c>
      <c r="R26" s="18">
        <v>5.1207360291270439E-2</v>
      </c>
      <c r="S26" s="18">
        <v>2.88237537493869</v>
      </c>
      <c r="T26" s="18">
        <v>2.631923004123637</v>
      </c>
      <c r="U26" s="18">
        <v>0.21634155436449951</v>
      </c>
      <c r="V26" s="18">
        <v>1.2108181795548121</v>
      </c>
      <c r="W26" s="18">
        <v>4.2642140655540199</v>
      </c>
      <c r="Y26" s="92">
        <v>2.124162272432554</v>
      </c>
      <c r="Z26" s="20">
        <v>-3.52711874713281</v>
      </c>
      <c r="AA26" s="10">
        <v>-12.186636991040221</v>
      </c>
      <c r="AB26" s="17">
        <v>1.141444714663403</v>
      </c>
      <c r="AC26" s="18">
        <v>0.17045343260044429</v>
      </c>
      <c r="AD26" s="21">
        <v>1.475910875188182</v>
      </c>
      <c r="AE26" s="21">
        <v>1.1250519487616779</v>
      </c>
      <c r="AF26" s="21">
        <v>1.19241102552153E-2</v>
      </c>
      <c r="AG26" s="21"/>
      <c r="AH26" s="21">
        <v>5.8610548887025507E-2</v>
      </c>
    </row>
    <row r="27" spans="1:35">
      <c r="A27" s="13" t="s">
        <v>178</v>
      </c>
      <c r="B27" s="13" t="s">
        <v>84</v>
      </c>
      <c r="C27" s="13">
        <v>36</v>
      </c>
      <c r="E27" s="14">
        <v>44845</v>
      </c>
      <c r="H27" s="16" t="s">
        <v>89</v>
      </c>
      <c r="I27" s="16">
        <v>5.96</v>
      </c>
      <c r="J27" s="16">
        <v>7.5</v>
      </c>
      <c r="P27" s="18" t="s">
        <v>50</v>
      </c>
      <c r="Q27" s="18">
        <v>0.97005905547768134</v>
      </c>
      <c r="R27" s="18" t="s">
        <v>50</v>
      </c>
      <c r="S27" s="18">
        <v>0.25532147448543091</v>
      </c>
      <c r="T27" s="18">
        <v>0.45985148621735128</v>
      </c>
      <c r="U27" s="18" t="s">
        <v>50</v>
      </c>
      <c r="V27" s="18">
        <v>7.8286576812831618E-2</v>
      </c>
      <c r="W27" s="18">
        <v>0.70550000000000002</v>
      </c>
      <c r="X27" s="19">
        <v>0.30559999999999998</v>
      </c>
      <c r="Y27" s="92">
        <v>0.103619643586355</v>
      </c>
      <c r="Z27" s="20">
        <v>-4.4228011544366819</v>
      </c>
      <c r="AA27" s="10">
        <v>-14.123656670964211</v>
      </c>
      <c r="AB27" s="17">
        <v>0.5446163540161354</v>
      </c>
      <c r="AC27" s="18" t="s">
        <v>51</v>
      </c>
      <c r="AD27" s="21">
        <v>0.32747965715437072</v>
      </c>
      <c r="AE27" s="21">
        <v>0.24130212892619099</v>
      </c>
      <c r="AF27" s="21">
        <v>8.756458333803202E-3</v>
      </c>
      <c r="AG27" s="21"/>
      <c r="AH27" s="21">
        <v>5.3868728683844798E-2</v>
      </c>
    </row>
    <row r="28" spans="1:35">
      <c r="A28" s="13" t="s">
        <v>178</v>
      </c>
      <c r="B28" s="13" t="s">
        <v>84</v>
      </c>
      <c r="C28" s="13">
        <v>37</v>
      </c>
      <c r="E28" s="14">
        <v>44853</v>
      </c>
      <c r="H28" s="16" t="s">
        <v>101</v>
      </c>
      <c r="I28" s="16">
        <v>5.96</v>
      </c>
      <c r="J28" s="16">
        <v>6.72</v>
      </c>
      <c r="K28" s="17">
        <v>0.38714609836827718</v>
      </c>
      <c r="P28" s="18">
        <v>1.15E-2</v>
      </c>
      <c r="Q28" s="18">
        <v>1.0678694233579189</v>
      </c>
      <c r="R28" s="18" t="s">
        <v>50</v>
      </c>
      <c r="S28" s="18">
        <v>0.1054264272156407</v>
      </c>
      <c r="T28" s="18">
        <v>0.348885960680336</v>
      </c>
      <c r="U28" s="18" t="s">
        <v>50</v>
      </c>
      <c r="V28" s="18">
        <v>7.265871805818136E-2</v>
      </c>
      <c r="W28" s="18">
        <v>0.46949999999999997</v>
      </c>
      <c r="Y28" s="92">
        <v>7.1401760929634642E-2</v>
      </c>
      <c r="Z28" s="20">
        <v>-5.8537000576122606</v>
      </c>
      <c r="AA28" s="10">
        <v>-30.123166407463131</v>
      </c>
      <c r="AB28" s="17">
        <v>0.65895421636297435</v>
      </c>
      <c r="AC28" s="18" t="s">
        <v>154</v>
      </c>
      <c r="AD28" s="21">
        <v>0.22472636861608139</v>
      </c>
      <c r="AE28" s="21">
        <v>0.19103384580167981</v>
      </c>
      <c r="AF28" s="21">
        <v>8.5305071149260388E-3</v>
      </c>
      <c r="AG28" s="21"/>
      <c r="AH28" s="21">
        <v>4.217212310194144E-2</v>
      </c>
    </row>
    <row r="29" spans="1:35">
      <c r="A29" s="13" t="s">
        <v>83</v>
      </c>
      <c r="B29" s="13" t="s">
        <v>84</v>
      </c>
      <c r="C29" s="13">
        <v>38</v>
      </c>
      <c r="E29" s="14">
        <v>44859</v>
      </c>
      <c r="H29" s="16" t="s">
        <v>102</v>
      </c>
      <c r="I29" s="16">
        <v>6.58</v>
      </c>
      <c r="J29" s="16">
        <v>15.15</v>
      </c>
      <c r="K29" s="17">
        <v>0.38962812559878152</v>
      </c>
      <c r="P29" s="18" t="s">
        <v>50</v>
      </c>
      <c r="Q29" s="18">
        <v>3.1462922129426278</v>
      </c>
      <c r="R29" s="18" t="s">
        <v>50</v>
      </c>
      <c r="S29" s="18">
        <v>0.26673303267943299</v>
      </c>
      <c r="T29" s="18">
        <v>0.71635697233015694</v>
      </c>
      <c r="U29" s="18">
        <v>2.548386317774716E-2</v>
      </c>
      <c r="V29" s="18">
        <v>9.9391047142770014E-2</v>
      </c>
      <c r="W29" s="18">
        <v>0.58940000000000003</v>
      </c>
      <c r="Y29" s="92">
        <v>0.12898072806618621</v>
      </c>
      <c r="Z29" s="20">
        <v>-5.0292884769033419</v>
      </c>
      <c r="AA29" s="10">
        <v>-23.30199252756179</v>
      </c>
      <c r="AB29" s="17">
        <v>1.561566115595538</v>
      </c>
      <c r="AC29" s="18" t="s">
        <v>154</v>
      </c>
      <c r="AD29" s="21">
        <v>0.33705458009104539</v>
      </c>
      <c r="AE29" s="21">
        <v>0.39694484173060263</v>
      </c>
      <c r="AF29" s="21">
        <v>9.5710825594992662E-3</v>
      </c>
      <c r="AG29" s="21"/>
      <c r="AH29" s="21">
        <v>6.8340168136062016E-2</v>
      </c>
    </row>
    <row r="30" spans="1:35">
      <c r="A30" s="13" t="s">
        <v>83</v>
      </c>
      <c r="B30" s="13" t="s">
        <v>84</v>
      </c>
      <c r="C30" s="13">
        <v>39</v>
      </c>
      <c r="E30" s="14">
        <v>44867</v>
      </c>
      <c r="I30" s="16">
        <v>5.2</v>
      </c>
      <c r="J30" s="16">
        <v>11.09</v>
      </c>
      <c r="K30" s="17">
        <v>-5.8737995349107237E-2</v>
      </c>
      <c r="P30" s="18">
        <v>3.1E-2</v>
      </c>
      <c r="Q30" s="18">
        <v>25.990532263757832</v>
      </c>
      <c r="R30" s="18" t="s">
        <v>50</v>
      </c>
      <c r="S30" s="18">
        <v>0.47704430873871628</v>
      </c>
      <c r="T30" s="18">
        <v>4.9391793962933379</v>
      </c>
      <c r="U30" s="18" t="s">
        <v>50</v>
      </c>
      <c r="V30" s="18">
        <v>0.106</v>
      </c>
      <c r="W30" s="18">
        <v>1.7728999999999999</v>
      </c>
      <c r="Y30" s="92">
        <v>0.26298280178015082</v>
      </c>
      <c r="Z30" s="20">
        <v>-3.614656936778915</v>
      </c>
      <c r="AA30" s="10">
        <v>-5.7423092144620664</v>
      </c>
      <c r="AB30" s="17">
        <v>14.49892323257053</v>
      </c>
      <c r="AC30" s="18">
        <v>1.6154478418132829</v>
      </c>
      <c r="AD30" s="21">
        <v>0.94381249270768452</v>
      </c>
      <c r="AE30" s="21">
        <v>0.78354052223600912</v>
      </c>
      <c r="AF30" s="21">
        <v>2.1968453345208389E-2</v>
      </c>
      <c r="AG30" s="21"/>
      <c r="AH30" s="21">
        <v>7.2173605961302262E-2</v>
      </c>
      <c r="AI30" s="17" t="s">
        <v>103</v>
      </c>
    </row>
    <row r="31" spans="1:35">
      <c r="A31" s="13" t="s">
        <v>83</v>
      </c>
      <c r="B31" s="13" t="s">
        <v>84</v>
      </c>
      <c r="C31" s="13">
        <v>40</v>
      </c>
      <c r="E31" s="14">
        <v>44873</v>
      </c>
      <c r="H31" s="16" t="s">
        <v>102</v>
      </c>
      <c r="I31" s="16">
        <v>6.47</v>
      </c>
      <c r="J31" s="16">
        <v>6.63</v>
      </c>
      <c r="K31" s="17">
        <v>0.40883285699974559</v>
      </c>
      <c r="P31" s="18" t="s">
        <v>50</v>
      </c>
      <c r="Q31" s="18">
        <v>0.52880946195002276</v>
      </c>
      <c r="R31" s="18">
        <v>3.5999999999999999E-3</v>
      </c>
      <c r="S31" s="18">
        <v>0.13871590403155071</v>
      </c>
      <c r="T31" s="18">
        <v>0.329832850434435</v>
      </c>
      <c r="U31" s="18" t="s">
        <v>50</v>
      </c>
      <c r="V31" s="18">
        <v>5.8999999999999997E-2</v>
      </c>
      <c r="W31" s="18">
        <v>0.71789999999999998</v>
      </c>
      <c r="Y31" s="92">
        <v>0.10165307561112601</v>
      </c>
      <c r="Z31" s="20">
        <v>-5.6572800979064741</v>
      </c>
      <c r="AA31" s="10">
        <v>-22.11904777049099</v>
      </c>
      <c r="AB31" s="17">
        <v>0.40610589498207672</v>
      </c>
      <c r="AC31" s="18">
        <v>3.5972746314842277E-2</v>
      </c>
      <c r="AD31" s="21">
        <v>0.18756908598366209</v>
      </c>
      <c r="AE31" s="18">
        <v>0.16420005066683349</v>
      </c>
      <c r="AF31" s="21">
        <v>1.7195595756535891E-2</v>
      </c>
      <c r="AG31" s="21"/>
      <c r="AH31" s="21">
        <v>7.5160785749844403E-2</v>
      </c>
    </row>
    <row r="32" spans="1:35">
      <c r="A32" s="13" t="s">
        <v>83</v>
      </c>
      <c r="B32" s="13" t="s">
        <v>84</v>
      </c>
      <c r="C32" s="13">
        <v>41</v>
      </c>
      <c r="E32" s="14">
        <v>44880</v>
      </c>
      <c r="H32" s="16" t="s">
        <v>104</v>
      </c>
      <c r="I32" s="16">
        <v>5.18</v>
      </c>
      <c r="J32" s="16">
        <v>7.09</v>
      </c>
      <c r="K32" s="17">
        <v>0.27638410494796761</v>
      </c>
      <c r="P32" s="18">
        <v>1.32E-2</v>
      </c>
      <c r="Q32" s="18">
        <v>1.3178378919345599</v>
      </c>
      <c r="R32" s="18" t="s">
        <v>50</v>
      </c>
      <c r="S32" s="18">
        <v>0.66218046903300209</v>
      </c>
      <c r="T32" s="18">
        <v>0.63466836315626951</v>
      </c>
      <c r="U32" s="18" t="s">
        <v>50</v>
      </c>
      <c r="V32" s="18">
        <v>6.4142148209825153E-2</v>
      </c>
      <c r="W32" s="18">
        <v>0.25753036461601042</v>
      </c>
      <c r="Y32" s="92">
        <v>0.2309797822543454</v>
      </c>
      <c r="Z32" s="20">
        <v>-6.4527086533014586</v>
      </c>
      <c r="AA32" s="10">
        <v>-32.226927140888513</v>
      </c>
      <c r="AB32" s="17">
        <v>0.95600565925249914</v>
      </c>
      <c r="AC32" s="18">
        <v>4.9821528406970968E-2</v>
      </c>
      <c r="AD32" s="21">
        <v>0.1624078399272236</v>
      </c>
      <c r="AE32" s="21">
        <v>0.1457910351350907</v>
      </c>
      <c r="AF32" s="21">
        <v>1.739628268643793E-2</v>
      </c>
      <c r="AG32" s="21"/>
      <c r="AH32" s="21">
        <v>3.0622278955753569E-2</v>
      </c>
    </row>
    <row r="33" spans="1:34">
      <c r="A33" s="13" t="s">
        <v>83</v>
      </c>
      <c r="B33" s="13" t="s">
        <v>84</v>
      </c>
      <c r="C33" s="13">
        <v>42</v>
      </c>
      <c r="E33" s="14">
        <v>44887</v>
      </c>
      <c r="K33" s="17">
        <v>1.0724202245349821</v>
      </c>
      <c r="P33" s="18">
        <v>1.6799999999999999E-2</v>
      </c>
      <c r="Q33" s="18">
        <v>2.034429216993705</v>
      </c>
      <c r="R33" s="18">
        <v>0.14080000000000001</v>
      </c>
      <c r="S33" s="18">
        <v>0.54266812450348401</v>
      </c>
      <c r="T33" s="18">
        <v>0.95761556683607973</v>
      </c>
      <c r="U33" s="18">
        <v>4.1338759585338933E-2</v>
      </c>
      <c r="V33" s="18">
        <v>0.1771601665278934</v>
      </c>
      <c r="W33" s="18">
        <v>3.0059999999999998</v>
      </c>
      <c r="Y33" s="92">
        <v>0.42682324321063109</v>
      </c>
      <c r="Z33" s="20">
        <v>-5.6796348433810797</v>
      </c>
      <c r="AA33" s="10">
        <v>-26.824570791457539</v>
      </c>
      <c r="AB33" s="17">
        <v>1.159700222843673</v>
      </c>
      <c r="AC33" s="18">
        <v>0.26883930029244102</v>
      </c>
      <c r="AD33" s="21">
        <v>0.67134454332402782</v>
      </c>
      <c r="AE33" s="21">
        <v>0.71840342997870288</v>
      </c>
      <c r="AF33" s="21">
        <v>1.9162692045685239E-2</v>
      </c>
      <c r="AG33" s="21"/>
      <c r="AH33" s="21">
        <v>0.25645489168238872</v>
      </c>
    </row>
    <row r="34" spans="1:34">
      <c r="A34" s="13" t="s">
        <v>83</v>
      </c>
      <c r="B34" s="13" t="s">
        <v>84</v>
      </c>
      <c r="C34" s="13">
        <v>43</v>
      </c>
      <c r="E34" s="14">
        <v>44894</v>
      </c>
      <c r="H34" s="16" t="s">
        <v>105</v>
      </c>
      <c r="I34" s="16">
        <v>6</v>
      </c>
      <c r="J34" s="16">
        <v>7.86</v>
      </c>
      <c r="K34" s="17">
        <v>0.77115588151344705</v>
      </c>
      <c r="P34" s="18">
        <v>1.4E-2</v>
      </c>
      <c r="Q34" s="18">
        <v>0.47607174259243912</v>
      </c>
      <c r="R34" s="18">
        <v>6.7632971051985111E-3</v>
      </c>
      <c r="S34" s="18">
        <v>0.14708517350180969</v>
      </c>
      <c r="T34" s="18">
        <v>0.348930204655301</v>
      </c>
      <c r="U34" s="18">
        <v>2.7632463159611861E-2</v>
      </c>
      <c r="V34" s="18">
        <v>6.3607553174972839E-2</v>
      </c>
      <c r="W34" s="18">
        <v>3.0529000000000002</v>
      </c>
      <c r="Y34" s="92">
        <v>0.13218394712318299</v>
      </c>
      <c r="Z34" s="20">
        <v>-6.1958752181653338</v>
      </c>
      <c r="AA34" s="10">
        <v>-30.800569673448599</v>
      </c>
      <c r="AB34" s="17">
        <v>0.38720877308069712</v>
      </c>
      <c r="AC34" s="18">
        <v>0.11341235275975931</v>
      </c>
      <c r="AD34" s="21">
        <v>0.39324689478615349</v>
      </c>
      <c r="AE34" s="21">
        <v>0.38699128459684901</v>
      </c>
      <c r="AF34" s="21">
        <v>4.0448663828598396E-3</v>
      </c>
      <c r="AG34" s="21"/>
      <c r="AH34" s="21">
        <v>0.1732503963719515</v>
      </c>
    </row>
    <row r="35" spans="1:34">
      <c r="A35" s="13" t="s">
        <v>83</v>
      </c>
      <c r="B35" s="13" t="s">
        <v>84</v>
      </c>
      <c r="C35" s="13">
        <v>44</v>
      </c>
      <c r="E35" s="14">
        <v>44901</v>
      </c>
      <c r="P35" s="18">
        <v>1.9699999999999999E-2</v>
      </c>
      <c r="Q35" s="18">
        <v>0.62594866744363042</v>
      </c>
      <c r="R35" s="18">
        <v>1.7096466840546099E-2</v>
      </c>
      <c r="S35" s="18" t="s">
        <v>50</v>
      </c>
      <c r="T35" s="18">
        <v>0.38980556817904732</v>
      </c>
      <c r="U35" s="18">
        <v>6.7579926487667294E-2</v>
      </c>
      <c r="V35" s="18">
        <v>4.1598548362055579E-2</v>
      </c>
      <c r="Y35" s="92"/>
      <c r="Z35" s="20">
        <v>-5.200681604900077</v>
      </c>
      <c r="AA35" s="10">
        <v>-14.25011979948709</v>
      </c>
      <c r="AB35" s="17">
        <v>0.76221413106392433</v>
      </c>
      <c r="AC35" s="18">
        <v>0.1464373726855385</v>
      </c>
      <c r="AD35" s="21">
        <v>0.24693547199572111</v>
      </c>
      <c r="AE35" s="21">
        <v>0.5615322292392626</v>
      </c>
      <c r="AF35" s="21">
        <v>5.7230391859063347E-3</v>
      </c>
      <c r="AG35" s="21"/>
      <c r="AH35" s="21">
        <v>0.33814606749774301</v>
      </c>
    </row>
    <row r="36" spans="1:34">
      <c r="A36" s="13" t="s">
        <v>83</v>
      </c>
      <c r="B36" s="13" t="s">
        <v>84</v>
      </c>
      <c r="C36" s="13">
        <v>45</v>
      </c>
      <c r="E36" s="14">
        <v>44908</v>
      </c>
      <c r="H36" s="16" t="s">
        <v>106</v>
      </c>
      <c r="I36" s="16">
        <v>6.66</v>
      </c>
      <c r="J36" s="16">
        <v>5.31</v>
      </c>
      <c r="K36" s="17">
        <v>0.93539562843595003</v>
      </c>
      <c r="P36" s="18" t="s">
        <v>50</v>
      </c>
      <c r="Q36" s="18">
        <v>0.52963043249404651</v>
      </c>
      <c r="R36" s="18" t="s">
        <v>50</v>
      </c>
      <c r="S36" s="18">
        <v>6.6177833865839739E-2</v>
      </c>
      <c r="T36" s="18">
        <v>0.34831167407947627</v>
      </c>
      <c r="U36" s="18" t="s">
        <v>50</v>
      </c>
      <c r="V36" s="18">
        <v>5.5669603152697283E-2</v>
      </c>
      <c r="W36" s="18">
        <v>0.84819999999999995</v>
      </c>
      <c r="Y36" s="92"/>
      <c r="Z36" s="20">
        <v>-4.4740213566274214</v>
      </c>
      <c r="AA36" s="10">
        <v>-7.3535073394951294</v>
      </c>
      <c r="AB36" s="17">
        <v>0.36515699252878409</v>
      </c>
      <c r="AC36" s="18">
        <v>5.6156322726601563E-3</v>
      </c>
      <c r="AD36" s="21">
        <v>0.1111467544208415</v>
      </c>
      <c r="AE36" s="21">
        <v>0.1801831294933742</v>
      </c>
      <c r="AF36" s="21">
        <v>3.0944861950241861E-3</v>
      </c>
      <c r="AG36" s="21"/>
      <c r="AH36" s="21">
        <v>0.11460618766500751</v>
      </c>
    </row>
    <row r="37" spans="1:34">
      <c r="A37" s="13" t="s">
        <v>83</v>
      </c>
      <c r="B37" s="13" t="s">
        <v>84</v>
      </c>
      <c r="C37" s="13">
        <v>46</v>
      </c>
      <c r="E37" s="14">
        <v>44915</v>
      </c>
      <c r="H37" s="16" t="s">
        <v>107</v>
      </c>
      <c r="I37" s="16">
        <v>6.07</v>
      </c>
      <c r="J37" s="16">
        <v>5.14</v>
      </c>
      <c r="K37" s="17">
        <v>0.78666125807219678</v>
      </c>
      <c r="P37" s="18" t="s">
        <v>50</v>
      </c>
      <c r="Q37" s="18">
        <v>0.38692261794471822</v>
      </c>
      <c r="R37" s="18">
        <v>2E-3</v>
      </c>
      <c r="S37" s="18">
        <v>4.125224703935626E-2</v>
      </c>
      <c r="T37" s="18">
        <v>0.23925523301942489</v>
      </c>
      <c r="U37" s="18" t="s">
        <v>50</v>
      </c>
      <c r="V37" s="18">
        <v>4.0632187873769453E-2</v>
      </c>
      <c r="W37" s="18">
        <v>1.6746000000000001</v>
      </c>
      <c r="Y37" s="92">
        <v>1.1497972456557211E-2</v>
      </c>
      <c r="Z37" s="20">
        <v>-4.7473807384491549</v>
      </c>
      <c r="AA37" s="10">
        <v>-6.7564185266533876</v>
      </c>
      <c r="AB37" s="17">
        <v>0.2409228923062984</v>
      </c>
      <c r="AC37" s="18">
        <v>3.089508230532954E-2</v>
      </c>
      <c r="AD37" s="21">
        <v>0.21222442273574679</v>
      </c>
      <c r="AE37" s="21">
        <v>0.24917274789289831</v>
      </c>
      <c r="AF37" s="21">
        <v>3.3838480455420758E-3</v>
      </c>
      <c r="AG37" s="21"/>
      <c r="AH37" s="21">
        <v>0.1037705772911687</v>
      </c>
    </row>
    <row r="38" spans="1:34">
      <c r="A38" s="13" t="s">
        <v>83</v>
      </c>
      <c r="B38" s="13" t="s">
        <v>84</v>
      </c>
      <c r="C38" s="13">
        <v>47</v>
      </c>
      <c r="E38" s="14">
        <v>44922</v>
      </c>
      <c r="H38" s="16" t="s">
        <v>106</v>
      </c>
      <c r="I38" s="16">
        <v>6.4</v>
      </c>
      <c r="J38" s="16">
        <v>7.63</v>
      </c>
      <c r="K38" s="17">
        <v>1.092632882826005</v>
      </c>
      <c r="P38" s="18" t="s">
        <v>50</v>
      </c>
      <c r="Q38" s="18">
        <v>0.66767969600613841</v>
      </c>
      <c r="R38" s="18" t="s">
        <v>50</v>
      </c>
      <c r="S38" s="18">
        <v>0.1220247716214122</v>
      </c>
      <c r="T38" s="18">
        <v>0.36855617956242731</v>
      </c>
      <c r="U38" s="18">
        <v>6.3651603856146433E-2</v>
      </c>
      <c r="V38" s="18">
        <v>0.13650707194422529</v>
      </c>
      <c r="W38" s="18">
        <v>0.77370000000000005</v>
      </c>
      <c r="Y38" s="92">
        <v>0.21282052071250801</v>
      </c>
      <c r="Z38" s="20">
        <v>-4.8445905060074512</v>
      </c>
      <c r="AA38" s="10">
        <v>-6.7131414213058562</v>
      </c>
      <c r="AB38" s="17">
        <v>0.36993477664929719</v>
      </c>
      <c r="AC38" s="18">
        <v>1.183208206203358E-2</v>
      </c>
      <c r="AD38" s="21">
        <v>0.2145632303163616</v>
      </c>
      <c r="AE38" s="21">
        <v>0.1630663643789379</v>
      </c>
      <c r="AF38" s="21">
        <v>2.84927806789627E-3</v>
      </c>
      <c r="AG38" s="21"/>
      <c r="AH38" s="21">
        <v>5.8911861560053763E-2</v>
      </c>
    </row>
    <row r="39" spans="1:34">
      <c r="A39" s="13" t="s">
        <v>83</v>
      </c>
      <c r="B39" s="13" t="s">
        <v>84</v>
      </c>
      <c r="C39" s="13">
        <v>48</v>
      </c>
      <c r="E39" s="14">
        <v>44929</v>
      </c>
      <c r="H39" s="16" t="s">
        <v>108</v>
      </c>
      <c r="I39" s="16">
        <v>6.26</v>
      </c>
      <c r="J39" s="16">
        <v>7.39</v>
      </c>
      <c r="K39" s="17">
        <v>0.85201428496187603</v>
      </c>
      <c r="P39" s="18" t="s">
        <v>50</v>
      </c>
      <c r="Q39" s="18">
        <v>0.91262582452480567</v>
      </c>
      <c r="R39" s="18" t="s">
        <v>50</v>
      </c>
      <c r="S39" s="18">
        <v>9.6284238927491286E-2</v>
      </c>
      <c r="T39" s="18">
        <v>0.37795550789381371</v>
      </c>
      <c r="U39" s="18" t="s">
        <v>50</v>
      </c>
      <c r="V39" s="18">
        <v>4.1067622154440417E-2</v>
      </c>
      <c r="W39" s="18">
        <v>1.518894623274917</v>
      </c>
      <c r="Y39" s="92">
        <v>3.9916361795750067E-2</v>
      </c>
      <c r="Z39" s="20">
        <v>-4.1162066802958179</v>
      </c>
      <c r="AA39" s="10">
        <v>-3.203976761914904</v>
      </c>
      <c r="AB39" s="17">
        <v>0.51199772840041824</v>
      </c>
      <c r="AC39" s="18">
        <v>4.1161482766398472E-2</v>
      </c>
      <c r="AD39" s="21">
        <v>0.60089464543849758</v>
      </c>
      <c r="AE39" s="21">
        <v>0.27204385955931898</v>
      </c>
      <c r="AF39" s="21">
        <v>3.4889410682347709E-3</v>
      </c>
      <c r="AG39" s="21"/>
      <c r="AH39" s="21">
        <v>0.13262248693058001</v>
      </c>
    </row>
    <row r="40" spans="1:34">
      <c r="A40" s="13" t="s">
        <v>177</v>
      </c>
      <c r="B40" s="13" t="s">
        <v>84</v>
      </c>
      <c r="C40" s="13">
        <v>49</v>
      </c>
      <c r="E40" s="14">
        <v>44936</v>
      </c>
      <c r="P40" s="18" t="s">
        <v>50</v>
      </c>
      <c r="Q40" s="18">
        <v>0.99238566637165759</v>
      </c>
      <c r="R40" s="18" t="s">
        <v>50</v>
      </c>
      <c r="S40" s="18">
        <v>0.24811428621459691</v>
      </c>
      <c r="T40" s="18">
        <v>0.49901565769307271</v>
      </c>
      <c r="U40" s="18">
        <v>4.0907602413913897E-2</v>
      </c>
      <c r="V40" s="18">
        <v>7.8413493811312754E-2</v>
      </c>
      <c r="Y40" s="92"/>
      <c r="Z40" s="20">
        <v>-4.3618580945580518</v>
      </c>
      <c r="AA40" s="10">
        <v>-4.5060099649946146</v>
      </c>
      <c r="AB40" s="17">
        <v>0.5014183769643018</v>
      </c>
      <c r="AC40" s="18">
        <v>0.14157140433261031</v>
      </c>
      <c r="AD40" s="21">
        <v>0.41113811509084941</v>
      </c>
      <c r="AE40" s="21">
        <v>0.45356378596664099</v>
      </c>
      <c r="AF40" s="21">
        <v>9.073208231592576E-3</v>
      </c>
      <c r="AG40" s="21"/>
      <c r="AH40" s="21">
        <v>0.14728432946137909</v>
      </c>
    </row>
    <row r="41" spans="1:34">
      <c r="A41" s="13" t="s">
        <v>177</v>
      </c>
      <c r="B41" s="13" t="s">
        <v>84</v>
      </c>
      <c r="C41" s="13">
        <v>50</v>
      </c>
      <c r="E41" s="14">
        <v>44943</v>
      </c>
      <c r="H41" s="16" t="s">
        <v>109</v>
      </c>
      <c r="I41" s="16">
        <v>6.45</v>
      </c>
      <c r="J41" s="16">
        <v>11.26</v>
      </c>
      <c r="K41" s="17">
        <v>0.79747321404389115</v>
      </c>
      <c r="P41" s="18">
        <v>1.6799999999999999E-2</v>
      </c>
      <c r="Q41" s="18">
        <v>1.1274938059123221</v>
      </c>
      <c r="R41" s="18">
        <v>2.76E-2</v>
      </c>
      <c r="S41" s="18">
        <v>0.24901506662913769</v>
      </c>
      <c r="T41" s="18">
        <v>0.95671591267494072</v>
      </c>
      <c r="U41" s="18">
        <v>2.327177349813166E-2</v>
      </c>
      <c r="V41" s="18">
        <v>0.24960455414566321</v>
      </c>
      <c r="W41" s="18">
        <v>2.1423352921248608</v>
      </c>
      <c r="Y41" s="92">
        <v>0.2844816980840556</v>
      </c>
      <c r="Z41" s="20">
        <v>-3.730631250697364</v>
      </c>
      <c r="AA41" s="10">
        <v>-0.545736904855052</v>
      </c>
      <c r="AB41" s="17">
        <v>0.64984040605802418</v>
      </c>
      <c r="AC41" s="18">
        <v>0.1738030330920699</v>
      </c>
      <c r="AD41" s="21">
        <v>0.44196672808954629</v>
      </c>
      <c r="AE41" s="21">
        <v>0.47515154221897921</v>
      </c>
      <c r="AF41" s="21">
        <v>9.2706651911105397E-3</v>
      </c>
      <c r="AG41" s="21"/>
      <c r="AH41" s="21">
        <v>0.1305676518975476</v>
      </c>
    </row>
    <row r="42" spans="1:34">
      <c r="A42" s="13" t="s">
        <v>177</v>
      </c>
      <c r="B42" s="13" t="s">
        <v>84</v>
      </c>
      <c r="C42" s="13">
        <v>51</v>
      </c>
      <c r="E42" s="14">
        <v>44950</v>
      </c>
      <c r="H42" s="16" t="s">
        <v>110</v>
      </c>
      <c r="I42" s="16">
        <v>5.88</v>
      </c>
      <c r="J42" s="16">
        <v>16.010000000000002</v>
      </c>
      <c r="K42" s="17">
        <v>0.14063692184316001</v>
      </c>
      <c r="P42" s="18">
        <v>1.95E-2</v>
      </c>
      <c r="Q42" s="18">
        <v>2.52375491732829</v>
      </c>
      <c r="R42" s="18" t="s">
        <v>50</v>
      </c>
      <c r="S42" s="18">
        <v>0.61963877690970082</v>
      </c>
      <c r="T42" s="18">
        <v>1.7467200924666091</v>
      </c>
      <c r="U42" s="18" t="s">
        <v>50</v>
      </c>
      <c r="V42" s="18">
        <v>0.13941280383541049</v>
      </c>
      <c r="W42" s="18">
        <v>1.21243388615768</v>
      </c>
      <c r="Y42" s="92">
        <v>0.22137320757289661</v>
      </c>
      <c r="Z42" s="20">
        <v>-4.2225098291917691</v>
      </c>
      <c r="AA42" s="10">
        <v>0.43231865685224768</v>
      </c>
      <c r="AB42" s="17">
        <v>1.19835541001809</v>
      </c>
      <c r="AC42" s="18">
        <v>0.25662552303712399</v>
      </c>
      <c r="AD42" s="21">
        <v>0.62827918554639817</v>
      </c>
      <c r="AE42" s="21">
        <v>0.61686027036332491</v>
      </c>
      <c r="AF42" s="21">
        <v>1.008743812291678E-2</v>
      </c>
      <c r="AG42" s="21"/>
      <c r="AH42" s="21">
        <v>8.6547779244303402E-2</v>
      </c>
    </row>
    <row r="43" spans="1:34">
      <c r="A43" s="13" t="s">
        <v>177</v>
      </c>
      <c r="B43" s="13" t="s">
        <v>84</v>
      </c>
      <c r="C43" s="13">
        <v>52</v>
      </c>
      <c r="E43" s="14">
        <v>44964</v>
      </c>
      <c r="R43" s="18"/>
      <c r="S43" s="18"/>
      <c r="T43" s="18"/>
      <c r="U43" s="18"/>
      <c r="V43" s="18"/>
      <c r="Y43" s="92"/>
      <c r="AC43" s="18"/>
      <c r="AD43" s="21"/>
      <c r="AE43" s="21"/>
      <c r="AF43" s="21"/>
      <c r="AG43" s="21"/>
      <c r="AH43" s="21"/>
    </row>
    <row r="44" spans="1:34">
      <c r="A44" s="13" t="s">
        <v>177</v>
      </c>
      <c r="B44" s="13" t="s">
        <v>84</v>
      </c>
      <c r="C44" s="13">
        <v>53</v>
      </c>
      <c r="E44" s="14">
        <v>44971</v>
      </c>
      <c r="P44" s="18">
        <v>0.40793872280310173</v>
      </c>
      <c r="Q44" s="18">
        <v>0.91856832493459539</v>
      </c>
      <c r="R44" s="18">
        <v>8.8307732625793056E-3</v>
      </c>
      <c r="S44" s="18">
        <v>0.18586487623330619</v>
      </c>
      <c r="T44" s="18">
        <v>0.77454112324508761</v>
      </c>
      <c r="U44" s="18" t="s">
        <v>50</v>
      </c>
      <c r="V44" s="18">
        <v>0.1238544063101554</v>
      </c>
      <c r="W44" s="18">
        <v>5.8206460308655883</v>
      </c>
      <c r="Y44" s="92">
        <v>1.6306106229163491</v>
      </c>
      <c r="Z44" s="20">
        <v>-3.6733606915189418</v>
      </c>
      <c r="AA44" s="10">
        <v>-11.37400791956034</v>
      </c>
      <c r="AB44" s="17">
        <v>0.75842783599746766</v>
      </c>
      <c r="AC44" s="18">
        <v>8.9392898415942446E-2</v>
      </c>
      <c r="AD44" s="21">
        <v>0.80098233670907237</v>
      </c>
      <c r="AE44" s="21">
        <v>0.53345139940908626</v>
      </c>
      <c r="AF44" s="21">
        <v>1.665471510645488E-2</v>
      </c>
      <c r="AG44" s="21"/>
      <c r="AH44" s="21">
        <v>0.27423163583699839</v>
      </c>
    </row>
    <row r="45" spans="1:34">
      <c r="A45" s="13" t="s">
        <v>177</v>
      </c>
      <c r="B45" s="13" t="s">
        <v>84</v>
      </c>
      <c r="C45" s="13">
        <v>54</v>
      </c>
      <c r="E45" s="14">
        <v>44978</v>
      </c>
      <c r="H45" s="16" t="s">
        <v>111</v>
      </c>
      <c r="I45" s="16">
        <v>6.14</v>
      </c>
      <c r="J45" s="16">
        <v>24.14</v>
      </c>
      <c r="P45" s="18">
        <v>0.40733280816338169</v>
      </c>
      <c r="Q45" s="18">
        <v>3.292747314507436</v>
      </c>
      <c r="R45" s="18">
        <v>1.5948996227955869E-2</v>
      </c>
      <c r="S45" s="18">
        <v>1.0967656712874809</v>
      </c>
      <c r="T45" s="18">
        <v>2.5432672404559851</v>
      </c>
      <c r="U45" s="18">
        <v>1.9833478485106679E-2</v>
      </c>
      <c r="V45" s="18">
        <v>0.14756288560130021</v>
      </c>
      <c r="W45" s="18">
        <v>4.9479091506570239</v>
      </c>
      <c r="Y45" s="92">
        <v>0.99715782283769727</v>
      </c>
      <c r="Z45" s="20">
        <v>-3.0571384342279542</v>
      </c>
      <c r="AA45" s="10">
        <v>1.871151689405413</v>
      </c>
      <c r="AB45" s="17">
        <v>1.508338355022387</v>
      </c>
      <c r="AC45" s="18">
        <v>0.34499215796610272</v>
      </c>
      <c r="AD45" s="21">
        <v>1.6542288929320781</v>
      </c>
      <c r="AE45" s="21">
        <v>1.141703614959064</v>
      </c>
      <c r="AF45" s="21">
        <v>1.920251368705643E-2</v>
      </c>
      <c r="AG45" s="21"/>
      <c r="AH45" s="21">
        <v>0.20633116344908639</v>
      </c>
    </row>
    <row r="46" spans="1:34">
      <c r="A46" s="13" t="s">
        <v>177</v>
      </c>
      <c r="B46" s="13" t="s">
        <v>84</v>
      </c>
      <c r="C46" s="13">
        <v>55</v>
      </c>
      <c r="E46" s="14">
        <v>44986</v>
      </c>
      <c r="H46" s="16" t="s">
        <v>106</v>
      </c>
      <c r="I46" s="16">
        <v>5.81</v>
      </c>
      <c r="J46" s="16">
        <v>26.23</v>
      </c>
      <c r="K46" s="17">
        <v>0.219379077473777</v>
      </c>
      <c r="P46" s="18">
        <v>4.1648632427357037E-2</v>
      </c>
      <c r="Q46" s="18">
        <v>5.5496128972533851</v>
      </c>
      <c r="R46" s="18">
        <v>1.4880773271119779E-2</v>
      </c>
      <c r="S46" s="18">
        <v>0.76794713557739225</v>
      </c>
      <c r="T46" s="18">
        <v>1.778017634866716</v>
      </c>
      <c r="U46" s="18" t="s">
        <v>50</v>
      </c>
      <c r="V46" s="18">
        <v>0.14528751616706151</v>
      </c>
      <c r="W46" s="18">
        <v>1.3285745674287111</v>
      </c>
      <c r="Y46" s="92">
        <v>0.58081105679231448</v>
      </c>
      <c r="Z46" s="20">
        <v>-3.3978566828829031</v>
      </c>
      <c r="AA46" s="10">
        <v>3.725281896815293</v>
      </c>
      <c r="AB46" s="17">
        <v>2.5664235918826241</v>
      </c>
      <c r="AC46" s="18">
        <v>0.28176607866327719</v>
      </c>
      <c r="AD46" s="21">
        <v>0.6467281605437466</v>
      </c>
      <c r="AE46" s="21">
        <v>0.80261748635618624</v>
      </c>
      <c r="AF46" s="21">
        <v>1.79604251436296E-2</v>
      </c>
      <c r="AG46" s="21"/>
      <c r="AH46" s="21">
        <v>0.11387575059215981</v>
      </c>
    </row>
    <row r="47" spans="1:34">
      <c r="A47" s="13" t="s">
        <v>83</v>
      </c>
      <c r="B47" s="13" t="s">
        <v>84</v>
      </c>
      <c r="C47" s="13">
        <v>56</v>
      </c>
      <c r="E47" s="14">
        <v>44991</v>
      </c>
      <c r="P47" s="18">
        <v>0.1583257134508339</v>
      </c>
      <c r="Q47" s="18">
        <v>10.197007191094309</v>
      </c>
      <c r="R47" s="18">
        <v>2.2993450370949148E-2</v>
      </c>
      <c r="S47" s="18">
        <v>4.311962216414587</v>
      </c>
      <c r="T47" s="18">
        <v>5.7417691308465946</v>
      </c>
      <c r="U47" s="18" t="s">
        <v>50</v>
      </c>
      <c r="V47" s="18">
        <v>0.15278817429523059</v>
      </c>
      <c r="Y47" s="92"/>
      <c r="AC47" s="18"/>
      <c r="AD47" s="21"/>
      <c r="AE47" s="21"/>
      <c r="AF47" s="21"/>
      <c r="AG47" s="21"/>
      <c r="AH47" s="21"/>
    </row>
    <row r="48" spans="1:34">
      <c r="A48" s="13" t="s">
        <v>83</v>
      </c>
      <c r="B48" s="13" t="s">
        <v>84</v>
      </c>
      <c r="C48" s="13">
        <v>57</v>
      </c>
      <c r="E48" s="14">
        <v>44999</v>
      </c>
      <c r="H48" s="16" t="s">
        <v>101</v>
      </c>
      <c r="I48" s="16">
        <v>5.6</v>
      </c>
      <c r="J48" s="16">
        <v>59.72</v>
      </c>
      <c r="K48" s="17">
        <v>0.37177404125597358</v>
      </c>
      <c r="P48" s="18">
        <v>0.1583257134508339</v>
      </c>
      <c r="Q48" s="18">
        <v>10.197007191094309</v>
      </c>
      <c r="R48" s="18">
        <v>2.2993450370949148E-2</v>
      </c>
      <c r="S48" s="18">
        <v>4.311962216414587</v>
      </c>
      <c r="T48" s="18">
        <v>5.7417691308465946</v>
      </c>
      <c r="U48" s="18" t="s">
        <v>50</v>
      </c>
      <c r="V48" s="18">
        <v>0.15278817429523059</v>
      </c>
      <c r="W48" s="18">
        <v>7.5010139871397126</v>
      </c>
      <c r="Y48" s="92">
        <v>1.464981856574886</v>
      </c>
      <c r="Z48" s="20">
        <v>-2.954414842170757</v>
      </c>
      <c r="AA48" s="10">
        <v>6.4829706443757846</v>
      </c>
      <c r="AB48" s="17">
        <v>5.0957840763556339</v>
      </c>
      <c r="AC48" s="18">
        <v>1.084669791071637</v>
      </c>
      <c r="AD48" s="21">
        <v>4.2165136733513657</v>
      </c>
      <c r="AE48" s="21">
        <v>1.881528426105104</v>
      </c>
      <c r="AF48" s="21">
        <v>1.9583365256363609E-2</v>
      </c>
      <c r="AG48" s="21"/>
      <c r="AH48" s="18">
        <v>0.2285030625198291</v>
      </c>
    </row>
    <row r="49" spans="1:34">
      <c r="A49" s="13" t="s">
        <v>83</v>
      </c>
      <c r="B49" s="13" t="s">
        <v>84</v>
      </c>
      <c r="C49" s="13">
        <v>58</v>
      </c>
      <c r="E49" s="14">
        <v>45007</v>
      </c>
      <c r="H49" s="16" t="s">
        <v>112</v>
      </c>
      <c r="I49" s="16">
        <v>6.13</v>
      </c>
      <c r="J49" s="16">
        <v>53.28</v>
      </c>
      <c r="P49" s="18">
        <v>8.3063869883316738E-2</v>
      </c>
      <c r="Q49" s="18">
        <v>9.5618847297862093</v>
      </c>
      <c r="R49" s="21">
        <v>4.9703995523117613E-2</v>
      </c>
      <c r="S49" s="21">
        <v>0.79518257084927091</v>
      </c>
      <c r="T49" s="21">
        <v>2.6048279666837759</v>
      </c>
      <c r="U49" s="21">
        <v>2.6257487613915591E-2</v>
      </c>
      <c r="V49" s="21">
        <v>0.32905820477842701</v>
      </c>
      <c r="Y49" s="92">
        <v>0.97640516940668332</v>
      </c>
      <c r="Z49" s="20">
        <v>-3.5092687347690972</v>
      </c>
      <c r="AA49" s="10">
        <v>-5.3365024122937594</v>
      </c>
      <c r="AB49" s="17">
        <v>4.5789647423550379</v>
      </c>
      <c r="AC49" s="18">
        <v>0.72931858414408157</v>
      </c>
      <c r="AD49" s="21">
        <v>5.0934464724592674</v>
      </c>
      <c r="AE49" s="21">
        <v>1.5962201491617689</v>
      </c>
      <c r="AF49" s="21">
        <v>1.8566574994334031E-2</v>
      </c>
      <c r="AG49" s="21"/>
      <c r="AH49" s="21">
        <v>0.53467776598648309</v>
      </c>
    </row>
    <row r="50" spans="1:34">
      <c r="A50" s="13" t="s">
        <v>83</v>
      </c>
      <c r="B50" s="13" t="s">
        <v>84</v>
      </c>
      <c r="C50" s="13">
        <v>59</v>
      </c>
      <c r="E50" s="14">
        <v>45014</v>
      </c>
      <c r="I50" s="16">
        <v>6.3945454545454528</v>
      </c>
      <c r="K50" s="17">
        <v>4.0330982951896939</v>
      </c>
      <c r="P50" s="18">
        <v>0.14985678933112129</v>
      </c>
      <c r="Q50" s="18">
        <v>4.8857711303941551</v>
      </c>
      <c r="R50" s="21" t="s">
        <v>50</v>
      </c>
      <c r="S50" s="21">
        <v>7.7081218801742816E-3</v>
      </c>
      <c r="T50" s="21">
        <v>2.086241740853584</v>
      </c>
      <c r="U50" s="21">
        <v>0.86807352475631772</v>
      </c>
      <c r="V50" s="21" t="s">
        <v>50</v>
      </c>
      <c r="W50" s="18">
        <v>15.38379293084763</v>
      </c>
      <c r="Y50" s="92">
        <v>0.32769517286269922</v>
      </c>
      <c r="Z50" s="20">
        <v>-3.8335430436260052</v>
      </c>
      <c r="AA50" s="10">
        <v>-9.1622198211521066</v>
      </c>
      <c r="AB50" s="17">
        <v>1.8781312736638931</v>
      </c>
      <c r="AC50" s="18">
        <v>0.6994529155719228</v>
      </c>
      <c r="AD50" s="21">
        <v>9.6902216812131048</v>
      </c>
      <c r="AE50" s="21">
        <v>1.0253363970834359</v>
      </c>
      <c r="AF50" s="21">
        <v>1.5855768287117229E-2</v>
      </c>
      <c r="AG50" s="21"/>
      <c r="AH50" s="21">
        <v>0.52645557723371039</v>
      </c>
    </row>
    <row r="51" spans="1:34">
      <c r="A51" s="13" t="s">
        <v>83</v>
      </c>
      <c r="B51" s="13" t="s">
        <v>84</v>
      </c>
      <c r="C51" s="13">
        <v>60</v>
      </c>
      <c r="E51" s="14">
        <v>45022</v>
      </c>
      <c r="P51" s="18">
        <v>4.5925068933091347E-2</v>
      </c>
      <c r="Q51" s="18">
        <v>2.1609794055180762</v>
      </c>
      <c r="R51" s="21">
        <v>2.146037956260162E-2</v>
      </c>
      <c r="S51" s="21">
        <v>0.94762267685724011</v>
      </c>
      <c r="T51" s="21">
        <v>2.382525473116428</v>
      </c>
      <c r="U51" s="21">
        <v>0.87381297031821936</v>
      </c>
      <c r="V51" s="21">
        <v>0.50572536981964111</v>
      </c>
      <c r="Y51" s="92"/>
      <c r="Z51" s="20">
        <v>-3.204847955025877</v>
      </c>
      <c r="AA51" s="10">
        <v>-4.2305428073730571</v>
      </c>
      <c r="AB51" s="17">
        <v>1.279078695177496</v>
      </c>
      <c r="AC51" s="18">
        <v>0.37832788797657518</v>
      </c>
      <c r="AD51" s="21">
        <v>5.8063377488931911</v>
      </c>
      <c r="AE51" s="21">
        <v>0.6746703031726804</v>
      </c>
      <c r="AF51" s="21">
        <v>1.40195485996266E-2</v>
      </c>
      <c r="AG51" s="21"/>
      <c r="AH51" s="21">
        <v>0.35927034385457868</v>
      </c>
    </row>
    <row r="52" spans="1:34">
      <c r="A52" s="13" t="s">
        <v>83</v>
      </c>
      <c r="B52" s="13" t="s">
        <v>84</v>
      </c>
      <c r="C52" s="13">
        <v>61</v>
      </c>
      <c r="E52" s="14">
        <v>45027</v>
      </c>
      <c r="P52" s="18">
        <v>4.5633783534252223E-2</v>
      </c>
      <c r="Q52" s="18">
        <v>1.212841942201174</v>
      </c>
      <c r="R52" s="21">
        <v>1.065820340478691E-2</v>
      </c>
      <c r="S52" s="21">
        <v>0.93787277703534311</v>
      </c>
      <c r="T52" s="21">
        <v>3.0212665524627802</v>
      </c>
      <c r="U52" s="21">
        <v>1.6683450415312591</v>
      </c>
      <c r="V52" s="21">
        <v>2.459743763380287</v>
      </c>
      <c r="W52" s="18">
        <v>5.3462224461966361</v>
      </c>
      <c r="Y52" s="92">
        <v>2.170969115935752</v>
      </c>
      <c r="Z52" s="20">
        <v>-2.8237995190543872</v>
      </c>
      <c r="AA52" s="10">
        <v>-5.5198030765601462</v>
      </c>
      <c r="AB52" s="17">
        <v>0.89540455011933984</v>
      </c>
      <c r="AC52" s="18">
        <v>0.39760375544911869</v>
      </c>
      <c r="AD52" s="21">
        <v>3.6819093760542319</v>
      </c>
      <c r="AE52" s="21">
        <v>0.65923646634512179</v>
      </c>
      <c r="AF52" s="21">
        <v>1.3493515939366039E-2</v>
      </c>
      <c r="AG52" s="21"/>
      <c r="AH52" s="21">
        <v>0.1225552205606352</v>
      </c>
    </row>
    <row r="53" spans="1:34">
      <c r="A53" s="13" t="s">
        <v>83</v>
      </c>
      <c r="B53" s="13" t="s">
        <v>84</v>
      </c>
      <c r="C53" s="13">
        <v>62</v>
      </c>
      <c r="E53" s="14">
        <v>45034</v>
      </c>
      <c r="Y53" s="92"/>
      <c r="Z53" s="20">
        <v>-1.1170125705349641</v>
      </c>
      <c r="AA53" s="10">
        <v>4.9755025541028441</v>
      </c>
      <c r="AB53" s="17">
        <v>6.0713510245360611</v>
      </c>
      <c r="AC53" s="18">
        <v>1.5697782545379959</v>
      </c>
      <c r="AD53" s="21">
        <v>15.508666600245871</v>
      </c>
      <c r="AE53" s="21">
        <v>2.4942800972076942</v>
      </c>
      <c r="AF53" s="21">
        <v>2.1514916794079061E-2</v>
      </c>
      <c r="AG53" s="21"/>
      <c r="AH53" s="21">
        <v>0.41953972131962541</v>
      </c>
    </row>
    <row r="54" spans="1:34">
      <c r="A54" s="13" t="s">
        <v>83</v>
      </c>
      <c r="B54" s="13" t="s">
        <v>84</v>
      </c>
      <c r="C54" s="13">
        <v>63</v>
      </c>
      <c r="E54" s="14">
        <v>45041</v>
      </c>
      <c r="H54" s="16" t="s">
        <v>113</v>
      </c>
      <c r="I54" s="16">
        <v>6.75</v>
      </c>
      <c r="J54" s="16">
        <v>41.24</v>
      </c>
      <c r="P54" s="18">
        <v>5.4958531380563592E-2</v>
      </c>
      <c r="Q54" s="18">
        <v>3.5780721580068491</v>
      </c>
      <c r="R54" s="21">
        <v>0.1823031842073462</v>
      </c>
      <c r="S54" s="21">
        <v>0.78671596835837498</v>
      </c>
      <c r="T54" s="21">
        <v>2.8672987931271678</v>
      </c>
      <c r="U54" s="21">
        <v>1.413835652426074</v>
      </c>
      <c r="V54" s="21">
        <v>0.4713878986001675</v>
      </c>
      <c r="W54" s="18">
        <v>11.040555708244529</v>
      </c>
      <c r="Y54" s="92">
        <v>0.39756906249566071</v>
      </c>
      <c r="Z54" s="20">
        <v>-2.9252047136689541</v>
      </c>
      <c r="AA54" s="10">
        <v>-9.2303690831332137</v>
      </c>
      <c r="AB54" s="17">
        <v>1.6770482873027761</v>
      </c>
      <c r="AC54" s="18">
        <v>0.48678940863919451</v>
      </c>
      <c r="AD54" s="21">
        <v>6.9624331053870838</v>
      </c>
      <c r="AE54" s="21">
        <v>0.93790971854958638</v>
      </c>
      <c r="AF54" s="21">
        <v>1.427172089403057E-2</v>
      </c>
      <c r="AG54" s="21"/>
      <c r="AH54" s="21">
        <v>0.2903069925632718</v>
      </c>
    </row>
    <row r="55" spans="1:34">
      <c r="A55" s="13" t="s">
        <v>83</v>
      </c>
      <c r="B55" s="13" t="s">
        <v>84</v>
      </c>
      <c r="C55" s="13">
        <v>64</v>
      </c>
      <c r="E55" s="14">
        <v>45048</v>
      </c>
      <c r="P55" s="18">
        <v>6.2834928421063724E-2</v>
      </c>
      <c r="Q55" s="18">
        <v>4.4984507860774174</v>
      </c>
      <c r="R55" s="21">
        <v>0.32376936302468762</v>
      </c>
      <c r="S55" s="21">
        <v>2.282388641449693</v>
      </c>
      <c r="T55" s="21">
        <v>2.8590066045130209</v>
      </c>
      <c r="U55" s="21">
        <v>0.83584744413862166</v>
      </c>
      <c r="V55" s="21">
        <v>0.43210667398566488</v>
      </c>
      <c r="Y55" s="92">
        <v>1.316843643003017</v>
      </c>
      <c r="Z55" s="20">
        <v>-2.161155239148016</v>
      </c>
      <c r="AA55" s="10">
        <v>1.0836619878844129</v>
      </c>
      <c r="AB55" s="17">
        <v>2.0365301379379179</v>
      </c>
      <c r="AC55" s="18">
        <v>0.76086450444321996</v>
      </c>
      <c r="AD55" s="21">
        <v>5.2825807449228082</v>
      </c>
      <c r="AE55" s="21">
        <v>1.378994765178108</v>
      </c>
      <c r="AF55" s="21">
        <v>1.5981708996177221E-2</v>
      </c>
      <c r="AG55" s="21"/>
      <c r="AH55" s="18">
        <v>0.43374541592612659</v>
      </c>
    </row>
    <row r="56" spans="1:34">
      <c r="A56" s="13" t="s">
        <v>83</v>
      </c>
      <c r="B56" s="13" t="s">
        <v>84</v>
      </c>
      <c r="C56" s="13">
        <v>65</v>
      </c>
      <c r="E56" s="14">
        <v>45055</v>
      </c>
      <c r="H56" s="16" t="s">
        <v>114</v>
      </c>
      <c r="I56" s="16">
        <v>8.4499999999999993</v>
      </c>
      <c r="J56" s="16">
        <v>25.69</v>
      </c>
      <c r="P56" s="18">
        <v>4.4168950050311261E-2</v>
      </c>
      <c r="Q56" s="18">
        <v>1.822467274414032</v>
      </c>
      <c r="R56" s="21">
        <v>8.0306275376135675E-2</v>
      </c>
      <c r="S56" s="21">
        <v>0.5498228702949326</v>
      </c>
      <c r="T56" s="21">
        <v>0.91357374509679867</v>
      </c>
      <c r="U56" s="21">
        <v>0.3441892297447724</v>
      </c>
      <c r="V56" s="21">
        <v>0.23869304814478801</v>
      </c>
      <c r="W56" s="18">
        <v>9.2076477199595779</v>
      </c>
      <c r="Y56" s="92">
        <v>0.2168046442022471</v>
      </c>
      <c r="Z56" s="20">
        <v>-4.9984538369800013</v>
      </c>
      <c r="AA56" s="10">
        <v>-26.049834906521621</v>
      </c>
      <c r="AB56" s="17">
        <v>1.2047825673875381</v>
      </c>
      <c r="AC56" s="18">
        <v>0.3181792271080135</v>
      </c>
      <c r="AD56" s="21">
        <v>2.5300934160727011</v>
      </c>
      <c r="AE56" s="21">
        <v>0.68859127106389617</v>
      </c>
      <c r="AF56" s="21">
        <v>1.3035669088993789E-2</v>
      </c>
      <c r="AG56" s="21"/>
      <c r="AH56" s="18">
        <v>0.2848744634642284</v>
      </c>
    </row>
    <row r="57" spans="1:34">
      <c r="A57" s="13" t="s">
        <v>83</v>
      </c>
      <c r="B57" s="13" t="s">
        <v>84</v>
      </c>
      <c r="C57" s="13">
        <v>66</v>
      </c>
      <c r="E57" s="14">
        <v>45062</v>
      </c>
      <c r="Y57" s="92"/>
      <c r="AC57" s="18"/>
      <c r="AD57" s="21"/>
      <c r="AE57" s="21"/>
      <c r="AF57" s="21"/>
      <c r="AG57" s="21"/>
      <c r="AH57" s="21"/>
    </row>
    <row r="58" spans="1:34">
      <c r="A58" s="13" t="s">
        <v>83</v>
      </c>
      <c r="B58" s="13" t="s">
        <v>84</v>
      </c>
      <c r="C58" s="13">
        <v>67</v>
      </c>
      <c r="E58" s="14">
        <v>45069</v>
      </c>
      <c r="H58" s="16" t="s">
        <v>115</v>
      </c>
      <c r="I58" s="16">
        <v>6.14</v>
      </c>
      <c r="J58" s="16">
        <v>15.18</v>
      </c>
      <c r="P58" s="18">
        <v>5.8992601486810119E-2</v>
      </c>
      <c r="Q58" s="18">
        <v>1.1067880360097091</v>
      </c>
      <c r="R58" s="21">
        <v>1.8097727902174419E-2</v>
      </c>
      <c r="S58" s="21">
        <v>0.1391344775389359</v>
      </c>
      <c r="T58" s="21">
        <v>0.9204616064483776</v>
      </c>
      <c r="U58" s="21">
        <v>0.12156119575602151</v>
      </c>
      <c r="V58" s="21">
        <v>4.6583257074779449E-2</v>
      </c>
      <c r="W58" s="18">
        <v>7.5198725524791996</v>
      </c>
      <c r="Y58" s="92">
        <v>0.23464820010808299</v>
      </c>
      <c r="Z58" s="20">
        <v>-2.949678244678573</v>
      </c>
      <c r="AA58" s="10">
        <v>-11.657553489893051</v>
      </c>
      <c r="AB58" s="17">
        <v>0.78570701616350658</v>
      </c>
      <c r="AC58" s="18">
        <v>0.28494431959631178</v>
      </c>
      <c r="AD58" s="21">
        <v>1.892299130789334</v>
      </c>
      <c r="AE58" s="21">
        <v>0.71347404004514026</v>
      </c>
      <c r="AF58" s="21">
        <v>1.5325624756546381E-2</v>
      </c>
      <c r="AG58" s="21"/>
      <c r="AH58" s="21">
        <v>0.22959944425985199</v>
      </c>
    </row>
    <row r="59" spans="1:34">
      <c r="A59" s="13" t="s">
        <v>83</v>
      </c>
      <c r="B59" s="13" t="s">
        <v>84</v>
      </c>
      <c r="C59" s="13">
        <v>68</v>
      </c>
      <c r="E59" s="14">
        <v>45076</v>
      </c>
      <c r="H59" s="16" t="s">
        <v>116</v>
      </c>
      <c r="I59" s="16">
        <v>5.96</v>
      </c>
      <c r="J59" s="16">
        <v>39.450000000000003</v>
      </c>
      <c r="P59" s="18">
        <v>6.5785613078399377E-2</v>
      </c>
      <c r="Q59" s="18">
        <v>6.7176370392559877</v>
      </c>
      <c r="R59" s="21">
        <v>4.0131178030082329E-2</v>
      </c>
      <c r="S59" s="21">
        <v>0.49169650714265217</v>
      </c>
      <c r="T59" s="21">
        <v>2.5399531268757318</v>
      </c>
      <c r="U59" s="21">
        <v>0.17283589782269829</v>
      </c>
      <c r="V59" s="21">
        <v>0.1109510161092598</v>
      </c>
      <c r="W59" s="18">
        <v>9.5368976929337546</v>
      </c>
      <c r="Y59" s="92">
        <v>0.18600987746294451</v>
      </c>
      <c r="Z59" s="20">
        <v>-2.4980998802849799</v>
      </c>
      <c r="AA59" s="10">
        <v>-6.7072054132504348</v>
      </c>
      <c r="AB59" s="17">
        <v>2.91695441812776</v>
      </c>
      <c r="AC59" s="18">
        <v>0.74351122030911376</v>
      </c>
      <c r="AD59" s="21">
        <v>2.8647240307006552</v>
      </c>
      <c r="AE59" s="21">
        <v>1.5316403382629551</v>
      </c>
      <c r="AF59" s="21">
        <v>1.8897718114681869E-2</v>
      </c>
      <c r="AG59" s="21"/>
      <c r="AH59" s="21">
        <v>0.31356353324756858</v>
      </c>
    </row>
    <row r="60" spans="1:34">
      <c r="A60" s="13" t="s">
        <v>83</v>
      </c>
      <c r="B60" s="13" t="s">
        <v>84</v>
      </c>
      <c r="C60" s="13">
        <v>69</v>
      </c>
      <c r="E60" s="14">
        <v>45083</v>
      </c>
      <c r="H60" s="16" t="s">
        <v>117</v>
      </c>
      <c r="I60" s="16">
        <v>6.36</v>
      </c>
      <c r="J60" s="16">
        <v>12.06</v>
      </c>
      <c r="P60" s="18">
        <v>4.8777289633923283E-2</v>
      </c>
      <c r="Q60" s="18">
        <v>1.3697230456802361</v>
      </c>
      <c r="R60" s="21">
        <v>7.3612389651363398E-3</v>
      </c>
      <c r="S60" s="21">
        <v>0.21251702872581901</v>
      </c>
      <c r="T60" s="21">
        <v>0.8743112569922884</v>
      </c>
      <c r="U60" s="21">
        <v>5.9604264092120482E-2</v>
      </c>
      <c r="V60" s="21">
        <v>5.8154989036034353E-2</v>
      </c>
      <c r="W60" s="18">
        <v>3.4230135846460512</v>
      </c>
      <c r="Y60" s="92">
        <v>0.53748555520301511</v>
      </c>
      <c r="Z60" s="20">
        <v>-4.9905546115929988</v>
      </c>
      <c r="AA60" s="10">
        <v>-29.958049790932829</v>
      </c>
      <c r="AB60" s="17">
        <v>0.78371883480909743</v>
      </c>
      <c r="AC60" s="18">
        <v>0.14858855804457941</v>
      </c>
      <c r="AD60" s="21">
        <v>0.88174808275901306</v>
      </c>
      <c r="AE60" s="21">
        <v>0.47364105546528618</v>
      </c>
      <c r="AF60" s="21">
        <v>1.477405893436242E-2</v>
      </c>
      <c r="AG60" s="21"/>
      <c r="AH60" s="21">
        <v>0.1100970681572465</v>
      </c>
    </row>
    <row r="61" spans="1:34">
      <c r="A61" s="13" t="s">
        <v>83</v>
      </c>
      <c r="B61" s="13" t="s">
        <v>84</v>
      </c>
      <c r="C61" s="13">
        <v>69</v>
      </c>
      <c r="E61" s="14">
        <v>45084</v>
      </c>
      <c r="W61" s="18">
        <v>9.3181556127662724</v>
      </c>
      <c r="Y61" s="92"/>
      <c r="AC61" s="18"/>
      <c r="AD61" s="21"/>
      <c r="AE61" s="21"/>
      <c r="AF61" s="21"/>
      <c r="AG61" s="21"/>
      <c r="AH61" s="21"/>
    </row>
    <row r="62" spans="1:34">
      <c r="A62" s="13" t="s">
        <v>83</v>
      </c>
      <c r="B62" s="13" t="s">
        <v>84</v>
      </c>
      <c r="C62" s="13">
        <v>70</v>
      </c>
      <c r="E62" s="14">
        <v>45090</v>
      </c>
      <c r="P62" s="18">
        <v>2.07E-2</v>
      </c>
      <c r="Q62" s="18">
        <v>0.36687783666280932</v>
      </c>
      <c r="R62" s="21">
        <v>1.0200000000000001E-2</v>
      </c>
      <c r="S62" s="21">
        <v>0.29682027686925538</v>
      </c>
      <c r="T62" s="21">
        <v>0.45274590674214737</v>
      </c>
      <c r="U62" s="21">
        <v>6.1209073341039942E-2</v>
      </c>
      <c r="V62" s="21">
        <v>6.3887098533450981E-2</v>
      </c>
      <c r="W62" s="18">
        <v>1.0299562910527731</v>
      </c>
      <c r="Y62" s="92">
        <v>0.22058532344525911</v>
      </c>
      <c r="Z62" s="20">
        <v>-6.8613281053218902</v>
      </c>
      <c r="AA62" s="10">
        <v>-42.450791606608497</v>
      </c>
      <c r="AB62" s="17">
        <v>0.23513428582899351</v>
      </c>
      <c r="AC62" s="18">
        <v>0.1041291567502806</v>
      </c>
      <c r="AD62" s="21">
        <v>0.75624406372270592</v>
      </c>
      <c r="AE62" s="21">
        <v>0.39480617107119531</v>
      </c>
      <c r="AF62" s="21">
        <v>1.4218791064565381E-2</v>
      </c>
      <c r="AG62" s="21"/>
      <c r="AH62" s="21">
        <v>0.16532398787428509</v>
      </c>
    </row>
    <row r="63" spans="1:34">
      <c r="A63" s="13" t="s">
        <v>83</v>
      </c>
      <c r="B63" s="13" t="s">
        <v>84</v>
      </c>
      <c r="C63" s="13">
        <v>71</v>
      </c>
      <c r="E63" s="14">
        <v>45098</v>
      </c>
      <c r="H63" s="16" t="s">
        <v>118</v>
      </c>
      <c r="I63" s="16">
        <v>6.22</v>
      </c>
      <c r="J63" s="16">
        <v>13.57</v>
      </c>
      <c r="P63" s="18">
        <v>2.7E-2</v>
      </c>
      <c r="Q63" s="18">
        <v>0.50735189351680898</v>
      </c>
      <c r="R63" s="21">
        <v>1.6299999999999999E-2</v>
      </c>
      <c r="S63" s="21">
        <v>0.49496998695061151</v>
      </c>
      <c r="T63" s="21">
        <v>0.72271663109695972</v>
      </c>
      <c r="U63" s="21">
        <v>7.089076785651735E-2</v>
      </c>
      <c r="V63" s="21">
        <v>0.18991214588146629</v>
      </c>
      <c r="W63" s="78">
        <v>6.2383297786317851</v>
      </c>
      <c r="Y63" s="92">
        <v>0.19885022878281389</v>
      </c>
      <c r="Z63" s="20">
        <v>-5.2451717544033416</v>
      </c>
      <c r="AA63" s="10">
        <v>-30.174749260561011</v>
      </c>
      <c r="AB63" s="17">
        <v>0.24021189222204389</v>
      </c>
      <c r="AC63" s="18">
        <v>0.21898090836035089</v>
      </c>
      <c r="AD63" s="21">
        <v>1.372522964132185</v>
      </c>
      <c r="AE63" s="21">
        <v>0.88908992028759182</v>
      </c>
      <c r="AF63" s="21">
        <v>1.5944184694866741E-2</v>
      </c>
      <c r="AG63" s="21"/>
      <c r="AH63" s="21">
        <v>0.22488043574964869</v>
      </c>
    </row>
    <row r="64" spans="1:34">
      <c r="A64" s="13" t="s">
        <v>83</v>
      </c>
      <c r="B64" s="13" t="s">
        <v>84</v>
      </c>
      <c r="C64" s="13">
        <v>72</v>
      </c>
      <c r="E64" s="14">
        <v>45104</v>
      </c>
      <c r="H64" s="16" t="s">
        <v>119</v>
      </c>
      <c r="I64" s="16">
        <v>5.25</v>
      </c>
      <c r="J64" s="16">
        <v>5.91</v>
      </c>
      <c r="P64" s="18">
        <v>3.6600000000000001E-2</v>
      </c>
      <c r="Q64" s="18">
        <v>0.8987885863209677</v>
      </c>
      <c r="R64" s="21">
        <v>3.3E-3</v>
      </c>
      <c r="S64" s="21">
        <v>0.24864534064618579</v>
      </c>
      <c r="T64" s="21">
        <v>1.639989651382096</v>
      </c>
      <c r="U64" s="21">
        <v>0.18114267465640821</v>
      </c>
      <c r="V64" s="21">
        <v>0.17106304958587221</v>
      </c>
      <c r="Y64" s="92">
        <v>0.44165769161820279</v>
      </c>
      <c r="Z64" s="20">
        <v>-4.2163179551148469</v>
      </c>
      <c r="AA64" s="10">
        <v>-20.318923462945179</v>
      </c>
      <c r="AB64" s="17">
        <v>0.45551155589540099</v>
      </c>
      <c r="AC64" s="18">
        <v>0.36069397351720439</v>
      </c>
      <c r="AD64" s="21">
        <v>3.011794712536616</v>
      </c>
      <c r="AE64" s="21">
        <v>1.054073335554679</v>
      </c>
      <c r="AF64" s="21">
        <v>1.684318221123637E-2</v>
      </c>
      <c r="AG64" s="21"/>
      <c r="AH64" s="21">
        <v>0.25391877936682311</v>
      </c>
    </row>
    <row r="65" spans="1:35">
      <c r="A65" s="13" t="s">
        <v>83</v>
      </c>
      <c r="B65" s="13" t="s">
        <v>84</v>
      </c>
      <c r="C65" s="13">
        <v>73</v>
      </c>
      <c r="E65" s="14">
        <v>45111</v>
      </c>
      <c r="H65" s="16">
        <v>23.8</v>
      </c>
      <c r="I65" s="16">
        <v>6.02</v>
      </c>
      <c r="J65" s="16">
        <v>16.04</v>
      </c>
      <c r="P65" s="18">
        <v>3.0800000000000001E-2</v>
      </c>
      <c r="Q65" s="18">
        <v>0.68702685410815845</v>
      </c>
      <c r="R65" s="21" t="s">
        <v>50</v>
      </c>
      <c r="S65" s="21">
        <v>6.4623240218972214E-2</v>
      </c>
      <c r="T65" s="21">
        <v>1.3152627819301339</v>
      </c>
      <c r="U65" s="21">
        <v>5.0764900664573211E-2</v>
      </c>
      <c r="V65" s="21">
        <v>6.0302720716118752E-2</v>
      </c>
      <c r="W65" s="18">
        <v>7.6726202619104562</v>
      </c>
      <c r="Y65" s="92">
        <v>0.13870042398934199</v>
      </c>
      <c r="Z65" s="20">
        <v>-9.6402718862055412</v>
      </c>
      <c r="AA65" s="10">
        <v>-65.457805601932378</v>
      </c>
      <c r="AB65" s="17">
        <v>0.33289057646570352</v>
      </c>
      <c r="AC65" s="18">
        <v>0.34354832549780601</v>
      </c>
      <c r="AD65" s="21">
        <v>2.2063094674228898</v>
      </c>
      <c r="AE65" s="21">
        <v>1.0300572030167401</v>
      </c>
      <c r="AF65" s="21">
        <v>1.633064432980235E-2</v>
      </c>
      <c r="AG65" s="21"/>
      <c r="AH65" s="21">
        <v>0.2494143875406562</v>
      </c>
    </row>
    <row r="66" spans="1:35">
      <c r="A66" s="13" t="s">
        <v>83</v>
      </c>
      <c r="B66" s="13" t="s">
        <v>84</v>
      </c>
      <c r="C66" s="13">
        <v>74</v>
      </c>
      <c r="E66" s="14">
        <v>45118</v>
      </c>
      <c r="Y66" s="92"/>
      <c r="AC66" s="18"/>
      <c r="AD66" s="21"/>
      <c r="AE66" s="21"/>
      <c r="AF66" s="21"/>
      <c r="AG66" s="21"/>
      <c r="AH66" s="21"/>
    </row>
    <row r="67" spans="1:35">
      <c r="A67" s="13" t="s">
        <v>83</v>
      </c>
      <c r="B67" s="13" t="s">
        <v>84</v>
      </c>
      <c r="C67" s="13">
        <v>75</v>
      </c>
      <c r="E67" s="14">
        <v>45125</v>
      </c>
      <c r="P67" s="18">
        <v>0.105</v>
      </c>
      <c r="Q67" s="18">
        <v>2.871071454646009</v>
      </c>
      <c r="R67" s="21">
        <v>1.24E-2</v>
      </c>
      <c r="S67" s="21">
        <v>0.47213535581235511</v>
      </c>
      <c r="T67" s="21">
        <v>4.1315107855742923</v>
      </c>
      <c r="U67" s="21">
        <v>0.1783443035771867</v>
      </c>
      <c r="V67" s="21">
        <v>0.11022004485459019</v>
      </c>
      <c r="W67" s="78"/>
      <c r="Y67" s="92">
        <v>0.54607352623268246</v>
      </c>
      <c r="Z67" s="20">
        <v>-7.1320602571708633</v>
      </c>
      <c r="AA67" s="10">
        <v>-43.865077390730818</v>
      </c>
      <c r="AB67" s="17">
        <v>1.0652051770976809</v>
      </c>
      <c r="AC67" s="18">
        <v>0.55937623408758319</v>
      </c>
      <c r="AD67" s="21">
        <v>11.92574575675796</v>
      </c>
      <c r="AE67" s="21">
        <v>1.3584430989719689</v>
      </c>
      <c r="AF67" s="21">
        <v>1.8094141205800149E-2</v>
      </c>
      <c r="AG67" s="21"/>
      <c r="AH67" s="21">
        <v>0.42787051475397891</v>
      </c>
    </row>
    <row r="68" spans="1:35">
      <c r="A68" s="13" t="s">
        <v>83</v>
      </c>
      <c r="B68" s="13" t="s">
        <v>84</v>
      </c>
      <c r="C68" s="13">
        <v>76</v>
      </c>
      <c r="E68" s="14">
        <v>45132</v>
      </c>
      <c r="H68" s="16" t="s">
        <v>120</v>
      </c>
      <c r="I68" s="16">
        <v>6.35</v>
      </c>
      <c r="J68" s="16">
        <v>22.54</v>
      </c>
      <c r="P68" s="18">
        <v>3.1399999999999997E-2</v>
      </c>
      <c r="Q68" s="18">
        <v>0.91324767154039677</v>
      </c>
      <c r="R68" s="21">
        <v>1.5800000000000002E-2</v>
      </c>
      <c r="S68" s="21">
        <v>0.88011490743621401</v>
      </c>
      <c r="T68" s="21">
        <v>2.0048796754110381</v>
      </c>
      <c r="U68" s="21">
        <v>0.22481266986390419</v>
      </c>
      <c r="V68" s="21">
        <v>0.22504595757196949</v>
      </c>
      <c r="W68" s="18">
        <v>7.3784638969351786</v>
      </c>
      <c r="Y68" s="92">
        <v>0.6917763830355238</v>
      </c>
      <c r="Z68" s="20">
        <v>-6.999200960430163</v>
      </c>
      <c r="AA68" s="10">
        <v>-44.514132302971902</v>
      </c>
      <c r="AB68" s="17">
        <v>0.43715606159213388</v>
      </c>
      <c r="AC68" s="18">
        <v>0.35435999485471492</v>
      </c>
      <c r="AD68" s="21">
        <v>3.7631435620322469</v>
      </c>
      <c r="AE68" s="21">
        <v>1.1253472938705451</v>
      </c>
      <c r="AF68" s="21">
        <v>1.7247901240943039E-2</v>
      </c>
      <c r="AG68" s="21"/>
      <c r="AH68" s="21">
        <v>0.30279568397636941</v>
      </c>
    </row>
    <row r="69" spans="1:35">
      <c r="A69" s="13" t="s">
        <v>83</v>
      </c>
      <c r="B69" s="13" t="s">
        <v>84</v>
      </c>
      <c r="C69" s="13">
        <v>77</v>
      </c>
      <c r="E69" s="14">
        <v>45139</v>
      </c>
      <c r="H69" s="16" t="s">
        <v>121</v>
      </c>
      <c r="I69" s="16">
        <v>7.28</v>
      </c>
      <c r="J69" s="16">
        <v>18.88</v>
      </c>
      <c r="P69" s="18">
        <v>3.5000000000000001E-3</v>
      </c>
      <c r="Q69" s="18">
        <v>3.2776838561640709</v>
      </c>
      <c r="R69" s="21">
        <v>9.1000000000000004E-3</v>
      </c>
      <c r="S69" s="21">
        <v>0.11688742767933689</v>
      </c>
      <c r="T69" s="21">
        <v>0.94988937254724737</v>
      </c>
      <c r="U69" s="21">
        <v>0.13779837613093321</v>
      </c>
      <c r="V69" s="21">
        <v>0.22809983822934671</v>
      </c>
      <c r="W69" s="18">
        <v>2.9852718409903112</v>
      </c>
      <c r="Y69" s="92">
        <v>0.26396847906754889</v>
      </c>
      <c r="Z69" s="20">
        <v>-6.7592663814105691</v>
      </c>
      <c r="AA69" s="10">
        <v>-42.269223190643963</v>
      </c>
      <c r="AB69" s="17">
        <v>1.3587930480185599</v>
      </c>
      <c r="AC69" s="18">
        <v>0.1879752043581874</v>
      </c>
      <c r="AD69" s="21">
        <v>1.582702142747235</v>
      </c>
      <c r="AE69" s="21">
        <v>0.53499436986239768</v>
      </c>
      <c r="AF69" s="21">
        <v>1.489137912899058E-2</v>
      </c>
      <c r="AG69" s="21"/>
      <c r="AH69" s="21">
        <v>0.1124193220914782</v>
      </c>
    </row>
    <row r="70" spans="1:35">
      <c r="A70" s="13" t="s">
        <v>83</v>
      </c>
      <c r="B70" s="13" t="s">
        <v>84</v>
      </c>
      <c r="C70" s="13">
        <v>78</v>
      </c>
      <c r="E70" s="14">
        <v>45146</v>
      </c>
      <c r="H70" s="16" t="s">
        <v>122</v>
      </c>
      <c r="I70" s="16">
        <v>7.56</v>
      </c>
      <c r="J70" s="16">
        <v>205.7</v>
      </c>
      <c r="P70" s="18">
        <v>2.7199999999999998E-2</v>
      </c>
      <c r="Q70" s="18">
        <v>4.3010328144908669</v>
      </c>
      <c r="R70" s="21">
        <v>3.0173989682416951E-2</v>
      </c>
      <c r="S70" s="21">
        <v>0.35845883589925709</v>
      </c>
      <c r="T70" s="21">
        <v>1.936659309246193</v>
      </c>
      <c r="U70" s="21">
        <v>5.1243560856017237E-2</v>
      </c>
      <c r="V70" s="21">
        <v>0.1808497860915943</v>
      </c>
      <c r="W70" s="18">
        <v>6.7777805647938187</v>
      </c>
      <c r="Y70" s="92">
        <v>0.18563008048350599</v>
      </c>
      <c r="Z70" s="20">
        <v>-5.2548407598265214</v>
      </c>
      <c r="AA70" s="10">
        <v>-34.413084794139593</v>
      </c>
      <c r="AB70" s="17">
        <v>2.0513823937028781</v>
      </c>
      <c r="AC70" s="18">
        <v>0.44656822655373918</v>
      </c>
      <c r="AD70" s="21">
        <v>2.3444493746473061</v>
      </c>
      <c r="AE70" s="21">
        <v>0.88189388701856164</v>
      </c>
      <c r="AF70" s="21">
        <v>1.9156687467591121E-2</v>
      </c>
      <c r="AG70" s="21"/>
      <c r="AH70" s="21">
        <v>0.27655146625354571</v>
      </c>
    </row>
    <row r="71" spans="1:35">
      <c r="A71" s="13" t="s">
        <v>83</v>
      </c>
      <c r="B71" s="13" t="s">
        <v>84</v>
      </c>
      <c r="C71" s="13">
        <v>79</v>
      </c>
      <c r="E71" s="14">
        <v>45153</v>
      </c>
      <c r="H71" s="16" t="s">
        <v>123</v>
      </c>
      <c r="I71" s="16">
        <v>7.98</v>
      </c>
      <c r="J71" s="16">
        <v>18.37</v>
      </c>
      <c r="P71" s="18">
        <v>2.8500000000000001E-2</v>
      </c>
      <c r="Q71" s="18">
        <v>1.087232465047542</v>
      </c>
      <c r="R71" s="21">
        <v>8.1528162523996847E-3</v>
      </c>
      <c r="S71" s="21">
        <v>0.17298325656447849</v>
      </c>
      <c r="T71" s="21">
        <v>1.447484695878535</v>
      </c>
      <c r="U71" s="21">
        <v>0.20846584905008059</v>
      </c>
      <c r="V71" s="21">
        <v>0.27497961962652528</v>
      </c>
      <c r="W71" s="18">
        <v>6.615365494481301</v>
      </c>
      <c r="Y71" s="92">
        <v>0.40445000509751239</v>
      </c>
      <c r="Z71" s="20">
        <v>-6.7506717099233011</v>
      </c>
      <c r="AA71" s="10">
        <v>-44.214300934080264</v>
      </c>
      <c r="AB71" s="17">
        <v>0.77487006651213619</v>
      </c>
      <c r="AC71" s="18">
        <v>0.223956253433226</v>
      </c>
      <c r="AD71" s="21">
        <v>2.6974159438784091</v>
      </c>
      <c r="AE71" s="21">
        <v>0.56663855882882508</v>
      </c>
      <c r="AF71" s="21">
        <v>1.8036981398163579E-2</v>
      </c>
      <c r="AG71" s="21"/>
      <c r="AH71" s="21">
        <v>0.18782261683076379</v>
      </c>
    </row>
    <row r="72" spans="1:35">
      <c r="A72" s="13" t="s">
        <v>83</v>
      </c>
      <c r="B72" s="13" t="s">
        <v>84</v>
      </c>
      <c r="C72" s="13">
        <v>80</v>
      </c>
      <c r="E72" s="14">
        <v>45160</v>
      </c>
      <c r="H72" s="16" t="s">
        <v>99</v>
      </c>
      <c r="I72" s="16">
        <v>6.58</v>
      </c>
      <c r="J72" s="16">
        <v>16.68</v>
      </c>
      <c r="P72" s="18">
        <v>2.3800000000000002E-2</v>
      </c>
      <c r="Q72" s="18">
        <v>0.71031716085647123</v>
      </c>
      <c r="R72" s="21">
        <v>1.17E-2</v>
      </c>
      <c r="S72" s="21">
        <v>0.36257236674006232</v>
      </c>
      <c r="T72" s="21">
        <v>0.98460661078593503</v>
      </c>
      <c r="U72" s="21">
        <v>7.8348855501345155E-2</v>
      </c>
      <c r="V72" s="21">
        <v>0.24268695494241979</v>
      </c>
      <c r="W72" s="18">
        <v>7.5130568462593903</v>
      </c>
      <c r="Y72" s="92">
        <v>0.31010148376335722</v>
      </c>
      <c r="Z72" s="20">
        <v>-5.2451717544033416</v>
      </c>
      <c r="AA72" s="10">
        <v>-29.243254590152851</v>
      </c>
      <c r="AB72" s="17">
        <v>0.56390289269398108</v>
      </c>
      <c r="AC72" s="18">
        <v>0.28735791230417712</v>
      </c>
      <c r="AD72" s="21">
        <v>1.989554104785819</v>
      </c>
      <c r="AE72" s="21">
        <v>0.73574212560275964</v>
      </c>
      <c r="AF72" s="21">
        <v>1.866304510092253E-2</v>
      </c>
      <c r="AG72" s="21"/>
      <c r="AH72" s="21">
        <v>0.25732420552939178</v>
      </c>
    </row>
    <row r="73" spans="1:35">
      <c r="A73" s="13" t="s">
        <v>83</v>
      </c>
      <c r="B73" s="13" t="s">
        <v>84</v>
      </c>
      <c r="C73" s="13">
        <v>81</v>
      </c>
      <c r="E73" s="14">
        <v>45168</v>
      </c>
      <c r="P73" s="18">
        <v>3.04E-2</v>
      </c>
      <c r="Q73" s="18">
        <v>1.1885246213711109</v>
      </c>
      <c r="R73" s="21">
        <v>1.78E-2</v>
      </c>
      <c r="S73" s="21">
        <v>0.57999419042835065</v>
      </c>
      <c r="T73" s="21">
        <v>1.217388750579798</v>
      </c>
      <c r="U73" s="21">
        <v>7.113304226893441E-2</v>
      </c>
      <c r="V73" s="21">
        <v>0.34392267904126111</v>
      </c>
      <c r="W73" s="18">
        <v>11.128684963658561</v>
      </c>
      <c r="Y73" s="92">
        <f>VLOOKUP(E73,[1]工作表1!$M:$N,2,FALSE)</f>
        <v>0.4682669148757902</v>
      </c>
      <c r="Z73" s="20">
        <v>-4.7502619212614352</v>
      </c>
      <c r="AA73" s="10">
        <v>-26.69155746464342</v>
      </c>
      <c r="AB73" s="17">
        <v>0.64394172525575022</v>
      </c>
      <c r="AC73" s="18">
        <v>0.33801547433060641</v>
      </c>
      <c r="AD73" s="21">
        <v>2.6743325840760059</v>
      </c>
      <c r="AE73" s="21">
        <v>0.93630081100255613</v>
      </c>
      <c r="AF73" s="21">
        <v>1.9280440661862949E-2</v>
      </c>
      <c r="AG73" s="21"/>
      <c r="AH73" s="21">
        <v>0.50185207117182162</v>
      </c>
    </row>
    <row r="74" spans="1:35">
      <c r="A74" s="13" t="s">
        <v>83</v>
      </c>
      <c r="B74" s="13" t="s">
        <v>84</v>
      </c>
      <c r="C74" s="13">
        <v>82</v>
      </c>
      <c r="E74" s="14">
        <v>45174</v>
      </c>
      <c r="H74" s="16" t="s">
        <v>124</v>
      </c>
      <c r="I74" s="16">
        <v>5.6</v>
      </c>
      <c r="J74" s="16">
        <v>13.85</v>
      </c>
      <c r="P74" s="18">
        <v>1.9E-3</v>
      </c>
      <c r="Q74" s="18">
        <v>2.2379537853382119</v>
      </c>
      <c r="R74" s="21" t="s">
        <v>50</v>
      </c>
      <c r="S74" s="21">
        <v>0.1007407689568674</v>
      </c>
      <c r="T74" s="21">
        <v>0.57354810589476146</v>
      </c>
      <c r="U74" s="21">
        <v>3.1205542382928289E-2</v>
      </c>
      <c r="V74" s="21">
        <v>0.1073218952689079</v>
      </c>
      <c r="W74" s="18">
        <v>2.885453747558997</v>
      </c>
      <c r="Y74" s="92">
        <v>0.18704540974961811</v>
      </c>
      <c r="Z74" s="20">
        <v>-7.6857003454757766</v>
      </c>
      <c r="AA74" s="10">
        <v>-48.622378588330683</v>
      </c>
      <c r="AB74" s="17">
        <v>1.0226066580262869</v>
      </c>
      <c r="AC74" s="18">
        <v>0.14176335721404851</v>
      </c>
      <c r="AD74" s="21">
        <v>0.75217221367546927</v>
      </c>
      <c r="AE74" s="21">
        <v>0.45580107162273581</v>
      </c>
      <c r="AF74" s="21">
        <v>1.76922391666701E-2</v>
      </c>
      <c r="AG74" s="21"/>
      <c r="AH74" s="21">
        <v>0.1451873179491586</v>
      </c>
    </row>
    <row r="75" spans="1:35">
      <c r="A75" s="13" t="s">
        <v>83</v>
      </c>
      <c r="B75" s="13" t="s">
        <v>84</v>
      </c>
      <c r="C75" s="13">
        <v>83</v>
      </c>
      <c r="E75" s="14">
        <v>45181</v>
      </c>
      <c r="H75" s="16" t="s">
        <v>125</v>
      </c>
      <c r="I75" s="16">
        <v>7.15</v>
      </c>
      <c r="J75" s="16">
        <v>11.23</v>
      </c>
      <c r="P75" s="18">
        <v>1.1999999999999999E-3</v>
      </c>
      <c r="Q75" s="18">
        <v>0.74018182539707089</v>
      </c>
      <c r="R75" s="21" t="s">
        <v>50</v>
      </c>
      <c r="S75" s="21">
        <v>0.2207315306024655</v>
      </c>
      <c r="T75" s="21">
        <v>0.87745993963370539</v>
      </c>
      <c r="U75" s="21">
        <v>4.4224363751184062E-2</v>
      </c>
      <c r="V75" s="21">
        <v>0.1533647203676842</v>
      </c>
      <c r="W75" s="18">
        <v>2.863783317469748</v>
      </c>
      <c r="Y75" s="92">
        <f>VLOOKUP(E75,[1]工作表1!$M:$N,2,FALSE)</f>
        <v>0.40925202244474118</v>
      </c>
      <c r="Z75" s="20">
        <v>-3.5326615101990062</v>
      </c>
      <c r="AA75" s="10">
        <v>-9.6037884114420109</v>
      </c>
      <c r="AB75" s="17">
        <v>0.44981296340606208</v>
      </c>
      <c r="AC75" s="18">
        <v>0.18343236733110799</v>
      </c>
      <c r="AD75" s="21">
        <v>0.79097519971511621</v>
      </c>
      <c r="AE75" s="21">
        <v>0.50177411985353615</v>
      </c>
      <c r="AF75" s="21">
        <v>1.195041558204357E-2</v>
      </c>
      <c r="AG75" s="21"/>
      <c r="AH75" s="21">
        <v>0.1682159455479153</v>
      </c>
    </row>
    <row r="76" spans="1:35">
      <c r="A76" s="13" t="s">
        <v>83</v>
      </c>
      <c r="B76" s="13" t="s">
        <v>84</v>
      </c>
      <c r="C76" s="13">
        <v>84</v>
      </c>
      <c r="E76" s="14">
        <v>45188</v>
      </c>
      <c r="P76" s="18">
        <v>4.6600000000000003E-2</v>
      </c>
      <c r="Q76" s="18">
        <v>1.325270760714901</v>
      </c>
      <c r="R76" s="21">
        <v>6.1199999999999997E-2</v>
      </c>
      <c r="S76" s="21">
        <v>2.560166690310024</v>
      </c>
      <c r="T76" s="21">
        <v>2.5893268464942318</v>
      </c>
      <c r="U76" s="21">
        <v>0.16436353646984531</v>
      </c>
      <c r="V76" s="21">
        <v>1.0573829154394601</v>
      </c>
      <c r="Y76" s="92"/>
      <c r="Z76" s="20">
        <v>-5.5993348712265556</v>
      </c>
      <c r="AA76" s="10">
        <v>-33.38656819896719</v>
      </c>
      <c r="AB76" s="17">
        <v>0.59628086954405557</v>
      </c>
      <c r="AC76" s="18">
        <v>0.4653589336380371</v>
      </c>
      <c r="AD76" s="21">
        <v>3.3850849981523932</v>
      </c>
      <c r="AE76" s="21">
        <v>1.0839086193454379</v>
      </c>
      <c r="AF76" s="21">
        <v>1.506923990070219E-2</v>
      </c>
      <c r="AG76" s="21"/>
      <c r="AH76" s="21">
        <v>0.28033539627322529</v>
      </c>
    </row>
    <row r="77" spans="1:35">
      <c r="A77" s="13" t="s">
        <v>83</v>
      </c>
      <c r="B77" s="13" t="s">
        <v>84</v>
      </c>
      <c r="C77" s="13">
        <v>85</v>
      </c>
      <c r="E77" s="14">
        <v>45196</v>
      </c>
      <c r="P77" s="18">
        <v>6.4600000000000005E-2</v>
      </c>
      <c r="Q77" s="18">
        <v>1.1385972548320351</v>
      </c>
      <c r="R77" s="21" t="s">
        <v>50</v>
      </c>
      <c r="S77" s="21">
        <v>0.29692532670245397</v>
      </c>
      <c r="T77" s="21">
        <v>0.69670348026322459</v>
      </c>
      <c r="U77" s="21">
        <v>4.826945374171137E-2</v>
      </c>
      <c r="V77" s="21">
        <v>0.20032496624235949</v>
      </c>
      <c r="Y77" s="75">
        <v>0.59273004974926025</v>
      </c>
      <c r="Z77" s="20">
        <v>-4.4419202403321414</v>
      </c>
      <c r="AA77" s="10">
        <v>-21.859497618260669</v>
      </c>
      <c r="AB77" s="17">
        <v>0.69544200295292136</v>
      </c>
      <c r="AC77" s="18">
        <v>0.26297524581942539</v>
      </c>
      <c r="AD77" s="21">
        <v>1.888938883962388</v>
      </c>
      <c r="AE77" s="21">
        <v>0.9271478653936448</v>
      </c>
      <c r="AF77" s="21">
        <v>1.384348351763463E-2</v>
      </c>
      <c r="AG77" s="21"/>
      <c r="AH77" s="21">
        <v>0.33105729776878962</v>
      </c>
      <c r="AI77" s="79"/>
    </row>
    <row r="78" spans="1:35">
      <c r="A78" s="13" t="s">
        <v>83</v>
      </c>
      <c r="B78" s="13" t="s">
        <v>84</v>
      </c>
      <c r="C78" s="13">
        <v>86</v>
      </c>
      <c r="E78" s="14">
        <v>45204</v>
      </c>
      <c r="P78" s="18">
        <v>6.9099999999999995E-2</v>
      </c>
      <c r="Q78" s="18">
        <v>3.7717901002834009</v>
      </c>
      <c r="R78" s="21">
        <v>4.4699999999999997E-2</v>
      </c>
      <c r="S78" s="21">
        <v>0.36230261373040701</v>
      </c>
      <c r="T78" s="21">
        <v>2.982730543349414</v>
      </c>
      <c r="U78" s="21">
        <v>0.15586884748973789</v>
      </c>
      <c r="V78" s="21">
        <v>0.18549541491351459</v>
      </c>
      <c r="W78" s="18">
        <v>8.1962500483672649</v>
      </c>
      <c r="Y78" s="75">
        <v>0.51512590471178299</v>
      </c>
      <c r="Z78" s="20">
        <v>-3.733900435972608</v>
      </c>
      <c r="AA78" s="10">
        <v>-15.85602640074258</v>
      </c>
      <c r="AB78" s="17">
        <v>1.674272783744553</v>
      </c>
      <c r="AC78" s="18">
        <v>0.49474195679811778</v>
      </c>
      <c r="AD78" s="21">
        <v>2.7771589103768508</v>
      </c>
      <c r="AE78" s="21">
        <v>1.3008880035696251</v>
      </c>
      <c r="AF78" s="21">
        <v>1.6126941434761739E-2</v>
      </c>
      <c r="AG78" s="21"/>
      <c r="AH78" s="21">
        <v>0.4117399610321536</v>
      </c>
    </row>
    <row r="79" spans="1:35">
      <c r="A79" s="13" t="s">
        <v>83</v>
      </c>
      <c r="B79" s="13" t="s">
        <v>84</v>
      </c>
      <c r="C79" s="13">
        <v>87</v>
      </c>
      <c r="E79" s="14">
        <v>45210</v>
      </c>
      <c r="H79" s="16" t="s">
        <v>126</v>
      </c>
      <c r="I79" s="16">
        <v>6.47</v>
      </c>
      <c r="J79" s="16">
        <v>19.95</v>
      </c>
      <c r="P79" s="18">
        <v>4.7000000000000002E-3</v>
      </c>
      <c r="Q79" s="18">
        <v>2.5821579410044668</v>
      </c>
      <c r="R79" s="21">
        <v>6.9599999999999995E-2</v>
      </c>
      <c r="S79" s="21">
        <v>8.5182782146406927E-2</v>
      </c>
      <c r="T79" s="21">
        <v>0.93807000094191573</v>
      </c>
      <c r="U79" s="21">
        <v>0.28695934103433512</v>
      </c>
      <c r="V79" s="21">
        <v>0.52607280368221288</v>
      </c>
      <c r="W79" s="18">
        <v>3.4334363601423168</v>
      </c>
      <c r="Y79" s="92">
        <v>0.44519258777693033</v>
      </c>
      <c r="Z79" s="20">
        <v>-6.6156108335629922</v>
      </c>
      <c r="AA79" s="10">
        <v>-39.13864218034859</v>
      </c>
      <c r="AB79" s="17">
        <v>1.3227840725939921</v>
      </c>
      <c r="AC79" s="18">
        <v>0.22362075744411811</v>
      </c>
      <c r="AD79" s="21">
        <v>1.204521166495657</v>
      </c>
      <c r="AE79" s="21">
        <v>0.63740918491519072</v>
      </c>
      <c r="AF79" s="21">
        <v>1.2882085956880869E-2</v>
      </c>
      <c r="AG79" s="21"/>
      <c r="AH79" s="21">
        <v>0.25014857450536693</v>
      </c>
    </row>
    <row r="80" spans="1:35">
      <c r="A80" s="13" t="s">
        <v>83</v>
      </c>
      <c r="B80" s="13" t="s">
        <v>84</v>
      </c>
      <c r="C80" s="13">
        <v>88</v>
      </c>
      <c r="E80" s="14">
        <v>45216</v>
      </c>
      <c r="P80" s="18" t="s">
        <v>50</v>
      </c>
      <c r="Q80" s="18">
        <v>3.384880554</v>
      </c>
      <c r="R80" s="21">
        <v>6.3881318000000006E-2</v>
      </c>
      <c r="S80" s="21">
        <v>0.25533027899999999</v>
      </c>
      <c r="T80" s="21">
        <v>1.589575414</v>
      </c>
      <c r="U80" s="21">
        <v>0.52141919000000003</v>
      </c>
      <c r="V80" s="21">
        <v>1.1611734549999999</v>
      </c>
      <c r="Y80" s="92">
        <v>1.1150358157788463</v>
      </c>
      <c r="Z80" s="20">
        <v>-3.774613513441254</v>
      </c>
      <c r="AA80" s="10">
        <v>-6.7831790625004267</v>
      </c>
      <c r="AB80" s="17">
        <v>1.4041025911270439</v>
      </c>
      <c r="AC80" s="18">
        <v>0.33631233102495622</v>
      </c>
      <c r="AD80" s="21">
        <v>2.553121562350734</v>
      </c>
      <c r="AE80" s="21">
        <v>0.86360078443844124</v>
      </c>
      <c r="AF80" s="21">
        <v>1.359536353947419E-2</v>
      </c>
      <c r="AG80" s="21"/>
      <c r="AH80" s="21">
        <v>0.32769444514265988</v>
      </c>
    </row>
    <row r="81" spans="1:36">
      <c r="A81" s="13" t="s">
        <v>83</v>
      </c>
      <c r="B81" s="13" t="s">
        <v>84</v>
      </c>
      <c r="C81" s="13">
        <v>89</v>
      </c>
      <c r="E81" s="14">
        <v>45224</v>
      </c>
      <c r="H81" s="16" t="s">
        <v>127</v>
      </c>
      <c r="I81" s="16">
        <v>6.17</v>
      </c>
      <c r="J81" s="16">
        <v>11.75</v>
      </c>
      <c r="P81" s="18">
        <v>1.7899999999999999E-2</v>
      </c>
      <c r="Q81" s="18">
        <v>2.7795978854315622</v>
      </c>
      <c r="R81" s="21" t="s">
        <v>50</v>
      </c>
      <c r="S81" s="21">
        <v>0.1130502333756926</v>
      </c>
      <c r="T81" s="21">
        <v>1.200061796722387</v>
      </c>
      <c r="U81" s="21">
        <v>3.3140285565611542E-2</v>
      </c>
      <c r="V81" s="21">
        <v>0.16271547879449891</v>
      </c>
      <c r="W81" s="18">
        <v>4.7943271184588374</v>
      </c>
      <c r="Y81" s="92"/>
      <c r="Z81" s="20">
        <v>-3.7982658727325642</v>
      </c>
      <c r="AA81" s="10">
        <v>-3.9663275197791239</v>
      </c>
      <c r="AB81" s="17">
        <v>1.415780721374913</v>
      </c>
      <c r="AC81" s="18">
        <v>0.31332651890041141</v>
      </c>
      <c r="AD81" s="21">
        <v>1.1082095788751609</v>
      </c>
      <c r="AE81" s="21">
        <v>0.87321113468444622</v>
      </c>
      <c r="AF81" s="21">
        <v>1.3896675211387001E-2</v>
      </c>
      <c r="AG81" s="21"/>
      <c r="AH81" s="21">
        <v>0.31838258619489451</v>
      </c>
    </row>
    <row r="82" spans="1:36">
      <c r="A82" s="13" t="s">
        <v>83</v>
      </c>
      <c r="B82" s="13" t="s">
        <v>84</v>
      </c>
      <c r="C82" s="13">
        <v>90</v>
      </c>
      <c r="E82" s="14">
        <v>45230</v>
      </c>
      <c r="H82" s="16" t="s">
        <v>128</v>
      </c>
      <c r="I82" s="16">
        <v>6.1</v>
      </c>
      <c r="J82" s="16">
        <v>15.44</v>
      </c>
      <c r="P82" s="18">
        <v>1.8800000000000001E-2</v>
      </c>
      <c r="Q82" s="18">
        <v>0.60466876789869062</v>
      </c>
      <c r="R82" s="21" t="s">
        <v>50</v>
      </c>
      <c r="S82" s="21">
        <v>4.1036655802736979E-2</v>
      </c>
      <c r="T82" s="21">
        <v>0.7460990383318995</v>
      </c>
      <c r="U82" s="21" t="s">
        <v>50</v>
      </c>
      <c r="V82" s="21">
        <v>7.2601773506091483E-2</v>
      </c>
      <c r="W82" s="18">
        <v>4.205364534713496</v>
      </c>
      <c r="Y82" s="92"/>
      <c r="Z82" s="20">
        <v>-4.1898869036214634</v>
      </c>
      <c r="AA82" s="10">
        <v>-5.6208895985680662</v>
      </c>
      <c r="AB82" s="17">
        <v>1.0126818860341049</v>
      </c>
      <c r="AC82" s="18">
        <v>0.26238290555115718</v>
      </c>
      <c r="AD82" s="21">
        <v>0.9730877659978644</v>
      </c>
      <c r="AE82" s="21">
        <v>0.79374636363536888</v>
      </c>
      <c r="AF82" s="21">
        <v>1.357137262939211E-2</v>
      </c>
      <c r="AG82" s="21"/>
      <c r="AH82" s="21">
        <v>0.31450023311509079</v>
      </c>
    </row>
    <row r="83" spans="1:36">
      <c r="A83" s="13" t="s">
        <v>83</v>
      </c>
      <c r="B83" s="13" t="s">
        <v>84</v>
      </c>
      <c r="C83" s="13">
        <v>91</v>
      </c>
      <c r="E83" s="14">
        <v>45237</v>
      </c>
      <c r="H83" s="16" t="s">
        <v>129</v>
      </c>
      <c r="I83" s="16">
        <v>5.92</v>
      </c>
      <c r="J83" s="16">
        <v>17.45</v>
      </c>
      <c r="P83" s="18">
        <v>1.6799999999999999E-2</v>
      </c>
      <c r="Q83" s="18">
        <v>1.7102766005081871</v>
      </c>
      <c r="R83" s="21">
        <v>2.1600000000000001E-2</v>
      </c>
      <c r="S83" s="21">
        <v>0.52671365825382666</v>
      </c>
      <c r="T83" s="21">
        <v>1.5089713013486621</v>
      </c>
      <c r="U83" s="21">
        <v>8.9929279908586901E-2</v>
      </c>
      <c r="V83" s="21">
        <v>0.46168539598917069</v>
      </c>
      <c r="W83" s="18">
        <v>4.6679751769400202</v>
      </c>
      <c r="Y83" s="75">
        <v>0.84038536550903309</v>
      </c>
      <c r="Z83" s="20">
        <v>-3.3752376106535671</v>
      </c>
      <c r="AA83" s="10">
        <v>-1.65001576559901</v>
      </c>
      <c r="AB83" s="17">
        <v>1.0262882022327611</v>
      </c>
      <c r="AC83" s="18">
        <v>0.26067582972753628</v>
      </c>
      <c r="AD83" s="21">
        <v>1.290638276038597</v>
      </c>
      <c r="AE83" s="21">
        <v>0.76709616430692606</v>
      </c>
      <c r="AF83" s="21">
        <v>1.344776172080365E-2</v>
      </c>
      <c r="AG83" s="21"/>
      <c r="AH83" s="21">
        <v>0.25857305092431249</v>
      </c>
    </row>
    <row r="84" spans="1:36">
      <c r="A84" s="13" t="s">
        <v>83</v>
      </c>
      <c r="B84" s="13" t="s">
        <v>84</v>
      </c>
      <c r="C84" s="13">
        <v>92</v>
      </c>
      <c r="E84" s="14">
        <v>45244</v>
      </c>
      <c r="H84" s="16" t="s">
        <v>130</v>
      </c>
      <c r="I84" s="16">
        <v>6.1</v>
      </c>
      <c r="J84" s="16">
        <v>12.68</v>
      </c>
      <c r="P84" s="18">
        <v>1.1000000000000001E-3</v>
      </c>
      <c r="Q84" s="18">
        <v>1.728622902193542</v>
      </c>
      <c r="R84" s="21" t="s">
        <v>50</v>
      </c>
      <c r="S84" s="21">
        <v>0.1677192300400088</v>
      </c>
      <c r="T84" s="21">
        <v>0.6484392290462262</v>
      </c>
      <c r="U84" s="21">
        <v>4.9595271020253871E-2</v>
      </c>
      <c r="V84" s="21">
        <v>9.2417936541070889E-2</v>
      </c>
      <c r="W84" s="18">
        <v>2.5751310017086002</v>
      </c>
      <c r="Y84" s="92">
        <v>0.14599561460637869</v>
      </c>
      <c r="Z84" s="20">
        <v>-4.1844584932923086</v>
      </c>
      <c r="AA84" s="10">
        <v>-2.8480043886240249</v>
      </c>
      <c r="AB84" s="17">
        <v>0.84164610708859677</v>
      </c>
      <c r="AC84" s="18">
        <v>0.17133233019929961</v>
      </c>
      <c r="AD84" s="21">
        <v>0.73973871067834696</v>
      </c>
      <c r="AE84" s="21">
        <v>0.55042613537579044</v>
      </c>
      <c r="AF84" s="21">
        <v>1.2457370508161191E-2</v>
      </c>
      <c r="AG84" s="21"/>
      <c r="AH84" s="21">
        <v>0.2292304723143796</v>
      </c>
    </row>
    <row r="85" spans="1:36">
      <c r="A85" s="13" t="s">
        <v>83</v>
      </c>
      <c r="B85" s="13" t="s">
        <v>84</v>
      </c>
      <c r="C85" s="13">
        <v>93</v>
      </c>
      <c r="E85" s="14">
        <v>45252</v>
      </c>
      <c r="H85" s="16" t="s">
        <v>131</v>
      </c>
      <c r="I85" s="16">
        <v>7.44</v>
      </c>
      <c r="J85" s="16">
        <v>8.77</v>
      </c>
      <c r="P85" s="18">
        <v>2.2000000000000001E-3</v>
      </c>
      <c r="Q85" s="18">
        <v>0.46640914637315539</v>
      </c>
      <c r="R85" s="21" t="s">
        <v>50</v>
      </c>
      <c r="S85" s="21">
        <v>6.2235583933198467E-2</v>
      </c>
      <c r="T85" s="21">
        <v>0.36079601332671918</v>
      </c>
      <c r="U85" s="21" t="s">
        <v>50</v>
      </c>
      <c r="V85" s="21">
        <v>4.2185706084959813E-2</v>
      </c>
      <c r="W85" s="18">
        <v>1.4096964093739131</v>
      </c>
      <c r="Y85" s="92">
        <v>5.6218599658373045E-2</v>
      </c>
      <c r="Z85" s="20">
        <v>-3.5601913054397101</v>
      </c>
      <c r="AA85" s="10">
        <v>5.146728345020021</v>
      </c>
      <c r="AB85" s="17">
        <v>0.4031591800018211</v>
      </c>
      <c r="AC85" s="18">
        <v>3.3854630617407719E-2</v>
      </c>
      <c r="AD85" s="21">
        <v>0.32508972761084182</v>
      </c>
      <c r="AE85" s="21">
        <v>0.25746648508386372</v>
      </c>
      <c r="AF85" s="21">
        <v>1.093010133411597E-2</v>
      </c>
      <c r="AG85" s="21"/>
      <c r="AH85" s="21">
        <v>0.33426824978016761</v>
      </c>
    </row>
    <row r="86" spans="1:36">
      <c r="A86" s="13" t="s">
        <v>83</v>
      </c>
      <c r="B86" s="13" t="s">
        <v>84</v>
      </c>
      <c r="C86" s="13">
        <v>94</v>
      </c>
      <c r="E86" s="14">
        <v>45258</v>
      </c>
      <c r="H86" s="16" t="s">
        <v>132</v>
      </c>
      <c r="I86" s="16">
        <v>5.89</v>
      </c>
      <c r="J86" s="16">
        <v>35</v>
      </c>
      <c r="P86" s="18">
        <v>7.5300000000000006E-2</v>
      </c>
      <c r="Q86" s="18">
        <v>6.8127755016239444</v>
      </c>
      <c r="R86" s="21" t="s">
        <v>50</v>
      </c>
      <c r="S86" s="21">
        <v>1.220197491719214</v>
      </c>
      <c r="T86" s="21">
        <v>2.4686249284135431</v>
      </c>
      <c r="U86" s="21">
        <v>8.7434392760854962E-2</v>
      </c>
      <c r="V86" s="21">
        <v>8.1497886441916301E-2</v>
      </c>
      <c r="W86" s="18">
        <v>2.4874328547717268</v>
      </c>
      <c r="Y86" s="75">
        <v>0.43131895840323764</v>
      </c>
      <c r="Z86" s="20">
        <v>-2.988657246498883</v>
      </c>
      <c r="AA86" s="10">
        <v>9.1198568617212423</v>
      </c>
      <c r="AB86" s="17">
        <v>3.4587210284909342</v>
      </c>
      <c r="AC86" s="18">
        <v>0.50240903781693103</v>
      </c>
      <c r="AD86" s="21">
        <v>1.5108355842343679</v>
      </c>
      <c r="AE86" s="21">
        <v>1.153176622761156</v>
      </c>
      <c r="AF86" s="21">
        <v>1.4845234593083441E-2</v>
      </c>
      <c r="AG86" s="21"/>
      <c r="AH86" s="21">
        <v>0.29696299938693599</v>
      </c>
    </row>
    <row r="87" spans="1:36">
      <c r="A87" s="13" t="s">
        <v>83</v>
      </c>
      <c r="B87" s="13" t="s">
        <v>84</v>
      </c>
      <c r="C87" s="13">
        <v>95</v>
      </c>
      <c r="E87" s="14">
        <v>45265</v>
      </c>
      <c r="H87" s="16" t="s">
        <v>110</v>
      </c>
      <c r="I87" s="16">
        <v>5.92</v>
      </c>
      <c r="J87" s="16">
        <v>6.19</v>
      </c>
      <c r="P87" s="18">
        <v>1.2999999999999999E-3</v>
      </c>
      <c r="Q87" s="18">
        <v>0.49428360567206142</v>
      </c>
      <c r="R87" s="21" t="s">
        <v>50</v>
      </c>
      <c r="S87" s="21">
        <v>0.11290013723577549</v>
      </c>
      <c r="T87" s="21">
        <v>0.42841815368921993</v>
      </c>
      <c r="U87" s="21" t="s">
        <v>50</v>
      </c>
      <c r="V87" s="21">
        <v>6.8344305039776787E-2</v>
      </c>
      <c r="W87" s="18">
        <v>1.2096006769391849</v>
      </c>
      <c r="Y87" s="75">
        <v>0.10961292899236441</v>
      </c>
      <c r="Z87" s="20">
        <v>-4.5931402423585466</v>
      </c>
      <c r="AA87" s="10">
        <v>-8.193483736971217</v>
      </c>
      <c r="AB87" s="17">
        <v>0.35125380242307719</v>
      </c>
      <c r="AC87" s="18">
        <v>4.5681899837432219E-2</v>
      </c>
      <c r="AD87" s="21">
        <v>0.30713273586585271</v>
      </c>
      <c r="AE87" s="21">
        <v>0.24773659853535429</v>
      </c>
      <c r="AF87" s="21">
        <v>1.07825513080624E-2</v>
      </c>
      <c r="AG87" s="21"/>
      <c r="AH87" s="21">
        <v>0.198083739587816</v>
      </c>
    </row>
    <row r="88" spans="1:36" s="39" customFormat="1">
      <c r="A88" s="36" t="s">
        <v>83</v>
      </c>
      <c r="B88" s="36" t="s">
        <v>84</v>
      </c>
      <c r="C88" s="36">
        <v>96</v>
      </c>
      <c r="D88" s="37"/>
      <c r="E88" s="37">
        <v>45272</v>
      </c>
      <c r="F88" s="38"/>
      <c r="K88" s="40"/>
      <c r="M88" s="36"/>
      <c r="N88" s="36"/>
      <c r="O88" s="36"/>
      <c r="P88" s="41"/>
      <c r="Q88" s="41"/>
      <c r="R88" s="42"/>
      <c r="S88" s="42"/>
      <c r="T88" s="42"/>
      <c r="U88" s="42"/>
      <c r="V88" s="42"/>
      <c r="W88" s="41"/>
      <c r="X88" s="43"/>
      <c r="Y88" s="98"/>
      <c r="Z88" s="40">
        <v>-5.0627470960901766</v>
      </c>
      <c r="AA88" s="44">
        <v>-16.48587413199931</v>
      </c>
      <c r="AB88" s="40">
        <v>0.21308391557031139</v>
      </c>
      <c r="AC88" s="41">
        <v>0.1034170834616384</v>
      </c>
      <c r="AD88" s="42">
        <v>0.57931088481183635</v>
      </c>
      <c r="AE88" s="42">
        <v>0.48338399211336031</v>
      </c>
      <c r="AF88" s="42">
        <v>1.434361119167508E-3</v>
      </c>
      <c r="AG88" s="42"/>
      <c r="AH88" s="42">
        <v>0.66311236517119543</v>
      </c>
      <c r="AI88" s="80"/>
      <c r="AJ88" s="40"/>
    </row>
    <row r="89" spans="1:36">
      <c r="A89" s="13" t="s">
        <v>178</v>
      </c>
      <c r="B89" s="13" t="s">
        <v>84</v>
      </c>
      <c r="C89" s="13">
        <v>97</v>
      </c>
      <c r="E89" s="14">
        <v>45279</v>
      </c>
      <c r="H89" s="16" t="s">
        <v>133</v>
      </c>
      <c r="I89" s="16">
        <v>5.92</v>
      </c>
      <c r="J89" s="16">
        <v>9.25</v>
      </c>
      <c r="P89" s="18">
        <v>1.3100000000000001E-2</v>
      </c>
      <c r="Q89" s="18">
        <v>0.87517578050634537</v>
      </c>
      <c r="R89" s="21">
        <v>2.7199999999999998E-2</v>
      </c>
      <c r="S89" s="21">
        <v>0.2233764087645134</v>
      </c>
      <c r="T89" s="21">
        <v>0.9355297659624493</v>
      </c>
      <c r="U89" s="21">
        <v>3.8529814951715168E-2</v>
      </c>
      <c r="V89" s="21">
        <v>0.1096633732345304</v>
      </c>
      <c r="W89" s="18">
        <v>2.288917836499397</v>
      </c>
      <c r="Y89" s="75">
        <v>0.20354160903763208</v>
      </c>
      <c r="Z89" s="20">
        <v>-4.4016796636993698</v>
      </c>
      <c r="AA89" s="10">
        <v>-7.5640059539500299</v>
      </c>
      <c r="AB89" s="17">
        <v>0.30540005079157329</v>
      </c>
      <c r="AC89" s="18">
        <v>7.8994724773515976E-2</v>
      </c>
      <c r="AD89" s="21">
        <v>0.64812291471955485</v>
      </c>
      <c r="AE89" s="21">
        <v>0.42048195326447252</v>
      </c>
      <c r="AF89" s="21">
        <v>1.522173992793924E-3</v>
      </c>
      <c r="AG89" s="21"/>
      <c r="AH89" s="21">
        <v>0.31622883385047162</v>
      </c>
    </row>
    <row r="90" spans="1:36">
      <c r="A90" s="13" t="s">
        <v>178</v>
      </c>
      <c r="B90" s="13" t="s">
        <v>84</v>
      </c>
      <c r="C90" s="13">
        <v>98</v>
      </c>
      <c r="E90" s="14">
        <v>45286</v>
      </c>
      <c r="H90" s="16" t="s">
        <v>134</v>
      </c>
      <c r="I90" s="16">
        <v>5.88</v>
      </c>
      <c r="J90" s="16">
        <v>14.5</v>
      </c>
      <c r="P90" s="18" t="s">
        <v>50</v>
      </c>
      <c r="Q90" s="18">
        <v>2.8532529479990738</v>
      </c>
      <c r="R90" s="21" t="s">
        <v>50</v>
      </c>
      <c r="S90" s="21">
        <v>0.29605421391897141</v>
      </c>
      <c r="T90" s="21">
        <v>1.140890341950602</v>
      </c>
      <c r="U90" s="21">
        <v>5.6727249706484982E-2</v>
      </c>
      <c r="V90" s="21">
        <v>9.3550186514124278E-2</v>
      </c>
      <c r="W90" s="18">
        <v>1.6276459236651211</v>
      </c>
      <c r="Y90" s="92">
        <v>0.14904033695208752</v>
      </c>
      <c r="Z90" s="20">
        <v>-5.0836602212971789</v>
      </c>
      <c r="AA90" s="10">
        <v>-5.3130460165134608</v>
      </c>
      <c r="AB90" s="17">
        <v>0.94115567187503313</v>
      </c>
      <c r="AC90" s="18">
        <v>0.14697342475161621</v>
      </c>
      <c r="AD90" s="21">
        <v>0.68225714604415633</v>
      </c>
      <c r="AE90" s="21">
        <v>0.50481499524066087</v>
      </c>
      <c r="AF90" s="21">
        <v>1.85440475999556E-3</v>
      </c>
      <c r="AG90" s="21"/>
      <c r="AH90" s="21">
        <v>0.24071219306499489</v>
      </c>
      <c r="AI90" s="79"/>
    </row>
    <row r="91" spans="1:36">
      <c r="A91" s="13" t="s">
        <v>178</v>
      </c>
      <c r="B91" s="13" t="s">
        <v>84</v>
      </c>
      <c r="C91" s="13">
        <v>99</v>
      </c>
      <c r="E91" s="14">
        <v>45294</v>
      </c>
      <c r="H91" s="16" t="s">
        <v>135</v>
      </c>
      <c r="I91" s="16">
        <v>5.85</v>
      </c>
      <c r="J91" s="16">
        <v>27.96</v>
      </c>
      <c r="P91" s="18">
        <v>1.77E-2</v>
      </c>
      <c r="Q91" s="18">
        <v>4.3546163329991412</v>
      </c>
      <c r="R91" s="21" t="s">
        <v>50</v>
      </c>
      <c r="S91" s="21">
        <v>2.3075398577333561</v>
      </c>
      <c r="T91" s="21">
        <v>3.1157172515527529</v>
      </c>
      <c r="U91" s="21">
        <v>0.11567140127535171</v>
      </c>
      <c r="V91" s="21">
        <v>0.31795898412260842</v>
      </c>
      <c r="W91" s="18">
        <v>2.3103109785586642</v>
      </c>
      <c r="Y91" s="92">
        <v>0.73354630338616755</v>
      </c>
      <c r="Z91" s="20">
        <v>-3.8058328251744671</v>
      </c>
      <c r="AA91" s="10">
        <v>-4.3479079296710879</v>
      </c>
      <c r="AB91" s="17">
        <v>1.63873495505179</v>
      </c>
      <c r="AC91" s="18">
        <v>0.38243019663325889</v>
      </c>
      <c r="AD91" s="21">
        <v>1.1929668472664769</v>
      </c>
      <c r="AE91" s="21">
        <v>1.0976724975756871</v>
      </c>
      <c r="AF91" s="21">
        <v>4.8448101646005361E-3</v>
      </c>
      <c r="AG91" s="21"/>
      <c r="AH91" s="21">
        <v>0.31861403042527803</v>
      </c>
    </row>
    <row r="92" spans="1:36">
      <c r="A92" s="13" t="s">
        <v>178</v>
      </c>
      <c r="B92" s="13" t="s">
        <v>84</v>
      </c>
      <c r="C92" s="13">
        <v>100</v>
      </c>
      <c r="E92" s="14">
        <v>45300</v>
      </c>
      <c r="Y92" s="75">
        <v>5.7178472227617112</v>
      </c>
      <c r="Z92" s="20">
        <v>-3.2220376181247832</v>
      </c>
      <c r="AA92" s="10">
        <v>6.9068917575117537</v>
      </c>
      <c r="AB92" s="17">
        <v>13.605909417043369</v>
      </c>
      <c r="AC92" s="18">
        <v>3.504091559564134</v>
      </c>
      <c r="AD92" s="21">
        <v>5.1705381504200147</v>
      </c>
      <c r="AE92" s="21">
        <v>7.1934540296705096</v>
      </c>
      <c r="AF92" s="21">
        <v>3.5185342185075047E-2</v>
      </c>
      <c r="AG92" s="21"/>
      <c r="AH92" s="21">
        <v>1.2373861402286399</v>
      </c>
    </row>
    <row r="93" spans="1:36">
      <c r="A93" s="13" t="s">
        <v>178</v>
      </c>
      <c r="B93" s="13" t="s">
        <v>84</v>
      </c>
      <c r="C93" s="13">
        <v>101</v>
      </c>
      <c r="E93" s="14">
        <v>45307</v>
      </c>
      <c r="H93" s="16" t="s">
        <v>136</v>
      </c>
      <c r="I93" s="16">
        <v>6.33</v>
      </c>
      <c r="J93" s="16">
        <v>37.369999999999997</v>
      </c>
      <c r="W93" s="18">
        <v>4.4349231465229888</v>
      </c>
      <c r="Y93" s="75">
        <v>0.4879338889712902</v>
      </c>
      <c r="Z93" s="20">
        <v>-3.1178264518390471</v>
      </c>
      <c r="AA93" s="10">
        <v>6.80914323059275</v>
      </c>
      <c r="AB93" s="17">
        <v>3.9717255402646621</v>
      </c>
      <c r="AC93" s="18">
        <v>0.47570252000193919</v>
      </c>
      <c r="AD93" s="21">
        <v>1.6982161993044449</v>
      </c>
      <c r="AE93" s="21">
        <v>1.1925264007822349</v>
      </c>
      <c r="AF93" s="21">
        <v>5.4406108136084699E-3</v>
      </c>
      <c r="AG93" s="21"/>
      <c r="AH93" s="21">
        <v>0.43785797652305891</v>
      </c>
      <c r="AI93" s="79"/>
    </row>
    <row r="94" spans="1:36">
      <c r="A94" s="13" t="s">
        <v>178</v>
      </c>
      <c r="B94" s="13" t="s">
        <v>84</v>
      </c>
      <c r="C94" s="13">
        <v>102</v>
      </c>
      <c r="E94" s="14">
        <v>45314</v>
      </c>
      <c r="H94" s="16" t="s">
        <v>85</v>
      </c>
      <c r="I94" s="16">
        <v>6.01</v>
      </c>
      <c r="J94" s="16">
        <v>16.46</v>
      </c>
      <c r="W94" s="18">
        <v>2.570764763806086</v>
      </c>
      <c r="Y94" s="75">
        <v>0.57857639116247828</v>
      </c>
      <c r="Z94" s="20">
        <v>-5.3580120672330951</v>
      </c>
      <c r="AA94" s="10">
        <v>-12.94223279821985</v>
      </c>
      <c r="AB94" s="17">
        <v>1.307622706698566</v>
      </c>
      <c r="AC94" s="18">
        <v>0.123887105423895</v>
      </c>
      <c r="AD94" s="21">
        <v>0.9720687383295834</v>
      </c>
      <c r="AE94" s="21">
        <v>0.46001818062295402</v>
      </c>
      <c r="AF94" s="21">
        <v>1.889809634126074E-3</v>
      </c>
      <c r="AG94" s="21"/>
      <c r="AH94" s="21">
        <v>0.36038951936042668</v>
      </c>
      <c r="AI94" s="79"/>
    </row>
    <row r="95" spans="1:36">
      <c r="A95" s="13" t="s">
        <v>178</v>
      </c>
      <c r="B95" s="13" t="s">
        <v>84</v>
      </c>
      <c r="C95" s="13">
        <v>103</v>
      </c>
      <c r="E95" s="14">
        <v>45321</v>
      </c>
      <c r="H95" s="16">
        <v>15.9</v>
      </c>
      <c r="I95" s="16">
        <v>5.91</v>
      </c>
      <c r="J95" s="16">
        <v>22.3</v>
      </c>
      <c r="P95" s="18">
        <v>3.8899999999999997E-2</v>
      </c>
      <c r="Q95" s="18">
        <v>3.2660558551084389</v>
      </c>
      <c r="R95" s="21" t="s">
        <v>50</v>
      </c>
      <c r="S95" s="21">
        <v>1.7765887085921019</v>
      </c>
      <c r="T95" s="21">
        <v>2.409375222696529</v>
      </c>
      <c r="U95" s="21">
        <v>5.917804585227579E-2</v>
      </c>
      <c r="V95" s="21">
        <v>1.5627098060898081E-2</v>
      </c>
      <c r="W95" s="18">
        <v>2.6326137495009099</v>
      </c>
      <c r="Y95" s="75">
        <v>0.68594394147693705</v>
      </c>
      <c r="Z95" s="20">
        <v>-4.8741745094778937</v>
      </c>
      <c r="AA95" s="10">
        <v>-4.6078847135468939</v>
      </c>
      <c r="AB95" s="17">
        <v>1.2137739727869621</v>
      </c>
      <c r="AC95" s="18">
        <v>0.3007306702433501</v>
      </c>
      <c r="AD95" s="21">
        <v>1.18701389013115</v>
      </c>
      <c r="AE95" s="21">
        <v>0.91198548168137483</v>
      </c>
      <c r="AF95" s="21">
        <v>3.5447900871281341E-3</v>
      </c>
      <c r="AG95" s="21"/>
      <c r="AH95" s="21">
        <v>0.41739347262365872</v>
      </c>
      <c r="AI95" s="79"/>
    </row>
    <row r="96" spans="1:36">
      <c r="A96" s="13" t="s">
        <v>178</v>
      </c>
      <c r="B96" s="13" t="s">
        <v>84</v>
      </c>
      <c r="C96" s="13">
        <v>104</v>
      </c>
      <c r="E96" s="14">
        <v>45328</v>
      </c>
      <c r="H96" s="16">
        <v>16.7</v>
      </c>
      <c r="I96" s="16">
        <v>6.22</v>
      </c>
      <c r="J96" s="16">
        <v>10.54</v>
      </c>
      <c r="P96" s="18">
        <v>5.2299999999999999E-2</v>
      </c>
      <c r="Q96" s="18">
        <v>1.0537142533586941</v>
      </c>
      <c r="R96" s="21" t="s">
        <v>50</v>
      </c>
      <c r="S96" s="21">
        <v>0.21369557626435359</v>
      </c>
      <c r="T96" s="21">
        <v>0.83529773850838362</v>
      </c>
      <c r="U96" s="21">
        <v>8.0918512945078208E-2</v>
      </c>
      <c r="V96" s="21">
        <v>1.5627098060898081E-2</v>
      </c>
      <c r="W96" s="18">
        <v>3.9343064320813839</v>
      </c>
      <c r="Y96" s="75">
        <v>0.40948267291215878</v>
      </c>
      <c r="Z96" s="20">
        <v>-3.4301054909469841</v>
      </c>
      <c r="AA96" s="10">
        <v>-4.6764801710339139</v>
      </c>
      <c r="AB96" s="17">
        <v>0.41447101241493373</v>
      </c>
      <c r="AC96" s="18">
        <v>7.2210854559020432E-2</v>
      </c>
      <c r="AD96" s="21">
        <v>0.70526447914431489</v>
      </c>
      <c r="AE96" s="21">
        <v>0.39800394183927501</v>
      </c>
      <c r="AF96" s="21">
        <v>1.304663793845411E-3</v>
      </c>
      <c r="AG96" s="21"/>
      <c r="AH96" s="21">
        <v>0.43983561224465317</v>
      </c>
      <c r="AI96" s="79"/>
    </row>
    <row r="97" spans="1:36">
      <c r="A97" s="13" t="s">
        <v>178</v>
      </c>
      <c r="B97" s="13" t="s">
        <v>84</v>
      </c>
      <c r="C97" s="13">
        <v>105</v>
      </c>
      <c r="E97" s="14">
        <v>45335</v>
      </c>
      <c r="Y97" s="92"/>
      <c r="AC97" s="18"/>
      <c r="AD97" s="21"/>
      <c r="AE97" s="21"/>
      <c r="AF97" s="21"/>
      <c r="AG97" s="21"/>
      <c r="AH97" s="21"/>
      <c r="AI97" s="79"/>
    </row>
    <row r="98" spans="1:36">
      <c r="A98" s="13" t="s">
        <v>178</v>
      </c>
      <c r="B98" s="13" t="s">
        <v>84</v>
      </c>
      <c r="C98" s="13">
        <v>106</v>
      </c>
      <c r="E98" s="14">
        <v>45342</v>
      </c>
      <c r="H98" s="16">
        <v>15.8</v>
      </c>
      <c r="I98" s="16">
        <v>6.04</v>
      </c>
      <c r="J98" s="16">
        <v>6.12</v>
      </c>
      <c r="P98" s="18" t="s">
        <v>50</v>
      </c>
      <c r="Q98" s="18">
        <v>0.26023974700000002</v>
      </c>
      <c r="R98" s="21" t="s">
        <v>50</v>
      </c>
      <c r="S98" s="21">
        <v>5.7859765000000001E-2</v>
      </c>
      <c r="T98" s="21">
        <v>0.77126954000000003</v>
      </c>
      <c r="U98" s="21" t="s">
        <v>50</v>
      </c>
      <c r="V98" s="21">
        <v>8.0003528000000004E-2</v>
      </c>
      <c r="W98" s="18">
        <v>1.2478179587045151</v>
      </c>
      <c r="Y98" s="92">
        <v>7.4273474653289456E-2</v>
      </c>
      <c r="Z98" s="20">
        <v>-5.9265655050641159</v>
      </c>
      <c r="AA98" s="10">
        <v>-23.274080604914829</v>
      </c>
      <c r="AB98" s="17">
        <v>6.658330924239822E-2</v>
      </c>
      <c r="AC98" s="18" t="s">
        <v>154</v>
      </c>
      <c r="AD98" s="21">
        <v>0.33621412074652579</v>
      </c>
      <c r="AE98" s="18">
        <v>0.24703710077863289</v>
      </c>
      <c r="AF98" s="18">
        <v>6.3517978115313234E-4</v>
      </c>
      <c r="AG98" s="21"/>
      <c r="AH98" s="21">
        <v>0.2015024912730238</v>
      </c>
      <c r="AI98" s="79"/>
    </row>
    <row r="99" spans="1:36">
      <c r="A99" s="13" t="s">
        <v>178</v>
      </c>
      <c r="B99" s="13" t="s">
        <v>84</v>
      </c>
      <c r="C99" s="13">
        <v>107</v>
      </c>
      <c r="E99" s="14">
        <v>45349</v>
      </c>
      <c r="P99" s="18">
        <v>1.1724965E-2</v>
      </c>
      <c r="Q99" s="18">
        <v>3.4491125230000002</v>
      </c>
      <c r="R99" s="21" t="s">
        <v>50</v>
      </c>
      <c r="S99" s="21">
        <v>0.60446639099999999</v>
      </c>
      <c r="T99" s="21">
        <v>2.0205192859999999</v>
      </c>
      <c r="U99" s="21">
        <v>5.1158486000000003E-2</v>
      </c>
      <c r="V99" s="21">
        <v>0.46332374900000001</v>
      </c>
      <c r="Y99" s="92"/>
      <c r="Z99" s="20">
        <v>-4.6887920606090514</v>
      </c>
      <c r="AA99" s="10">
        <v>-15.13934530152911</v>
      </c>
      <c r="AB99" s="17">
        <v>1.0474846158849771</v>
      </c>
      <c r="AC99" s="18">
        <v>0.26998774822732002</v>
      </c>
      <c r="AD99" s="21">
        <v>2.4693062009505429</v>
      </c>
      <c r="AE99" s="21">
        <v>0.97008544619176584</v>
      </c>
      <c r="AF99" s="18">
        <v>3.9355864038016697E-3</v>
      </c>
      <c r="AG99" s="21"/>
      <c r="AH99" s="21">
        <v>0.81326060227145569</v>
      </c>
      <c r="AI99" s="79"/>
    </row>
    <row r="100" spans="1:36">
      <c r="A100" s="13" t="s">
        <v>178</v>
      </c>
      <c r="B100" s="13" t="s">
        <v>84</v>
      </c>
      <c r="C100" s="13">
        <v>108</v>
      </c>
      <c r="E100" s="14">
        <v>45356</v>
      </c>
      <c r="P100" s="18">
        <v>3.1199999999999999E-2</v>
      </c>
      <c r="Q100" s="18">
        <v>1.9499213929999999</v>
      </c>
      <c r="R100" s="21">
        <v>5.3472323000000002E-2</v>
      </c>
      <c r="S100" s="21">
        <v>0.293634752</v>
      </c>
      <c r="T100" s="21">
        <v>5.7826060640000003</v>
      </c>
      <c r="U100" s="21">
        <v>1.16201478</v>
      </c>
      <c r="V100" s="21">
        <v>8.2605869330000008</v>
      </c>
      <c r="W100" s="18">
        <v>17.5182619536867</v>
      </c>
      <c r="Y100" s="96">
        <v>17.95954104565546</v>
      </c>
      <c r="Z100" s="20">
        <v>-5.3782162729415548</v>
      </c>
      <c r="AA100" s="10">
        <v>-14.999067590968149</v>
      </c>
      <c r="AB100" s="17">
        <v>2.464650422363345</v>
      </c>
      <c r="AC100" s="18">
        <v>0.66891443343767054</v>
      </c>
      <c r="AD100" s="21">
        <v>8.274760398238028</v>
      </c>
      <c r="AE100" s="21">
        <v>2.4072973534731301</v>
      </c>
      <c r="AF100" s="18">
        <v>7.9864514085327548E-3</v>
      </c>
      <c r="AG100" s="21"/>
      <c r="AH100" s="21">
        <v>0.66479971198108312</v>
      </c>
      <c r="AI100" s="79"/>
    </row>
    <row r="101" spans="1:36">
      <c r="A101" s="13" t="s">
        <v>178</v>
      </c>
      <c r="B101" s="13" t="s">
        <v>84</v>
      </c>
      <c r="C101" s="13">
        <v>109</v>
      </c>
      <c r="E101" s="14">
        <v>45363</v>
      </c>
      <c r="P101" s="18">
        <v>3.1600000000000003E-2</v>
      </c>
      <c r="Q101" s="18">
        <v>2.5838999440000001</v>
      </c>
      <c r="R101" s="21">
        <v>8.0669527000000005E-2</v>
      </c>
      <c r="S101" s="21">
        <v>0.54540616099999994</v>
      </c>
      <c r="T101" s="21">
        <v>2.967617578</v>
      </c>
      <c r="U101" s="21">
        <v>0.92747224299999997</v>
      </c>
      <c r="V101" s="21">
        <v>4.0990483649999998</v>
      </c>
      <c r="W101" s="18">
        <v>7.8344596875322452</v>
      </c>
      <c r="Y101" s="92">
        <v>4.6016080627302038</v>
      </c>
      <c r="Z101" s="20">
        <v>-3.2092018164101259</v>
      </c>
      <c r="AA101" s="10">
        <v>-2.7942113942755888</v>
      </c>
      <c r="AB101" s="17">
        <v>1.143046040255784</v>
      </c>
      <c r="AC101" s="18">
        <v>0.58912526045428015</v>
      </c>
      <c r="AD101" s="21">
        <v>4.2042025216590426</v>
      </c>
      <c r="AE101" s="21">
        <v>2.7237949474032801</v>
      </c>
      <c r="AF101" s="21">
        <v>1.8489003341562942E-2</v>
      </c>
      <c r="AG101" s="21"/>
      <c r="AH101" s="21">
        <v>0.67492117091583148</v>
      </c>
      <c r="AI101" s="79"/>
    </row>
    <row r="102" spans="1:36">
      <c r="A102" s="13" t="s">
        <v>178</v>
      </c>
      <c r="B102" s="13" t="s">
        <v>84</v>
      </c>
      <c r="C102" s="13">
        <v>110</v>
      </c>
      <c r="E102" s="14">
        <v>45370</v>
      </c>
      <c r="Y102" s="92"/>
      <c r="AC102" s="18"/>
      <c r="AD102" s="21"/>
      <c r="AE102" s="21"/>
      <c r="AF102" s="21"/>
      <c r="AG102" s="21"/>
      <c r="AH102" s="21"/>
      <c r="AI102" s="79"/>
    </row>
    <row r="103" spans="1:36">
      <c r="A103" s="13" t="s">
        <v>178</v>
      </c>
      <c r="B103" s="13" t="s">
        <v>84</v>
      </c>
      <c r="C103" s="13">
        <v>111</v>
      </c>
      <c r="E103" s="14">
        <v>45377</v>
      </c>
      <c r="H103" s="16">
        <v>11.7</v>
      </c>
      <c r="I103" s="16">
        <v>7.45</v>
      </c>
      <c r="J103" s="16">
        <v>64.94</v>
      </c>
      <c r="P103" s="18">
        <v>5.9028255000000002E-2</v>
      </c>
      <c r="Q103" s="18">
        <v>2.459352467</v>
      </c>
      <c r="R103" s="21" t="s">
        <v>50</v>
      </c>
      <c r="S103" s="21">
        <v>1.8736857760000001</v>
      </c>
      <c r="T103" s="21">
        <v>6.6115192059999996</v>
      </c>
      <c r="U103" s="21" t="s">
        <v>50</v>
      </c>
      <c r="V103" s="21">
        <v>1.4451958000000001E-2</v>
      </c>
      <c r="W103" s="18">
        <v>0.2309818042873856</v>
      </c>
      <c r="Y103" s="92"/>
      <c r="Z103" s="20">
        <v>-6.5701781295930921</v>
      </c>
      <c r="AA103" s="10">
        <v>-31.984066265882181</v>
      </c>
      <c r="AB103" s="17">
        <v>4.1571599326716546</v>
      </c>
      <c r="AC103" s="18">
        <v>1.55250238115587</v>
      </c>
      <c r="AD103" s="21">
        <v>0.44497491856815691</v>
      </c>
      <c r="AE103" s="21">
        <v>5.532635014126857</v>
      </c>
      <c r="AF103" s="21">
        <v>4.0077390189162093E-2</v>
      </c>
      <c r="AG103" s="21"/>
      <c r="AH103" s="21">
        <v>5.6845576974095682</v>
      </c>
    </row>
    <row r="104" spans="1:36" s="48" customFormat="1">
      <c r="A104" s="12" t="s">
        <v>178</v>
      </c>
      <c r="B104" s="12" t="s">
        <v>84</v>
      </c>
      <c r="C104" s="12">
        <v>112</v>
      </c>
      <c r="D104" s="47"/>
      <c r="E104" s="47">
        <v>45384</v>
      </c>
      <c r="F104" s="3"/>
      <c r="K104" s="20"/>
      <c r="M104" s="12"/>
      <c r="N104" s="12"/>
      <c r="O104" s="12"/>
      <c r="P104" s="11">
        <v>3.85E-2</v>
      </c>
      <c r="Q104" s="11">
        <v>2.3797878369999999</v>
      </c>
      <c r="R104" s="49">
        <v>5.1718594E-2</v>
      </c>
      <c r="S104" s="49">
        <v>0.86176213700000004</v>
      </c>
      <c r="T104" s="49">
        <v>2.7658511730000002</v>
      </c>
      <c r="U104" s="49">
        <v>0.64706747499999995</v>
      </c>
      <c r="V104" s="49">
        <v>0.29460486299999999</v>
      </c>
      <c r="W104" s="11">
        <v>9.9757488533411021</v>
      </c>
      <c r="X104" s="50"/>
      <c r="Y104" s="91">
        <v>0.81741893731456694</v>
      </c>
      <c r="Z104" s="20">
        <v>-4.7087800063186904</v>
      </c>
      <c r="AA104" s="10">
        <v>-20.343156264491029</v>
      </c>
      <c r="AB104" s="20">
        <v>1.1197534882537199</v>
      </c>
      <c r="AC104" s="49">
        <v>0.42082891040090242</v>
      </c>
      <c r="AD104" s="50">
        <v>5.3189832668447714</v>
      </c>
      <c r="AE104" s="50">
        <v>1.169298453110551</v>
      </c>
      <c r="AF104" s="50">
        <v>1.172175190799528E-2</v>
      </c>
      <c r="AG104" s="50"/>
      <c r="AH104" s="50">
        <v>0.52191927225382073</v>
      </c>
      <c r="AI104" s="81"/>
      <c r="AJ104" s="20"/>
    </row>
    <row r="105" spans="1:36">
      <c r="A105" s="13" t="s">
        <v>178</v>
      </c>
      <c r="B105" s="13" t="s">
        <v>84</v>
      </c>
      <c r="C105" s="13">
        <v>113</v>
      </c>
      <c r="E105" s="14">
        <v>45391</v>
      </c>
      <c r="P105" s="18">
        <v>4.8899999999999999E-2</v>
      </c>
      <c r="Q105" s="18">
        <v>3.075026722</v>
      </c>
      <c r="R105" s="21">
        <v>0.53244646799999995</v>
      </c>
      <c r="S105" s="21">
        <v>0.67326950299999999</v>
      </c>
      <c r="T105" s="21">
        <v>5.3355240330000004</v>
      </c>
      <c r="U105" s="21">
        <v>2.2725567400000002</v>
      </c>
      <c r="V105" s="21">
        <v>1.785737176</v>
      </c>
      <c r="W105" s="18">
        <v>12.696271121222461</v>
      </c>
      <c r="Y105" s="92">
        <v>1.986599047788655</v>
      </c>
      <c r="Z105" s="20">
        <v>-2.8263913461036929</v>
      </c>
      <c r="AA105" s="10">
        <v>-6.8424620046018259</v>
      </c>
      <c r="AB105" s="17">
        <v>1.3955359260810281</v>
      </c>
      <c r="AC105" s="18">
        <v>0.84400201120622109</v>
      </c>
      <c r="AD105" s="21">
        <v>7.8014120154280997</v>
      </c>
      <c r="AE105" s="21">
        <v>2.2103029345081051</v>
      </c>
      <c r="AF105" s="21">
        <v>1.5751247185326549E-2</v>
      </c>
      <c r="AG105" s="21"/>
      <c r="AH105" s="21">
        <v>0.72649081752302824</v>
      </c>
    </row>
    <row r="106" spans="1:36">
      <c r="A106" s="13" t="s">
        <v>178</v>
      </c>
      <c r="B106" s="13" t="s">
        <v>84</v>
      </c>
      <c r="C106" s="13">
        <v>114</v>
      </c>
      <c r="E106" s="14">
        <v>45398</v>
      </c>
      <c r="P106" s="18">
        <v>4.2987823000000001E-2</v>
      </c>
      <c r="Q106" s="18">
        <v>7.2375479949999999</v>
      </c>
      <c r="R106" s="21">
        <v>0.26027632899999997</v>
      </c>
      <c r="S106" s="21">
        <v>0.81339740400000005</v>
      </c>
      <c r="T106" s="21">
        <v>4.9588155409999999</v>
      </c>
      <c r="U106" s="21">
        <v>0.54715388499999995</v>
      </c>
      <c r="V106" s="21">
        <v>0.34953204700000001</v>
      </c>
      <c r="W106" s="18">
        <v>7.108889854406522</v>
      </c>
      <c r="Y106" s="92"/>
      <c r="Z106" s="20">
        <v>-3.7318306090496711</v>
      </c>
      <c r="AA106" s="10">
        <v>-6.7140115313463742</v>
      </c>
      <c r="AB106" s="17">
        <v>3.172283189357914</v>
      </c>
      <c r="AC106" s="18">
        <v>0.70958219117768762</v>
      </c>
      <c r="AD106" s="21">
        <v>3.6199709111499772</v>
      </c>
      <c r="AE106" s="21">
        <v>2.048474868403467</v>
      </c>
      <c r="AF106" s="21">
        <v>1.540057618580145E-2</v>
      </c>
      <c r="AG106" s="21"/>
      <c r="AH106" s="21">
        <v>0.65631247164975204</v>
      </c>
    </row>
    <row r="107" spans="1:36">
      <c r="A107" s="13" t="s">
        <v>178</v>
      </c>
      <c r="B107" s="13" t="s">
        <v>84</v>
      </c>
      <c r="C107" s="13">
        <v>115</v>
      </c>
      <c r="E107" s="14">
        <v>45405</v>
      </c>
      <c r="H107" s="16">
        <v>16.100000000000001</v>
      </c>
      <c r="I107" s="16">
        <v>6.99</v>
      </c>
      <c r="J107" s="16">
        <v>20.22</v>
      </c>
      <c r="P107" s="18">
        <v>0.18823456</v>
      </c>
      <c r="Q107" s="18">
        <v>1.3300867670000001</v>
      </c>
      <c r="R107" s="21">
        <v>0.12767703899999999</v>
      </c>
      <c r="S107" s="21">
        <v>0.37245298100000002</v>
      </c>
      <c r="T107" s="21">
        <v>1.993004062</v>
      </c>
      <c r="U107" s="21">
        <v>0.19610054299999999</v>
      </c>
      <c r="V107" s="21">
        <v>0.237647197</v>
      </c>
      <c r="W107" s="18">
        <v>0.20111031106734689</v>
      </c>
      <c r="Y107" s="92"/>
      <c r="Z107" s="20">
        <v>-3.6951861123567689</v>
      </c>
      <c r="AA107" s="10">
        <v>-16.464913633473479</v>
      </c>
      <c r="AB107" s="17">
        <v>1.0349526984564541</v>
      </c>
      <c r="AC107" s="18">
        <v>0.2284699228108299</v>
      </c>
      <c r="AD107" s="21">
        <v>1.598009724779053</v>
      </c>
      <c r="AE107" s="21">
        <v>0.60340827505535599</v>
      </c>
      <c r="AF107" s="21">
        <v>9.4255905630520592E-3</v>
      </c>
      <c r="AG107" s="21"/>
      <c r="AH107" s="21">
        <v>0.4015364729996222</v>
      </c>
      <c r="AI107" s="79"/>
    </row>
    <row r="108" spans="1:36" s="56" customFormat="1">
      <c r="A108" s="52" t="s">
        <v>178</v>
      </c>
      <c r="B108" s="52" t="s">
        <v>84</v>
      </c>
      <c r="C108" s="52">
        <v>116</v>
      </c>
      <c r="D108" s="53"/>
      <c r="E108" s="53">
        <v>45412</v>
      </c>
      <c r="F108" s="54"/>
      <c r="G108" s="82"/>
      <c r="H108" s="56">
        <v>21</v>
      </c>
      <c r="I108" s="56">
        <v>6.9</v>
      </c>
      <c r="J108" s="56">
        <v>11.64</v>
      </c>
      <c r="K108" s="57"/>
      <c r="M108" s="52"/>
      <c r="N108" s="52"/>
      <c r="O108" s="52"/>
      <c r="P108" s="58" t="s">
        <v>50</v>
      </c>
      <c r="Q108" s="58">
        <v>0.71971874400000002</v>
      </c>
      <c r="R108" s="59" t="s">
        <v>50</v>
      </c>
      <c r="S108" s="59">
        <v>5.7274032000000002E-2</v>
      </c>
      <c r="T108" s="59">
        <v>2.0008577320000001</v>
      </c>
      <c r="U108" s="59">
        <v>5.1632447999999997E-2</v>
      </c>
      <c r="V108" s="59">
        <v>0.28763439499999999</v>
      </c>
      <c r="W108" s="58">
        <v>3.842615181844343</v>
      </c>
      <c r="X108" s="60"/>
      <c r="Y108" s="96"/>
      <c r="Z108" s="57">
        <v>-4.4974515496625367</v>
      </c>
      <c r="AA108" s="61">
        <v>-19.487964610998851</v>
      </c>
      <c r="AB108" s="57">
        <v>0.54861652092197022</v>
      </c>
      <c r="AC108" s="59">
        <v>0.12785652791941379</v>
      </c>
      <c r="AD108" s="57">
        <v>1.0201672944367881</v>
      </c>
      <c r="AE108" s="60">
        <v>0.44439331802677429</v>
      </c>
      <c r="AF108" s="57">
        <v>8.4064480373783577E-3</v>
      </c>
      <c r="AG108" s="57"/>
      <c r="AH108" s="57">
        <v>0.41642134784410478</v>
      </c>
      <c r="AI108" s="83"/>
      <c r="AJ108" s="57"/>
    </row>
    <row r="109" spans="1:36">
      <c r="A109" s="13" t="s">
        <v>178</v>
      </c>
      <c r="B109" s="13" t="s">
        <v>84</v>
      </c>
      <c r="C109" s="13">
        <v>117</v>
      </c>
      <c r="E109" s="14">
        <v>45419</v>
      </c>
      <c r="H109" s="16">
        <v>17.5</v>
      </c>
      <c r="I109" s="16">
        <v>7.4</v>
      </c>
      <c r="J109" s="16">
        <v>13.88</v>
      </c>
      <c r="P109" s="18" t="s">
        <v>50</v>
      </c>
      <c r="Q109" s="18">
        <v>0.867385089</v>
      </c>
      <c r="R109" s="21">
        <v>5.2030699999999999E-2</v>
      </c>
      <c r="S109" s="21">
        <v>0.14751763400000001</v>
      </c>
      <c r="T109" s="21">
        <v>1.39979769</v>
      </c>
      <c r="U109" s="21">
        <v>0.28343866600000001</v>
      </c>
      <c r="V109" s="21">
        <v>0.53424017000000001</v>
      </c>
      <c r="W109" s="18">
        <v>4.5993435743303266</v>
      </c>
      <c r="Y109" s="92"/>
      <c r="Z109" s="20">
        <v>-3.9929671194631671</v>
      </c>
      <c r="AA109" s="10">
        <v>-15.589114952186311</v>
      </c>
      <c r="AB109" s="17">
        <v>0.41952041849827543</v>
      </c>
      <c r="AC109" s="18">
        <v>0.1741299345937857</v>
      </c>
      <c r="AD109" s="21">
        <v>1.3414294654875161</v>
      </c>
      <c r="AE109" s="21">
        <v>0.4950702470411858</v>
      </c>
      <c r="AF109" s="21">
        <v>8.6282797282699591E-3</v>
      </c>
      <c r="AG109" s="21"/>
      <c r="AH109" s="21">
        <v>0.35290964756028792</v>
      </c>
    </row>
    <row r="110" spans="1:36">
      <c r="A110" s="13" t="s">
        <v>178</v>
      </c>
      <c r="B110" s="13" t="s">
        <v>84</v>
      </c>
      <c r="C110" s="13">
        <v>118</v>
      </c>
      <c r="E110" s="14">
        <v>45426</v>
      </c>
      <c r="Y110" s="92"/>
      <c r="Z110" s="20">
        <v>-3.6773975217291461</v>
      </c>
      <c r="AA110" s="10">
        <v>-8.9752893813835275</v>
      </c>
      <c r="AB110" s="17">
        <v>1.6752244874520359</v>
      </c>
      <c r="AC110" s="18">
        <v>0.90990008772872777</v>
      </c>
      <c r="AD110" s="21">
        <v>4.1304811652028661</v>
      </c>
      <c r="AE110" s="21">
        <v>2.2239924107454279</v>
      </c>
      <c r="AF110" s="21">
        <v>1.726142985998368E-2</v>
      </c>
      <c r="AG110" s="21"/>
      <c r="AH110" s="21">
        <v>0.74119019248474027</v>
      </c>
      <c r="AI110" s="79"/>
    </row>
    <row r="111" spans="1:36">
      <c r="A111" s="13" t="s">
        <v>178</v>
      </c>
      <c r="B111" s="13" t="s">
        <v>84</v>
      </c>
      <c r="C111" s="13">
        <v>119</v>
      </c>
      <c r="E111" s="14">
        <v>45433</v>
      </c>
      <c r="P111" s="18">
        <v>5.7308902000000002E-2</v>
      </c>
      <c r="Q111" s="18">
        <v>4.9950965869999999</v>
      </c>
      <c r="R111" s="21">
        <v>0.185123328</v>
      </c>
      <c r="S111" s="21">
        <v>1.5138724320000001</v>
      </c>
      <c r="T111" s="21">
        <v>4.261437699</v>
      </c>
      <c r="U111" s="21">
        <v>0.40417663599999998</v>
      </c>
      <c r="V111" s="21">
        <v>0.477174504</v>
      </c>
      <c r="Y111" s="92">
        <v>1.1750805917151532</v>
      </c>
      <c r="Z111" s="20">
        <v>-5.1695045035741094</v>
      </c>
      <c r="AA111" s="10">
        <v>-25.515176790570841</v>
      </c>
      <c r="AB111" s="17">
        <v>2.2460268783643249</v>
      </c>
      <c r="AC111" s="18">
        <v>0.74455574592755025</v>
      </c>
      <c r="AD111" s="21">
        <v>3.116281859113077</v>
      </c>
      <c r="AE111" s="21">
        <v>1.7250505299716929</v>
      </c>
      <c r="AF111" s="21">
        <v>1.454497550100704E-2</v>
      </c>
      <c r="AG111" s="21"/>
      <c r="AH111" s="21">
        <v>0.76935534948198714</v>
      </c>
      <c r="AI111" s="79"/>
    </row>
    <row r="112" spans="1:36">
      <c r="A112" s="13" t="s">
        <v>178</v>
      </c>
      <c r="B112" s="13" t="s">
        <v>84</v>
      </c>
      <c r="C112" s="13">
        <v>120</v>
      </c>
      <c r="E112" s="14">
        <v>45440</v>
      </c>
      <c r="H112" s="16">
        <v>15</v>
      </c>
      <c r="I112" s="16">
        <v>7.46</v>
      </c>
      <c r="J112" s="16">
        <v>9.35</v>
      </c>
      <c r="P112" s="18" t="s">
        <v>50</v>
      </c>
      <c r="Q112" s="18">
        <v>0.30027620999999999</v>
      </c>
      <c r="R112" s="21">
        <v>2.4665444000000002E-2</v>
      </c>
      <c r="S112" s="21">
        <v>7.6147584000000004E-2</v>
      </c>
      <c r="T112" s="21">
        <v>0.703242123</v>
      </c>
      <c r="U112" s="21">
        <v>5.7629670000000001E-2</v>
      </c>
      <c r="V112" s="21">
        <v>0.36256985200000003</v>
      </c>
      <c r="W112" s="18">
        <v>2.7987214361438482</v>
      </c>
      <c r="Y112" s="92"/>
      <c r="Z112" s="20">
        <v>-8.2611615546548727</v>
      </c>
      <c r="AA112" s="10">
        <v>-51.431948747406153</v>
      </c>
      <c r="AB112" s="17">
        <v>0.3224027258255816</v>
      </c>
      <c r="AC112" s="18">
        <v>6.9502691605473649E-2</v>
      </c>
      <c r="AD112" s="21">
        <v>0.7157437787941725</v>
      </c>
      <c r="AE112" s="21">
        <v>0.32866382995302451</v>
      </c>
      <c r="AF112" s="21">
        <v>8.1311563782753195E-3</v>
      </c>
      <c r="AG112" s="21"/>
      <c r="AH112" s="21">
        <v>0.25570187012124329</v>
      </c>
      <c r="AI112" s="79"/>
    </row>
    <row r="113" spans="1:36">
      <c r="A113" s="13" t="s">
        <v>178</v>
      </c>
      <c r="B113" s="13" t="s">
        <v>84</v>
      </c>
      <c r="C113" s="13">
        <v>121</v>
      </c>
      <c r="E113" s="14">
        <v>45447</v>
      </c>
      <c r="H113" s="16">
        <v>17.899999999999999</v>
      </c>
      <c r="I113" s="16">
        <v>9.74</v>
      </c>
      <c r="J113" s="16">
        <v>10.039999999999999</v>
      </c>
      <c r="P113" s="18">
        <v>3.6824886000000001E-2</v>
      </c>
      <c r="Q113" s="18">
        <v>0.64374697800000003</v>
      </c>
      <c r="R113" s="21" t="s">
        <v>50</v>
      </c>
      <c r="S113" s="21">
        <v>0.20708991500000001</v>
      </c>
      <c r="T113" s="21">
        <v>0.80239723200000002</v>
      </c>
      <c r="U113" s="21" t="s">
        <v>50</v>
      </c>
      <c r="V113" s="21">
        <v>0.11424611</v>
      </c>
      <c r="W113" s="18">
        <v>7.8673000000000002</v>
      </c>
      <c r="Y113" s="92">
        <v>0.25364066867460122</v>
      </c>
      <c r="Z113" s="20">
        <v>-9.0107727637028781</v>
      </c>
      <c r="AA113" s="10">
        <v>-56.778098658353663</v>
      </c>
      <c r="AB113" s="17">
        <v>0.42427432826995543</v>
      </c>
      <c r="AC113" s="18">
        <v>0.13133883694447701</v>
      </c>
      <c r="AD113" s="21">
        <v>0.66287659429294843</v>
      </c>
      <c r="AE113" s="21">
        <v>0.50658784564982495</v>
      </c>
      <c r="AF113" s="21">
        <v>8.9989588127937E-3</v>
      </c>
      <c r="AG113" s="21"/>
      <c r="AH113" s="21">
        <v>0.31254957179588772</v>
      </c>
      <c r="AI113" s="79"/>
    </row>
    <row r="114" spans="1:36">
      <c r="A114" s="13" t="s">
        <v>178</v>
      </c>
      <c r="B114" s="13" t="s">
        <v>84</v>
      </c>
      <c r="C114" s="13">
        <v>122</v>
      </c>
      <c r="E114" s="14">
        <v>45454</v>
      </c>
      <c r="H114" s="16">
        <v>15.5</v>
      </c>
      <c r="I114" s="16">
        <v>5.43</v>
      </c>
      <c r="J114" s="16">
        <v>6.78</v>
      </c>
      <c r="P114" s="18">
        <v>2.3900683999999998E-2</v>
      </c>
      <c r="Q114" s="18">
        <v>0.53392759499999998</v>
      </c>
      <c r="R114" s="21" t="s">
        <v>50</v>
      </c>
      <c r="S114" s="21">
        <v>0.113416973</v>
      </c>
      <c r="T114" s="21">
        <v>0.65555052300000005</v>
      </c>
      <c r="U114" s="21" t="s">
        <v>50</v>
      </c>
      <c r="V114" s="21">
        <v>6.217189E-2</v>
      </c>
      <c r="W114" s="18">
        <v>5.7394999999999996</v>
      </c>
      <c r="Y114" s="92">
        <v>0.27699201472662432</v>
      </c>
      <c r="Z114" s="20">
        <v>-7.9164186682915512</v>
      </c>
      <c r="AA114" s="10">
        <v>-47.297148620340963</v>
      </c>
      <c r="AB114" s="17">
        <v>0.52305365843982476</v>
      </c>
      <c r="AC114" s="18">
        <v>9.8474718528232488E-2</v>
      </c>
      <c r="AD114" s="21">
        <v>0.49847535682059069</v>
      </c>
      <c r="AE114" s="21">
        <v>0.49409030941699</v>
      </c>
      <c r="AF114" s="21">
        <v>9.2885807009051441E-3</v>
      </c>
      <c r="AG114" s="21"/>
      <c r="AH114" s="21">
        <v>0.38647175163126812</v>
      </c>
      <c r="AI114" s="79"/>
    </row>
    <row r="115" spans="1:36" s="66" customFormat="1">
      <c r="A115" s="63" t="s">
        <v>178</v>
      </c>
      <c r="B115" s="63" t="s">
        <v>84</v>
      </c>
      <c r="C115" s="63">
        <v>123</v>
      </c>
      <c r="D115" s="64"/>
      <c r="E115" s="64">
        <v>45461</v>
      </c>
      <c r="F115" s="65"/>
      <c r="H115" s="66">
        <v>21.4</v>
      </c>
      <c r="I115" s="66">
        <v>6.7</v>
      </c>
      <c r="J115" s="66">
        <v>19.82</v>
      </c>
      <c r="K115" s="67"/>
      <c r="M115" s="63"/>
      <c r="N115" s="63"/>
      <c r="O115" s="63"/>
      <c r="P115" s="68">
        <v>3.9205766000000003E-2</v>
      </c>
      <c r="Q115" s="68">
        <v>0.99097320700000002</v>
      </c>
      <c r="R115" s="69">
        <v>6.2122494E-2</v>
      </c>
      <c r="S115" s="69">
        <v>0.36933894</v>
      </c>
      <c r="T115" s="69">
        <v>1.6445171220000001</v>
      </c>
      <c r="U115" s="69" t="s">
        <v>50</v>
      </c>
      <c r="V115" s="69">
        <v>0.20216245299999999</v>
      </c>
      <c r="W115" s="68"/>
      <c r="X115" s="70"/>
      <c r="Y115" s="97"/>
      <c r="Z115" s="67">
        <v>-6.7462851768065537</v>
      </c>
      <c r="AA115" s="71">
        <v>-44.3500001951938</v>
      </c>
      <c r="AB115" s="67">
        <v>0.60969725503190841</v>
      </c>
      <c r="AC115" s="68">
        <v>0.38388235560811501</v>
      </c>
      <c r="AD115" s="69">
        <v>2.3156323383475028</v>
      </c>
      <c r="AE115" s="69">
        <v>1.074901793866581</v>
      </c>
      <c r="AF115" s="69">
        <v>1.1410240715534051E-2</v>
      </c>
      <c r="AG115" s="69"/>
      <c r="AH115" s="69">
        <v>0.77037446148481903</v>
      </c>
      <c r="AI115" s="84"/>
      <c r="AJ115" s="67"/>
    </row>
    <row r="116" spans="1:36" s="66" customFormat="1">
      <c r="A116" s="63" t="s">
        <v>178</v>
      </c>
      <c r="B116" s="63" t="s">
        <v>84</v>
      </c>
      <c r="C116" s="63">
        <v>124</v>
      </c>
      <c r="D116" s="64"/>
      <c r="E116" s="64">
        <v>45467</v>
      </c>
      <c r="F116" s="65"/>
      <c r="H116" s="66">
        <v>16.600000000000001</v>
      </c>
      <c r="I116" s="66">
        <v>6.71</v>
      </c>
      <c r="J116" s="66">
        <v>14.93</v>
      </c>
      <c r="K116" s="67"/>
      <c r="M116" s="63"/>
      <c r="N116" s="63"/>
      <c r="O116" s="63"/>
      <c r="P116" s="68">
        <v>0.108664102</v>
      </c>
      <c r="Q116" s="68">
        <v>0.69204718899999995</v>
      </c>
      <c r="R116" s="69" t="s">
        <v>50</v>
      </c>
      <c r="S116" s="69">
        <v>6.6E-3</v>
      </c>
      <c r="T116" s="69">
        <v>1.9097615560000001</v>
      </c>
      <c r="U116" s="69" t="s">
        <v>50</v>
      </c>
      <c r="V116" s="69" t="s">
        <v>50</v>
      </c>
      <c r="W116" s="68">
        <v>11.6281</v>
      </c>
      <c r="X116" s="70"/>
      <c r="Y116" s="97">
        <v>0.31938270151506859</v>
      </c>
      <c r="Z116" s="67">
        <v>-6.8110931536338777</v>
      </c>
      <c r="AA116" s="71">
        <v>-41.545578428307948</v>
      </c>
      <c r="AB116" s="67">
        <v>0.62129464884555208</v>
      </c>
      <c r="AC116" s="68">
        <v>0.31429912537769689</v>
      </c>
      <c r="AD116" s="69">
        <v>1.750718608379481</v>
      </c>
      <c r="AE116" s="69">
        <v>0.96956705408682231</v>
      </c>
      <c r="AF116" s="69">
        <v>1.030589199454641E-2</v>
      </c>
      <c r="AG116" s="69"/>
      <c r="AH116" s="69">
        <v>0.41468801187137089</v>
      </c>
      <c r="AI116" s="84"/>
      <c r="AJ116" s="67"/>
    </row>
    <row r="117" spans="1:36">
      <c r="A117" s="13" t="s">
        <v>178</v>
      </c>
      <c r="B117" s="13" t="s">
        <v>84</v>
      </c>
      <c r="C117" s="13">
        <v>125</v>
      </c>
      <c r="E117" s="14">
        <v>45477</v>
      </c>
      <c r="H117" s="16">
        <v>18.7</v>
      </c>
      <c r="I117" s="16">
        <v>6.84</v>
      </c>
      <c r="J117" s="16">
        <v>21.06</v>
      </c>
      <c r="P117" s="18">
        <v>8.5020613999999994E-2</v>
      </c>
      <c r="Q117" s="18">
        <v>0.88872390599999995</v>
      </c>
      <c r="R117" s="21" t="s">
        <v>50</v>
      </c>
      <c r="S117" s="21">
        <v>1.6651190000000001E-3</v>
      </c>
      <c r="T117" s="21">
        <v>2.8965143339999999</v>
      </c>
      <c r="U117" s="21">
        <v>1.0969922E-2</v>
      </c>
      <c r="V117" s="21" t="s">
        <v>50</v>
      </c>
      <c r="W117" s="18">
        <v>13.034599999999999</v>
      </c>
      <c r="Y117" s="92">
        <v>0.30240639265149671</v>
      </c>
      <c r="Z117" s="20">
        <v>-6.1046721875774352</v>
      </c>
      <c r="AA117" s="10">
        <v>-34.983590982267572</v>
      </c>
      <c r="AB117" s="17">
        <v>0.4746249911725175</v>
      </c>
      <c r="AC117" s="18">
        <v>0.41392826774179631</v>
      </c>
      <c r="AD117" s="21">
        <v>3.4201964723545339</v>
      </c>
      <c r="AE117" s="21">
        <v>1.0367396026328</v>
      </c>
      <c r="AF117" s="21">
        <v>9.5423670320761468E-3</v>
      </c>
      <c r="AG117" s="21"/>
      <c r="AH117" s="21">
        <v>0.42070937804901448</v>
      </c>
      <c r="AI117" s="79"/>
    </row>
    <row r="118" spans="1:36">
      <c r="A118" s="13" t="s">
        <v>178</v>
      </c>
      <c r="B118" s="13" t="s">
        <v>84</v>
      </c>
      <c r="C118" s="13">
        <v>126</v>
      </c>
      <c r="E118" s="14">
        <v>45482</v>
      </c>
      <c r="G118" s="85"/>
      <c r="H118" s="16">
        <v>22.2</v>
      </c>
      <c r="I118" s="16">
        <v>6.96</v>
      </c>
      <c r="J118" s="16">
        <v>17.05</v>
      </c>
      <c r="P118" s="18">
        <v>8.1612114999999999E-2</v>
      </c>
      <c r="Q118" s="18">
        <v>0.73222664699999995</v>
      </c>
      <c r="R118" s="21" t="s">
        <v>50</v>
      </c>
      <c r="S118" s="21">
        <v>0.24074769900000001</v>
      </c>
      <c r="T118" s="21">
        <v>2.3049511709999999</v>
      </c>
      <c r="U118" s="21" t="s">
        <v>50</v>
      </c>
      <c r="V118" s="21" t="s">
        <v>50</v>
      </c>
      <c r="W118" s="18">
        <v>12.8369</v>
      </c>
      <c r="Y118" s="92">
        <v>0.32487821431440111</v>
      </c>
      <c r="Z118" s="20">
        <v>-4.6224300571446291</v>
      </c>
      <c r="AA118" s="10">
        <v>-23.099059656950839</v>
      </c>
      <c r="AB118" s="17">
        <v>0.41975034151614482</v>
      </c>
      <c r="AC118" s="18">
        <v>0.29656211260270249</v>
      </c>
      <c r="AD118" s="21">
        <v>2.79250474977662</v>
      </c>
      <c r="AE118" s="21">
        <v>0.72221106193665974</v>
      </c>
      <c r="AF118" s="21">
        <v>8.56489175492634E-3</v>
      </c>
      <c r="AG118" s="21"/>
      <c r="AH118" s="21">
        <v>0.38078219452080392</v>
      </c>
      <c r="AI118" s="79"/>
    </row>
    <row r="119" spans="1:36">
      <c r="A119" s="13" t="s">
        <v>178</v>
      </c>
      <c r="B119" s="13" t="s">
        <v>84</v>
      </c>
      <c r="C119" s="13">
        <v>127</v>
      </c>
      <c r="E119" s="14">
        <v>45491</v>
      </c>
      <c r="G119" s="85"/>
      <c r="H119" s="16">
        <v>17.899999999999999</v>
      </c>
      <c r="I119" s="16">
        <v>7.03</v>
      </c>
      <c r="J119" s="16">
        <v>17.010000000000002</v>
      </c>
      <c r="W119" s="18">
        <v>22.739100000000001</v>
      </c>
      <c r="Y119" s="92"/>
      <c r="Z119" s="20">
        <v>-7.1862194887631281</v>
      </c>
      <c r="AA119" s="10">
        <v>-42.463827943463713</v>
      </c>
      <c r="AB119" s="17">
        <v>4.8926996486942231</v>
      </c>
      <c r="AC119" s="18">
        <v>0.96337272520382367</v>
      </c>
      <c r="AD119" s="21">
        <v>4.6572114243371514</v>
      </c>
      <c r="AE119" s="21">
        <v>2.0705335514693508</v>
      </c>
      <c r="AF119" s="21">
        <v>2.418882101250695E-2</v>
      </c>
      <c r="AG119" s="21"/>
      <c r="AH119" s="21">
        <v>0.188391787711675</v>
      </c>
      <c r="AI119" s="79"/>
    </row>
    <row r="120" spans="1:36">
      <c r="A120" s="13" t="s">
        <v>178</v>
      </c>
      <c r="B120" s="13" t="s">
        <v>84</v>
      </c>
      <c r="C120" s="13">
        <v>128</v>
      </c>
      <c r="E120" s="14">
        <v>45496</v>
      </c>
      <c r="P120" s="18">
        <v>8.6427909999999997E-2</v>
      </c>
      <c r="Q120" s="18">
        <v>2.3427183399999998</v>
      </c>
      <c r="R120" s="21">
        <v>0.40496923000000001</v>
      </c>
      <c r="S120" s="21">
        <v>1.1935960960000001</v>
      </c>
      <c r="T120" s="21">
        <v>3.5068843869999999</v>
      </c>
      <c r="U120" s="21">
        <v>1.6169039709999999</v>
      </c>
      <c r="V120" s="21">
        <v>4.7410586930000003</v>
      </c>
      <c r="W120" s="18">
        <v>20.099499999999999</v>
      </c>
      <c r="Y120" s="92"/>
      <c r="Z120" s="20">
        <v>-9.0059657415517531</v>
      </c>
      <c r="AA120" s="10">
        <v>-56.250221640010047</v>
      </c>
      <c r="AB120" s="17">
        <v>0.97020990538807095</v>
      </c>
      <c r="AC120" s="18">
        <v>0.21928355159815971</v>
      </c>
      <c r="AD120" s="21">
        <v>4.0704088927968183</v>
      </c>
      <c r="AE120" s="21">
        <v>0.50366201144864631</v>
      </c>
      <c r="AF120" s="21">
        <v>8.4236108127425258E-3</v>
      </c>
      <c r="AG120" s="21"/>
      <c r="AH120" s="21">
        <v>0.52532445071526546</v>
      </c>
      <c r="AI120" s="79"/>
    </row>
    <row r="121" spans="1:36">
      <c r="A121" s="13" t="s">
        <v>178</v>
      </c>
      <c r="B121" s="13" t="s">
        <v>84</v>
      </c>
      <c r="C121" s="13">
        <v>129</v>
      </c>
      <c r="E121" s="14">
        <v>45503</v>
      </c>
      <c r="H121" s="16">
        <v>16.2</v>
      </c>
      <c r="I121" s="16">
        <v>6.36</v>
      </c>
      <c r="J121" s="16">
        <v>5.31</v>
      </c>
      <c r="P121" s="18">
        <v>5.4113113999999997E-2</v>
      </c>
      <c r="Q121" s="18">
        <v>0.44138411900000002</v>
      </c>
      <c r="R121" s="21">
        <v>1.0662013999999999E-2</v>
      </c>
      <c r="S121" s="21">
        <v>2.4537509999999998E-2</v>
      </c>
      <c r="T121" s="21">
        <v>0.21155012400000001</v>
      </c>
      <c r="U121" s="21">
        <v>5.8384311000000001E-2</v>
      </c>
      <c r="V121" s="21">
        <v>9.2687009000000001E-2</v>
      </c>
      <c r="W121" s="18">
        <v>1.012760477448251</v>
      </c>
      <c r="Y121" s="92"/>
      <c r="Z121" s="20">
        <v>-20.368604527530991</v>
      </c>
      <c r="AA121" s="10">
        <v>-144.40568925307679</v>
      </c>
      <c r="AB121" s="17">
        <v>0.30808386631399082</v>
      </c>
      <c r="AC121" s="18">
        <v>3.6773627161694702E-2</v>
      </c>
      <c r="AD121" s="21">
        <v>0.35160740780577382</v>
      </c>
      <c r="AE121" s="21">
        <v>0.1907367400979425</v>
      </c>
      <c r="AF121" s="21">
        <v>6.6238757682382061E-3</v>
      </c>
      <c r="AG121" s="21"/>
      <c r="AH121" s="21">
        <v>0.1174056718525331</v>
      </c>
      <c r="AI121" s="79"/>
    </row>
    <row r="122" spans="1:36">
      <c r="A122" s="13" t="s">
        <v>178</v>
      </c>
      <c r="B122" s="13" t="s">
        <v>84</v>
      </c>
      <c r="C122" s="13">
        <v>130</v>
      </c>
      <c r="E122" s="14">
        <v>45510</v>
      </c>
      <c r="G122" s="85"/>
      <c r="H122" s="16">
        <v>15.9</v>
      </c>
      <c r="I122" s="16">
        <v>5.96</v>
      </c>
      <c r="J122" s="16">
        <v>11.29</v>
      </c>
      <c r="P122" s="18">
        <v>7.3488199000000004E-2</v>
      </c>
      <c r="Q122" s="18">
        <v>0.35675720900000002</v>
      </c>
      <c r="R122" s="21">
        <v>1.9994818000000001E-2</v>
      </c>
      <c r="S122" s="21">
        <v>1.2741574449999999</v>
      </c>
      <c r="T122" s="21">
        <v>1.6642946329999999</v>
      </c>
      <c r="U122" s="21">
        <v>4.4883732000000003E-2</v>
      </c>
      <c r="V122" s="21">
        <v>0.108011598</v>
      </c>
      <c r="W122" s="18">
        <v>2.5589993758150866</v>
      </c>
      <c r="Y122" s="92"/>
      <c r="Z122" s="20">
        <v>-7.7041641267507366</v>
      </c>
      <c r="AA122" s="10">
        <v>-50.697500404274827</v>
      </c>
      <c r="AB122" s="17">
        <v>0.35339109492915782</v>
      </c>
      <c r="AC122" s="18">
        <v>0.1725900595431836</v>
      </c>
      <c r="AD122" s="21">
        <v>1.185895993802943</v>
      </c>
      <c r="AE122" s="21">
        <v>0.47526970552208941</v>
      </c>
      <c r="AF122" s="21">
        <v>8.0034761956231382E-3</v>
      </c>
      <c r="AG122" s="21"/>
      <c r="AH122" s="21">
        <v>0.14963850268664219</v>
      </c>
      <c r="AI122" s="79"/>
    </row>
    <row r="123" spans="1:36" ht="16.2">
      <c r="A123" s="13" t="s">
        <v>178</v>
      </c>
      <c r="B123" s="77" t="s">
        <v>184</v>
      </c>
      <c r="C123" s="13">
        <v>131</v>
      </c>
      <c r="E123" s="14">
        <v>45517</v>
      </c>
      <c r="H123" s="16">
        <v>14.1</v>
      </c>
      <c r="I123" s="16">
        <v>6.37</v>
      </c>
      <c r="J123" s="16">
        <v>10.37</v>
      </c>
      <c r="P123" s="18">
        <v>1.0077964E-2</v>
      </c>
      <c r="Q123" s="18">
        <v>0.35321053800000002</v>
      </c>
      <c r="R123" s="21" t="s">
        <v>50</v>
      </c>
      <c r="S123" s="21">
        <v>0.95528495400000002</v>
      </c>
      <c r="T123" s="21">
        <v>1.364230582</v>
      </c>
      <c r="U123" s="21">
        <v>9.3519555000000004E-2</v>
      </c>
      <c r="V123" s="21">
        <v>0.108262649</v>
      </c>
      <c r="W123" s="18">
        <v>3.0652823761663095</v>
      </c>
      <c r="Y123" s="92"/>
      <c r="Z123" s="20">
        <v>-7.8597666766680288</v>
      </c>
      <c r="AA123" s="10">
        <v>-47.767746784736538</v>
      </c>
      <c r="AB123" s="17">
        <v>0.27597747814987922</v>
      </c>
      <c r="AC123" s="18">
        <v>0.19341176961798309</v>
      </c>
      <c r="AD123" s="21">
        <v>0.94660315771898307</v>
      </c>
      <c r="AE123" s="21">
        <v>0.54177940893603216</v>
      </c>
      <c r="AF123" s="21">
        <v>8.2600509925885579E-3</v>
      </c>
      <c r="AG123" s="21"/>
      <c r="AH123" s="21">
        <v>0.25484222696535802</v>
      </c>
      <c r="AI123" s="79"/>
    </row>
    <row r="124" spans="1:36" ht="16.2">
      <c r="A124" s="13" t="s">
        <v>178</v>
      </c>
      <c r="B124" s="77" t="s">
        <v>184</v>
      </c>
      <c r="C124" s="13">
        <v>132</v>
      </c>
      <c r="E124" s="14">
        <v>45524</v>
      </c>
      <c r="H124" s="16">
        <v>18.3</v>
      </c>
      <c r="I124" s="16">
        <v>6.19</v>
      </c>
      <c r="J124" s="16">
        <v>5.87</v>
      </c>
      <c r="P124" s="18">
        <v>2.0199999999999999E-2</v>
      </c>
      <c r="Q124" s="18">
        <v>0.17572712800000001</v>
      </c>
      <c r="R124" s="21" t="s">
        <v>50</v>
      </c>
      <c r="S124" s="21">
        <v>0.56897013500000004</v>
      </c>
      <c r="T124" s="21">
        <v>0.49150829600000001</v>
      </c>
      <c r="U124" s="21">
        <v>8.2880242000000007E-2</v>
      </c>
      <c r="V124" s="21">
        <v>5.9489591000000001E-2</v>
      </c>
      <c r="W124" s="18">
        <v>1.851775960845641</v>
      </c>
      <c r="Y124" s="92">
        <v>0.25482659620274789</v>
      </c>
      <c r="Z124" s="20">
        <v>-8.2977184544868905</v>
      </c>
      <c r="AA124" s="10">
        <v>-51.540195519982248</v>
      </c>
      <c r="AB124" s="17">
        <v>0.20943128015122359</v>
      </c>
      <c r="AC124" s="18">
        <v>7.955643222130715E-2</v>
      </c>
      <c r="AD124" s="21">
        <v>0.43308963746113122</v>
      </c>
      <c r="AE124" s="21">
        <v>0.31602987319535752</v>
      </c>
      <c r="AF124" s="21">
        <v>7.204634326039328E-3</v>
      </c>
      <c r="AG124" s="21"/>
      <c r="AH124" s="21">
        <v>0.170224927764829</v>
      </c>
      <c r="AI124" s="79"/>
    </row>
    <row r="125" spans="1:36" ht="16.2">
      <c r="A125" s="13" t="s">
        <v>178</v>
      </c>
      <c r="B125" s="77" t="s">
        <v>184</v>
      </c>
      <c r="C125" s="13">
        <v>133</v>
      </c>
      <c r="E125" s="14">
        <v>45531</v>
      </c>
      <c r="H125" s="16">
        <v>14.9</v>
      </c>
      <c r="I125" s="16">
        <v>6.03</v>
      </c>
      <c r="J125" s="16">
        <v>9.19</v>
      </c>
      <c r="P125" s="18">
        <v>2.5666677999999998E-2</v>
      </c>
      <c r="Q125" s="18">
        <v>0.44539648500000001</v>
      </c>
      <c r="R125" s="21" t="s">
        <v>50</v>
      </c>
      <c r="S125" s="21">
        <v>1.393694371</v>
      </c>
      <c r="T125" s="21">
        <v>1.2635406280000001</v>
      </c>
      <c r="U125" s="21">
        <v>5.0516472E-2</v>
      </c>
      <c r="V125" s="21">
        <v>9.0528450000000003E-3</v>
      </c>
      <c r="W125" s="18">
        <v>2.2196803532883989</v>
      </c>
      <c r="Y125" s="92">
        <v>0.38744937934973062</v>
      </c>
      <c r="Z125" s="20">
        <v>-7.800228611793572</v>
      </c>
      <c r="AA125" s="10">
        <v>-47.477477324530383</v>
      </c>
      <c r="AB125" s="17">
        <v>0.28151776294968311</v>
      </c>
      <c r="AC125" s="18">
        <v>0.15146366138003631</v>
      </c>
      <c r="AD125" s="21">
        <v>0.79080521777040469</v>
      </c>
      <c r="AE125" s="21">
        <v>0.48514952462355909</v>
      </c>
      <c r="AF125" s="21">
        <v>7.9510489066355224E-3</v>
      </c>
      <c r="AG125" s="21"/>
      <c r="AH125" s="21">
        <v>0.19393860101662341</v>
      </c>
      <c r="AI125" s="79"/>
    </row>
    <row r="126" spans="1:36">
      <c r="A126" s="13" t="s">
        <v>83</v>
      </c>
      <c r="B126" s="13" t="s">
        <v>84</v>
      </c>
      <c r="C126" s="13">
        <v>134</v>
      </c>
      <c r="E126" s="14">
        <v>45538</v>
      </c>
      <c r="Y126" s="92"/>
      <c r="AC126" s="18"/>
      <c r="AD126" s="21"/>
      <c r="AE126" s="21"/>
      <c r="AF126" s="21"/>
      <c r="AG126" s="21"/>
      <c r="AH126" s="21"/>
      <c r="AI126" s="79"/>
    </row>
    <row r="127" spans="1:36">
      <c r="A127" s="13" t="s">
        <v>83</v>
      </c>
      <c r="B127" s="13" t="s">
        <v>84</v>
      </c>
      <c r="C127" s="13">
        <v>135</v>
      </c>
      <c r="E127" s="14">
        <v>45545</v>
      </c>
      <c r="H127" s="16">
        <v>19.899999999999999</v>
      </c>
      <c r="I127" s="16">
        <v>6.56</v>
      </c>
      <c r="J127" s="16">
        <v>14.87</v>
      </c>
      <c r="P127" s="18">
        <v>8.2056366000000006E-2</v>
      </c>
      <c r="Q127" s="18">
        <v>1.049579225</v>
      </c>
      <c r="R127" s="21" t="s">
        <v>50</v>
      </c>
      <c r="S127" s="21">
        <v>0.43498713</v>
      </c>
      <c r="T127" s="21">
        <v>1.75788978</v>
      </c>
      <c r="U127" s="21">
        <v>2.326309E-2</v>
      </c>
      <c r="V127" s="21">
        <v>6.6624834999999993E-2</v>
      </c>
      <c r="W127" s="18">
        <v>7.087631693469735</v>
      </c>
      <c r="Y127" s="92">
        <v>0.45581488928453878</v>
      </c>
      <c r="AB127" s="17">
        <v>0.54047924719603657</v>
      </c>
      <c r="AC127" s="18">
        <v>0.26903111245878197</v>
      </c>
      <c r="AD127" s="21">
        <v>1.8814562792153819</v>
      </c>
      <c r="AE127" s="21">
        <v>0.75123884353463133</v>
      </c>
      <c r="AF127" s="21">
        <v>9.4364136859636082E-3</v>
      </c>
      <c r="AG127" s="21"/>
      <c r="AH127" s="21">
        <v>0.46061273384609569</v>
      </c>
      <c r="AI127" s="79"/>
    </row>
    <row r="128" spans="1:36">
      <c r="A128" s="13" t="s">
        <v>83</v>
      </c>
      <c r="B128" s="13" t="s">
        <v>84</v>
      </c>
      <c r="C128" s="13">
        <v>136</v>
      </c>
      <c r="E128" s="14">
        <v>45553</v>
      </c>
      <c r="H128" s="16">
        <v>14.1</v>
      </c>
      <c r="I128" s="16">
        <v>6.32</v>
      </c>
      <c r="J128" s="16">
        <v>15.35</v>
      </c>
      <c r="P128" s="18">
        <v>2.5499999999999998E-2</v>
      </c>
      <c r="Q128" s="18">
        <v>3.7762359449999998</v>
      </c>
      <c r="R128" s="21" t="s">
        <v>50</v>
      </c>
      <c r="S128" s="21">
        <v>0.104536635</v>
      </c>
      <c r="T128" s="21">
        <v>1.1348184180000001</v>
      </c>
      <c r="U128" s="21" t="s">
        <v>50</v>
      </c>
      <c r="V128" s="21" t="s">
        <v>50</v>
      </c>
      <c r="W128" s="18">
        <v>3.5719684272944585</v>
      </c>
      <c r="Y128" s="92">
        <v>0.21610933772661961</v>
      </c>
      <c r="Z128" s="20">
        <v>-4.7621379445606546</v>
      </c>
      <c r="AA128" s="10">
        <v>-23.162399264673365</v>
      </c>
      <c r="AB128" s="17">
        <v>1.8040026344204738</v>
      </c>
      <c r="AC128" s="18">
        <v>0.50961979699432502</v>
      </c>
      <c r="AD128" s="21">
        <v>1.1641651203907866</v>
      </c>
      <c r="AE128" s="21">
        <v>0.79074213374290148</v>
      </c>
      <c r="AF128" s="21">
        <v>1.110635909613766E-2</v>
      </c>
      <c r="AG128" s="21"/>
      <c r="AH128" s="21">
        <v>0.41411271108483544</v>
      </c>
      <c r="AI128" s="79"/>
    </row>
    <row r="129" spans="1:35">
      <c r="A129" s="13" t="s">
        <v>83</v>
      </c>
      <c r="B129" s="13" t="s">
        <v>84</v>
      </c>
      <c r="C129" s="13">
        <v>137</v>
      </c>
      <c r="E129" s="14">
        <v>45559</v>
      </c>
      <c r="H129" s="16">
        <v>24.7</v>
      </c>
      <c r="I129" s="16">
        <v>6.09</v>
      </c>
      <c r="J129" s="16">
        <v>6.04</v>
      </c>
      <c r="P129" s="18" t="s">
        <v>50</v>
      </c>
      <c r="Q129" s="18">
        <v>0.37070695599999998</v>
      </c>
      <c r="R129" s="21">
        <v>2.3999999999999998E-3</v>
      </c>
      <c r="S129" s="21">
        <v>6.7595024000000004E-2</v>
      </c>
      <c r="T129" s="21">
        <v>0.50332621300000002</v>
      </c>
      <c r="U129" s="21">
        <v>1.634358E-2</v>
      </c>
      <c r="V129" s="21">
        <v>1.667076E-2</v>
      </c>
      <c r="W129" s="18">
        <v>1.3954656754744328</v>
      </c>
      <c r="Y129" s="92">
        <v>0.1328391312004038</v>
      </c>
      <c r="Z129" s="20">
        <v>-15.357988082259979</v>
      </c>
      <c r="AA129" s="10">
        <v>-108.11563219352323</v>
      </c>
      <c r="AB129" s="17">
        <v>0.32219031946155718</v>
      </c>
      <c r="AC129" s="18">
        <v>6.751105083452201E-2</v>
      </c>
      <c r="AD129" s="21">
        <v>0.48388392999246393</v>
      </c>
      <c r="AE129" s="21">
        <v>0.16761943717410271</v>
      </c>
      <c r="AF129" s="21">
        <v>8.7267033857888129E-3</v>
      </c>
      <c r="AG129" s="21"/>
      <c r="AH129" s="21">
        <v>0.22312095096311449</v>
      </c>
      <c r="AI129" s="79"/>
    </row>
    <row r="130" spans="1:35">
      <c r="A130" s="13" t="s">
        <v>83</v>
      </c>
      <c r="B130" s="13" t="s">
        <v>84</v>
      </c>
      <c r="C130" s="13">
        <v>138</v>
      </c>
      <c r="E130" s="14">
        <v>45566</v>
      </c>
      <c r="H130" s="16">
        <v>17.5</v>
      </c>
      <c r="I130" s="16">
        <v>5.87</v>
      </c>
      <c r="J130" s="16">
        <v>10.79</v>
      </c>
      <c r="P130" s="18" t="s">
        <v>50</v>
      </c>
      <c r="Q130" s="18">
        <v>1.2043204169999999</v>
      </c>
      <c r="R130" s="21" t="s">
        <v>50</v>
      </c>
      <c r="S130" s="21">
        <v>0.103648844</v>
      </c>
      <c r="T130" s="21">
        <v>1.033058314</v>
      </c>
      <c r="U130" s="21" t="s">
        <v>50</v>
      </c>
      <c r="V130" s="21">
        <v>2.5750917000000002E-2</v>
      </c>
      <c r="W130" s="18">
        <v>1.5171925626436753</v>
      </c>
      <c r="Y130" s="92">
        <v>0.13896304214683669</v>
      </c>
      <c r="Z130" s="20">
        <v>-8.3096249574142593</v>
      </c>
      <c r="AA130" s="10">
        <v>-49.30781457990274</v>
      </c>
      <c r="AB130" s="17">
        <v>0.67761942583422774</v>
      </c>
      <c r="AC130" s="18">
        <v>0.13450993980619907</v>
      </c>
      <c r="AD130" s="21">
        <v>0.55913018669926795</v>
      </c>
      <c r="AE130" s="21">
        <v>0.36625668589586169</v>
      </c>
      <c r="AF130" s="21">
        <v>9.2730665492271047E-3</v>
      </c>
      <c r="AG130" s="21"/>
      <c r="AH130" s="21">
        <v>0.22706037917542429</v>
      </c>
      <c r="AI130" s="79"/>
    </row>
    <row r="131" spans="1:35">
      <c r="A131" s="13" t="s">
        <v>83</v>
      </c>
      <c r="B131" s="13" t="s">
        <v>84</v>
      </c>
      <c r="C131" s="13">
        <v>139</v>
      </c>
      <c r="E131" s="14">
        <v>45573</v>
      </c>
      <c r="H131" s="16">
        <v>14</v>
      </c>
      <c r="I131" s="16">
        <v>5.68</v>
      </c>
      <c r="J131" s="16">
        <v>7.65</v>
      </c>
      <c r="P131" s="18" t="s">
        <v>50</v>
      </c>
      <c r="Q131" s="18">
        <v>0.881562136</v>
      </c>
      <c r="R131" s="21" t="s">
        <v>50</v>
      </c>
      <c r="S131" s="21">
        <v>0.154464818</v>
      </c>
      <c r="T131" s="21">
        <v>0.47306871499999997</v>
      </c>
      <c r="U131" s="21">
        <v>0.14431880899999999</v>
      </c>
      <c r="V131" s="21">
        <v>3.8194222999999999E-2</v>
      </c>
      <c r="W131" s="18">
        <v>1.0549385681835899</v>
      </c>
      <c r="Y131" s="92">
        <v>0.14496356126578649</v>
      </c>
      <c r="Z131" s="20">
        <v>-10.127450091012395</v>
      </c>
      <c r="AA131" s="10">
        <v>-63.862650433874549</v>
      </c>
      <c r="AB131" s="17">
        <v>0.40151459238439957</v>
      </c>
      <c r="AC131" s="18">
        <v>6.1285824210672246E-2</v>
      </c>
      <c r="AD131" s="21">
        <v>0.35510756806178251</v>
      </c>
      <c r="AE131" s="21">
        <v>0.17125700826141405</v>
      </c>
      <c r="AF131" s="21">
        <v>8.5192821660209032E-3</v>
      </c>
      <c r="AG131" s="21"/>
      <c r="AH131" s="21">
        <v>0.20037405551830753</v>
      </c>
      <c r="AI131" s="79"/>
    </row>
    <row r="132" spans="1:35">
      <c r="A132" s="13" t="s">
        <v>83</v>
      </c>
      <c r="B132" s="13" t="s">
        <v>84</v>
      </c>
      <c r="C132" s="13">
        <v>140</v>
      </c>
      <c r="E132" s="14">
        <v>45580</v>
      </c>
      <c r="H132" s="16">
        <v>18.5</v>
      </c>
      <c r="I132" s="16">
        <v>6.17</v>
      </c>
      <c r="J132" s="16">
        <v>28.56</v>
      </c>
      <c r="P132" s="18">
        <v>4.4008279999999997E-2</v>
      </c>
      <c r="Q132" s="18">
        <v>4.3455422070000003</v>
      </c>
      <c r="R132" s="21" t="s">
        <v>50</v>
      </c>
      <c r="S132" s="21">
        <v>1.677388401</v>
      </c>
      <c r="T132" s="21">
        <v>3.0134481050000002</v>
      </c>
      <c r="U132" s="21">
        <v>6.1291064999999999E-2</v>
      </c>
      <c r="V132" s="21">
        <v>2.9665039000000001E-2</v>
      </c>
      <c r="W132" s="18">
        <v>4.6288277518244891</v>
      </c>
      <c r="Y132" s="92">
        <v>0.53520301678616833</v>
      </c>
      <c r="Z132" s="20">
        <v>-4.7285347369628363</v>
      </c>
      <c r="AA132" s="10">
        <v>-14.601385020908005</v>
      </c>
      <c r="AB132" s="17">
        <v>1.8384538547355787</v>
      </c>
      <c r="AC132" s="18">
        <v>0.51752868626382109</v>
      </c>
      <c r="AD132" s="21">
        <v>1.3960912195807138</v>
      </c>
      <c r="AE132" s="21">
        <v>1.0436628463552</v>
      </c>
      <c r="AF132" s="21">
        <v>1.1621046010999541E-2</v>
      </c>
      <c r="AG132" s="21"/>
      <c r="AH132" s="21">
        <v>0.45822501592814213</v>
      </c>
      <c r="AI132" s="79"/>
    </row>
    <row r="133" spans="1:35">
      <c r="A133" s="13" t="s">
        <v>83</v>
      </c>
      <c r="B133" s="13" t="s">
        <v>84</v>
      </c>
      <c r="C133" s="13">
        <v>141</v>
      </c>
      <c r="E133" s="14">
        <v>45587</v>
      </c>
      <c r="H133" s="16">
        <v>23.3</v>
      </c>
      <c r="I133" s="16">
        <v>5.99</v>
      </c>
      <c r="J133" s="16">
        <v>20.2</v>
      </c>
      <c r="P133" s="18">
        <v>1.2269514E-2</v>
      </c>
      <c r="Q133" s="18">
        <v>2.7025443770000002</v>
      </c>
      <c r="R133" s="21" t="s">
        <v>50</v>
      </c>
      <c r="S133" s="21">
        <v>0.48547377200000003</v>
      </c>
      <c r="T133" s="21">
        <v>1.4401760210000001</v>
      </c>
      <c r="U133" s="21">
        <v>5.6858776999999999E-2</v>
      </c>
      <c r="V133" s="21">
        <v>4.7434170999999997E-2</v>
      </c>
      <c r="W133" s="18">
        <v>2.8437228663324889</v>
      </c>
      <c r="Y133" s="92">
        <v>0.31619786019807911</v>
      </c>
      <c r="Z133" s="20">
        <v>-4.0644197308898145</v>
      </c>
      <c r="AA133" s="10">
        <v>-13.887851371472275</v>
      </c>
      <c r="AB133" s="17">
        <v>1.4417204701253432</v>
      </c>
      <c r="AC133" s="18">
        <v>0.30964839025033425</v>
      </c>
      <c r="AD133" s="21">
        <v>0.90240734323063843</v>
      </c>
      <c r="AE133" s="21">
        <v>0.60229167052024524</v>
      </c>
      <c r="AF133" s="21">
        <v>1.0162285168490531E-2</v>
      </c>
      <c r="AG133" s="21"/>
      <c r="AH133" s="21">
        <v>0.30035543606662557</v>
      </c>
      <c r="AI133" s="79"/>
    </row>
    <row r="134" spans="1:35">
      <c r="A134" s="13" t="s">
        <v>83</v>
      </c>
      <c r="B134" s="13" t="s">
        <v>84</v>
      </c>
      <c r="C134" s="13">
        <v>142</v>
      </c>
      <c r="E134" s="14">
        <v>45594</v>
      </c>
      <c r="H134" s="16">
        <v>21</v>
      </c>
      <c r="I134" s="16">
        <v>6.65</v>
      </c>
      <c r="J134" s="16">
        <v>6.52</v>
      </c>
      <c r="P134" s="18">
        <v>5.3554149999999997E-3</v>
      </c>
      <c r="Q134" s="18">
        <v>0.55238039500000002</v>
      </c>
      <c r="R134" s="21" t="s">
        <v>50</v>
      </c>
      <c r="S134" s="21">
        <v>0.23488911400000001</v>
      </c>
      <c r="T134" s="21">
        <v>0.40583296099999999</v>
      </c>
      <c r="U134" s="21">
        <v>5.4732225000000002E-2</v>
      </c>
      <c r="V134" s="21">
        <v>0.142479315</v>
      </c>
      <c r="W134" s="18">
        <v>1.2805089946880515</v>
      </c>
      <c r="Y134" s="92">
        <v>0.24682051218075071</v>
      </c>
      <c r="Z134" s="20">
        <v>-6.4231481093689693</v>
      </c>
      <c r="AA134" s="10">
        <v>-32.068021775352186</v>
      </c>
      <c r="AB134" s="17">
        <v>0.35983051704933106</v>
      </c>
      <c r="AC134" s="18">
        <v>6.8067823505055317E-2</v>
      </c>
      <c r="AD134" s="21">
        <v>0.3478014979497483</v>
      </c>
      <c r="AE134" s="21">
        <v>0.17517036137787145</v>
      </c>
      <c r="AF134" s="21">
        <v>8.6314365289248407E-3</v>
      </c>
      <c r="AG134" s="21"/>
      <c r="AH134" s="21">
        <v>0.20577092100478625</v>
      </c>
      <c r="AI134" s="79"/>
    </row>
    <row r="135" spans="1:35">
      <c r="A135" s="13" t="s">
        <v>83</v>
      </c>
      <c r="B135" s="13" t="s">
        <v>84</v>
      </c>
      <c r="C135" s="13">
        <v>143</v>
      </c>
      <c r="E135" s="14">
        <v>45601</v>
      </c>
      <c r="H135" s="16">
        <v>17.100000000000001</v>
      </c>
      <c r="I135" s="16">
        <v>5.78</v>
      </c>
      <c r="J135" s="16">
        <v>21.34</v>
      </c>
      <c r="P135" s="18" t="s">
        <v>50</v>
      </c>
      <c r="Q135" s="18">
        <v>4.2459553970000004</v>
      </c>
      <c r="R135" s="21" t="s">
        <v>50</v>
      </c>
      <c r="S135" s="21">
        <v>6.6513766000000002E-2</v>
      </c>
      <c r="T135" s="21">
        <v>0.84188092299999995</v>
      </c>
      <c r="U135" s="21">
        <v>3.3291967999999998E-2</v>
      </c>
      <c r="V135" s="21">
        <v>3.4028358000000002E-2</v>
      </c>
      <c r="W135" s="18">
        <v>0.95080350414028481</v>
      </c>
      <c r="Y135" s="92">
        <v>0.13879764055068289</v>
      </c>
      <c r="Z135" s="20">
        <v>-35.285051512579429</v>
      </c>
      <c r="AA135" s="10">
        <v>-267.94230624400439</v>
      </c>
      <c r="AB135" s="17">
        <v>2.5086863213713038</v>
      </c>
      <c r="AC135" s="18">
        <v>0.22757274132546543</v>
      </c>
      <c r="AD135" s="21">
        <v>0.516879305700092</v>
      </c>
      <c r="AE135" s="21">
        <v>0.31077385768095972</v>
      </c>
      <c r="AF135" s="21">
        <v>9.638117895865975E-3</v>
      </c>
      <c r="AG135" s="21"/>
      <c r="AH135" s="21">
        <v>0.21857056714591686</v>
      </c>
      <c r="AI135" s="79"/>
    </row>
    <row r="136" spans="1:35">
      <c r="A136" s="13" t="s">
        <v>83</v>
      </c>
      <c r="B136" s="13" t="s">
        <v>84</v>
      </c>
      <c r="C136" s="13">
        <v>144</v>
      </c>
      <c r="E136" s="14">
        <v>45608</v>
      </c>
      <c r="H136" s="16">
        <v>22.1</v>
      </c>
      <c r="I136" s="16">
        <v>5.99</v>
      </c>
      <c r="J136" s="16">
        <v>12.06</v>
      </c>
      <c r="P136" s="18">
        <v>3.7499999999999999E-2</v>
      </c>
      <c r="Q136" s="18">
        <v>1.943380903</v>
      </c>
      <c r="R136" s="21" t="s">
        <v>50</v>
      </c>
      <c r="S136" s="21">
        <v>0.20452582599999999</v>
      </c>
      <c r="T136" s="21">
        <v>0.78299848800000005</v>
      </c>
      <c r="U136" s="21">
        <v>3.7369152000000003E-2</v>
      </c>
      <c r="V136" s="21">
        <v>9.3562280999999997E-2</v>
      </c>
      <c r="W136" s="18">
        <v>1.6254083486419182</v>
      </c>
      <c r="Y136" s="92">
        <v>0.19163442813522411</v>
      </c>
      <c r="Z136" s="20">
        <v>-4.7491473755160829</v>
      </c>
      <c r="AA136" s="10">
        <v>-13.82459711631444</v>
      </c>
      <c r="AB136" s="17">
        <v>1.02026520373628</v>
      </c>
      <c r="AC136" s="18">
        <v>0.14212007775070643</v>
      </c>
      <c r="AD136" s="21">
        <v>0.33012881446494058</v>
      </c>
      <c r="AE136" s="21">
        <v>0.26027381007667677</v>
      </c>
      <c r="AF136" s="21">
        <v>1.0072040714471087E-2</v>
      </c>
      <c r="AG136" s="21"/>
      <c r="AH136" s="21">
        <v>0.10481115673125166</v>
      </c>
      <c r="AI136" s="79"/>
    </row>
    <row r="137" spans="1:35">
      <c r="A137" s="13" t="s">
        <v>83</v>
      </c>
      <c r="B137" s="13" t="s">
        <v>84</v>
      </c>
      <c r="C137" s="13">
        <v>145</v>
      </c>
      <c r="E137" s="14">
        <v>45615</v>
      </c>
      <c r="H137" s="16">
        <v>22.7</v>
      </c>
      <c r="I137" s="16">
        <v>5.93</v>
      </c>
      <c r="J137" s="16">
        <v>11.21</v>
      </c>
      <c r="P137" s="18" t="s">
        <v>50</v>
      </c>
      <c r="Q137" s="18">
        <v>0.78019232699999996</v>
      </c>
      <c r="R137" s="21" t="s">
        <v>50</v>
      </c>
      <c r="S137" s="21">
        <v>0.17102944</v>
      </c>
      <c r="T137" s="21">
        <v>0.39699366800000002</v>
      </c>
      <c r="U137" s="21">
        <v>5.1359056E-2</v>
      </c>
      <c r="V137" s="21">
        <v>0.12506214900000001</v>
      </c>
      <c r="W137" s="18">
        <v>1.0773335564543491</v>
      </c>
      <c r="Y137" s="92">
        <v>0.38839598149955318</v>
      </c>
      <c r="Z137" s="20">
        <v>-6.1960630145464775</v>
      </c>
      <c r="AA137" s="10">
        <v>-30.612136275452563</v>
      </c>
      <c r="AB137" s="17">
        <v>0.33862558059865483</v>
      </c>
      <c r="AC137" s="18">
        <v>5.8815504767298486E-2</v>
      </c>
      <c r="AD137" s="21">
        <v>0.24871149614273594</v>
      </c>
      <c r="AE137" s="21">
        <v>9.9414791127242594E-2</v>
      </c>
      <c r="AF137" s="21">
        <v>9.6317046492528993E-3</v>
      </c>
      <c r="AG137" s="21"/>
      <c r="AH137" s="21">
        <v>0.10999161549636741</v>
      </c>
    </row>
    <row r="138" spans="1:35">
      <c r="A138" s="13" t="s">
        <v>83</v>
      </c>
      <c r="B138" s="13" t="s">
        <v>84</v>
      </c>
      <c r="C138" s="13">
        <v>146</v>
      </c>
      <c r="E138" s="14">
        <v>45622</v>
      </c>
      <c r="H138" s="16">
        <v>18.399999999999999</v>
      </c>
      <c r="I138" s="16">
        <v>6.13</v>
      </c>
      <c r="J138" s="16">
        <v>10.78</v>
      </c>
      <c r="P138" s="18">
        <v>0.34241264399999999</v>
      </c>
      <c r="Q138" s="18">
        <v>1.5883650760000001</v>
      </c>
      <c r="R138" s="21" t="s">
        <v>50</v>
      </c>
      <c r="S138" s="21">
        <v>0.34589782299999999</v>
      </c>
      <c r="T138" s="21">
        <v>0.80747260700000001</v>
      </c>
      <c r="U138" s="21">
        <v>2.6835991999999999E-2</v>
      </c>
      <c r="V138" s="21">
        <v>9.7935544999999999E-2</v>
      </c>
      <c r="W138" s="18">
        <v>0.83135809917815773</v>
      </c>
      <c r="Y138" s="92">
        <v>0.22306029703448391</v>
      </c>
      <c r="Z138" s="20">
        <v>-4.5631400603910279</v>
      </c>
      <c r="AA138" s="10">
        <v>-7.3739311337767131</v>
      </c>
      <c r="AB138" s="17">
        <v>0.88454586612234676</v>
      </c>
      <c r="AC138" s="18">
        <v>0.10500471862302241</v>
      </c>
      <c r="AD138" s="21">
        <v>0.36848983363962096</v>
      </c>
      <c r="AE138" s="21">
        <v>0.23623594264862782</v>
      </c>
      <c r="AF138" s="21">
        <v>1.020754609561871E-2</v>
      </c>
      <c r="AG138" s="21"/>
      <c r="AH138" s="21">
        <v>0.12128679726004631</v>
      </c>
    </row>
    <row r="139" spans="1:35">
      <c r="A139" s="13" t="s">
        <v>83</v>
      </c>
      <c r="B139" s="13" t="s">
        <v>84</v>
      </c>
      <c r="C139" s="13">
        <v>147</v>
      </c>
      <c r="E139" s="14">
        <v>45629</v>
      </c>
      <c r="Y139" s="92"/>
      <c r="Z139" s="20">
        <v>-5.1491668245861346</v>
      </c>
      <c r="AA139" s="10">
        <v>-11.292300986427326</v>
      </c>
      <c r="AB139" s="17">
        <v>2.0896134194719518</v>
      </c>
      <c r="AC139" s="18">
        <v>0.35006768397529647</v>
      </c>
      <c r="AD139" s="21">
        <v>1.0962099805444014</v>
      </c>
      <c r="AE139" s="21">
        <v>0.63232327614689954</v>
      </c>
      <c r="AF139" s="21">
        <v>1.1581651164780708E-2</v>
      </c>
      <c r="AG139" s="21"/>
      <c r="AH139" s="21">
        <v>0.52096570709075574</v>
      </c>
    </row>
    <row r="140" spans="1:35">
      <c r="A140" s="13" t="s">
        <v>83</v>
      </c>
      <c r="B140" s="13" t="s">
        <v>84</v>
      </c>
      <c r="C140" s="13">
        <v>148</v>
      </c>
      <c r="E140" s="14">
        <v>45636</v>
      </c>
      <c r="H140" s="16">
        <v>16.600000000000001</v>
      </c>
      <c r="I140" s="16">
        <v>5.92</v>
      </c>
      <c r="J140" s="16">
        <v>28.33</v>
      </c>
      <c r="P140" s="18">
        <v>8.2019599999999995E-3</v>
      </c>
      <c r="Q140" s="18">
        <v>4.562602279</v>
      </c>
      <c r="R140" s="21">
        <v>1.6985585000000001E-2</v>
      </c>
      <c r="S140" s="21">
        <v>0.75756818599999998</v>
      </c>
      <c r="T140" s="21">
        <v>2.2613515679999998</v>
      </c>
      <c r="U140" s="21">
        <v>9.6091016000000001E-2</v>
      </c>
      <c r="V140" s="21">
        <v>0.212055521</v>
      </c>
      <c r="W140" s="18">
        <v>1.9932941933871064</v>
      </c>
      <c r="Y140" s="92">
        <v>0.57327700797697501</v>
      </c>
      <c r="Z140" s="20">
        <v>-4.0071925460395654</v>
      </c>
      <c r="AA140" s="10">
        <v>0.43509394018809999</v>
      </c>
      <c r="AB140" s="17">
        <v>2.3029110513537963</v>
      </c>
      <c r="AC140" s="18">
        <v>0.36354791013342214</v>
      </c>
      <c r="AD140" s="21">
        <v>0.77410593568193975</v>
      </c>
      <c r="AE140" s="21">
        <v>0.7335481473456883</v>
      </c>
      <c r="AF140" s="21">
        <v>1.1885953067823599E-2</v>
      </c>
      <c r="AG140" s="21"/>
      <c r="AH140" s="21">
        <v>0.26936919225792266</v>
      </c>
    </row>
    <row r="141" spans="1:35">
      <c r="A141" s="13" t="s">
        <v>83</v>
      </c>
      <c r="B141" s="13" t="s">
        <v>84</v>
      </c>
      <c r="C141" s="13">
        <v>149</v>
      </c>
      <c r="E141" s="14">
        <v>45643</v>
      </c>
      <c r="P141" s="18">
        <v>9.4613140000000002E-3</v>
      </c>
      <c r="Q141" s="18">
        <v>5.5729688289999997</v>
      </c>
      <c r="R141" s="21">
        <v>9.4387120000000001E-3</v>
      </c>
      <c r="S141" s="21">
        <v>3.3777140650000002</v>
      </c>
      <c r="T141" s="21">
        <v>3.191726874</v>
      </c>
      <c r="U141" s="21">
        <v>0.13260618699999999</v>
      </c>
      <c r="V141" s="21">
        <v>0.42301929799999999</v>
      </c>
      <c r="W141" s="18">
        <v>2.6894786709581346</v>
      </c>
      <c r="Y141" s="92">
        <v>1.711465786687381</v>
      </c>
      <c r="Z141" s="20">
        <v>-3.8484985727265535</v>
      </c>
      <c r="AA141" s="10">
        <v>-0.33201968272865479</v>
      </c>
      <c r="AB141" s="17">
        <v>2.8452186605228831</v>
      </c>
      <c r="AC141" s="18">
        <v>0.65649855507976651</v>
      </c>
      <c r="AD141" s="21">
        <v>0.91967966115596933</v>
      </c>
      <c r="AE141" s="21">
        <v>1.3752097955857914</v>
      </c>
      <c r="AF141" s="21">
        <v>1.4073748166763218E-2</v>
      </c>
      <c r="AG141" s="21"/>
      <c r="AH141" s="21">
        <v>0.45413404623474518</v>
      </c>
    </row>
    <row r="142" spans="1:35">
      <c r="A142" s="13" t="s">
        <v>83</v>
      </c>
      <c r="B142" s="13" t="s">
        <v>84</v>
      </c>
      <c r="C142" s="13">
        <v>150</v>
      </c>
      <c r="E142" s="14">
        <v>45650</v>
      </c>
      <c r="H142" s="16">
        <v>15.3</v>
      </c>
      <c r="I142" s="16">
        <v>6.31</v>
      </c>
      <c r="J142" s="16">
        <v>14.28</v>
      </c>
      <c r="P142" s="18">
        <v>1.2048369E-2</v>
      </c>
      <c r="Q142" s="18">
        <v>2.3628221850000002</v>
      </c>
      <c r="R142" s="21" t="s">
        <v>50</v>
      </c>
      <c r="S142" s="21">
        <v>0.68313457600000005</v>
      </c>
      <c r="T142" s="21">
        <v>0.99289841199999995</v>
      </c>
      <c r="U142" s="21">
        <v>1.0989502999999999E-2</v>
      </c>
      <c r="V142" s="21">
        <v>4.5766412999999999E-2</v>
      </c>
      <c r="W142" s="18">
        <v>1.1267944016095754</v>
      </c>
      <c r="Y142" s="92">
        <v>0.2946910820445946</v>
      </c>
      <c r="Z142" s="20">
        <v>-5.0008450063916214</v>
      </c>
      <c r="AA142" s="10">
        <v>-5.7647717365521345</v>
      </c>
      <c r="AB142" s="17">
        <v>1.3211234263787255</v>
      </c>
      <c r="AC142" s="18">
        <v>0.13528477154264595</v>
      </c>
      <c r="AD142" s="21">
        <v>0.36554171204269803</v>
      </c>
      <c r="AE142" s="21">
        <v>0.38789576431442835</v>
      </c>
      <c r="AF142" s="21">
        <v>1.0727584396064086E-2</v>
      </c>
      <c r="AG142" s="21"/>
      <c r="AH142" s="21">
        <v>0.16386601132053571</v>
      </c>
    </row>
    <row r="143" spans="1:35">
      <c r="A143" s="13" t="s">
        <v>83</v>
      </c>
      <c r="B143" s="13" t="s">
        <v>84</v>
      </c>
      <c r="C143" s="13">
        <v>151</v>
      </c>
      <c r="E143" s="14">
        <v>45657</v>
      </c>
      <c r="H143" s="16">
        <v>12.6</v>
      </c>
      <c r="I143" s="16">
        <v>7.09</v>
      </c>
      <c r="J143" s="16">
        <v>6.36</v>
      </c>
      <c r="W143" s="18">
        <v>1.1131871450260868</v>
      </c>
      <c r="Y143" s="92">
        <v>0.188317656</v>
      </c>
      <c r="Z143" s="20">
        <v>-4.4677162333008518</v>
      </c>
      <c r="AA143" s="10">
        <v>-4.130292799588112</v>
      </c>
      <c r="AB143" s="17">
        <v>0.46290297092909261</v>
      </c>
      <c r="AC143" s="18">
        <v>4.4889706000515929E-2</v>
      </c>
      <c r="AD143" s="21">
        <v>0.19300581776684303</v>
      </c>
      <c r="AE143" s="21">
        <v>0.20218550853976175</v>
      </c>
      <c r="AF143" s="21">
        <v>1.0143545869617602E-2</v>
      </c>
      <c r="AG143" s="21"/>
      <c r="AH143" s="21">
        <v>0.27179303842284058</v>
      </c>
    </row>
    <row r="144" spans="1:35">
      <c r="A144" s="13" t="s">
        <v>83</v>
      </c>
      <c r="B144" s="13" t="s">
        <v>84</v>
      </c>
      <c r="C144" s="13">
        <v>152</v>
      </c>
      <c r="E144" s="14">
        <v>45664</v>
      </c>
      <c r="H144" s="86">
        <v>16.399999999999999</v>
      </c>
      <c r="I144" s="86">
        <v>5.65</v>
      </c>
      <c r="J144" s="86">
        <v>42.49</v>
      </c>
      <c r="P144" s="18">
        <v>2.4674002E-2</v>
      </c>
      <c r="Q144" s="18">
        <v>8.3451127110000005</v>
      </c>
      <c r="R144" s="21" t="s">
        <v>50</v>
      </c>
      <c r="S144" s="21">
        <v>1.378136172</v>
      </c>
      <c r="T144" s="21">
        <v>3.3287799819999999</v>
      </c>
      <c r="U144" s="21">
        <v>0.11054940000000001</v>
      </c>
      <c r="V144" s="21">
        <v>3.1493901999999997E-2</v>
      </c>
      <c r="W144" s="18">
        <v>1.9683949076411893</v>
      </c>
      <c r="Y144" s="92"/>
      <c r="Z144" s="20">
        <v>-4.1925083841567199</v>
      </c>
      <c r="AA144" s="10">
        <v>-1.1583262836849277</v>
      </c>
      <c r="AB144" s="17">
        <v>4.0626819318683882</v>
      </c>
      <c r="AC144" s="18">
        <v>0.58731205227098526</v>
      </c>
      <c r="AD144" s="21">
        <v>1.0459787558592388</v>
      </c>
      <c r="AE144" s="21">
        <v>1.3727738922353581</v>
      </c>
      <c r="AF144" s="21">
        <v>1.4103769364342955E-2</v>
      </c>
      <c r="AG144" s="21"/>
      <c r="AH144" s="21">
        <v>0.31603037590897731</v>
      </c>
    </row>
    <row r="145" spans="1:34">
      <c r="A145" s="13" t="s">
        <v>83</v>
      </c>
      <c r="B145" s="13" t="s">
        <v>84</v>
      </c>
      <c r="C145" s="13">
        <v>153</v>
      </c>
      <c r="E145" s="14">
        <v>45671</v>
      </c>
      <c r="H145" s="16">
        <v>14.3</v>
      </c>
      <c r="I145" s="16">
        <v>6.15</v>
      </c>
      <c r="J145" s="16">
        <v>61.74</v>
      </c>
      <c r="P145" s="18">
        <v>2.7208946000000001E-2</v>
      </c>
      <c r="Q145" s="18">
        <v>10.50629144</v>
      </c>
      <c r="R145" s="21" t="s">
        <v>50</v>
      </c>
      <c r="S145" s="21">
        <v>4.1347306140000004</v>
      </c>
      <c r="T145" s="21">
        <v>4.8185181869999996</v>
      </c>
      <c r="U145" s="21">
        <v>0.15938470099999999</v>
      </c>
      <c r="V145" s="21">
        <v>0.26399778400000001</v>
      </c>
      <c r="Y145" s="92">
        <v>1.689907556791546</v>
      </c>
      <c r="Z145" s="20">
        <v>-4.3826645613291735</v>
      </c>
      <c r="AA145" s="10">
        <v>1.8673587151789732</v>
      </c>
      <c r="AB145" s="17">
        <v>5.6902180296302696</v>
      </c>
      <c r="AC145" s="18">
        <v>0.87796910586319321</v>
      </c>
      <c r="AD145" s="21">
        <v>1.5435255967718846</v>
      </c>
      <c r="AE145" s="21">
        <v>1.8200561890094868</v>
      </c>
      <c r="AF145" s="21">
        <v>1.5882792889131723E-2</v>
      </c>
      <c r="AG145" s="21"/>
      <c r="AH145" s="21">
        <v>0.37027937022942331</v>
      </c>
    </row>
    <row r="146" spans="1:34">
      <c r="A146" s="13" t="s">
        <v>83</v>
      </c>
      <c r="B146" s="13" t="s">
        <v>84</v>
      </c>
      <c r="C146" s="13">
        <v>154</v>
      </c>
      <c r="E146" s="14">
        <v>45678</v>
      </c>
      <c r="P146" s="18">
        <v>1.4774270000000001E-2</v>
      </c>
      <c r="Q146" s="18">
        <v>6.8799998809999998</v>
      </c>
      <c r="R146" s="21" t="s">
        <v>50</v>
      </c>
      <c r="S146" s="21">
        <v>2.2881947980000001</v>
      </c>
      <c r="T146" s="21">
        <v>3.351413961</v>
      </c>
      <c r="U146" s="21">
        <v>0.40214793199999999</v>
      </c>
      <c r="V146" s="21">
        <v>0.62172905599999995</v>
      </c>
      <c r="Y146" s="92"/>
      <c r="Z146" s="20">
        <v>-3.9376991067456322</v>
      </c>
      <c r="AA146" s="10">
        <v>-2.9194029193461857</v>
      </c>
      <c r="AB146" s="17">
        <v>3.5505631555850696</v>
      </c>
      <c r="AC146" s="18">
        <v>0.51015259705243554</v>
      </c>
      <c r="AD146" s="21">
        <v>1.1735047322042402</v>
      </c>
      <c r="AE146" s="21">
        <v>1.2035180969927388</v>
      </c>
      <c r="AF146" s="21">
        <v>1.3786390643435335E-2</v>
      </c>
      <c r="AG146" s="21"/>
      <c r="AH146" s="21">
        <v>0.53260552168984054</v>
      </c>
    </row>
    <row r="147" spans="1:34">
      <c r="A147" s="13" t="s">
        <v>83</v>
      </c>
      <c r="B147" s="13" t="s">
        <v>84</v>
      </c>
      <c r="C147" s="13">
        <v>155</v>
      </c>
      <c r="E147" s="14">
        <v>45692</v>
      </c>
      <c r="H147" s="16">
        <v>7.9</v>
      </c>
      <c r="I147" s="16">
        <v>5.75</v>
      </c>
      <c r="J147" s="16">
        <v>66.5</v>
      </c>
      <c r="P147" s="18">
        <v>4.0061691000000003E-2</v>
      </c>
      <c r="Q147" s="18">
        <v>2.6974862960000001</v>
      </c>
      <c r="R147" s="21" t="s">
        <v>50</v>
      </c>
      <c r="S147" s="21">
        <v>0.27250111500000002</v>
      </c>
      <c r="T147" s="21">
        <v>1.535943506</v>
      </c>
      <c r="U147" s="21">
        <v>6.6053071000000005E-2</v>
      </c>
      <c r="V147" s="21">
        <v>2.2557385999999999E-2</v>
      </c>
      <c r="W147" s="18">
        <v>2.2459331233449031</v>
      </c>
      <c r="Y147" s="92">
        <v>0.2489002000836032</v>
      </c>
      <c r="Z147" s="20">
        <v>-4.494683836608945</v>
      </c>
      <c r="AA147" s="10">
        <v>-10.603883230268311</v>
      </c>
      <c r="AB147" s="17">
        <v>1.6134250605087244</v>
      </c>
      <c r="AC147" s="18">
        <v>0.18412776549688156</v>
      </c>
      <c r="AD147" s="21">
        <v>0.67062263243081077</v>
      </c>
      <c r="AE147" s="21">
        <v>0.46567772575257083</v>
      </c>
      <c r="AF147" s="21">
        <v>1.1036794657538899E-2</v>
      </c>
      <c r="AG147" s="21"/>
      <c r="AH147" s="21">
        <v>0.35827312239072184</v>
      </c>
    </row>
    <row r="148" spans="1:34">
      <c r="A148" s="13" t="s">
        <v>83</v>
      </c>
      <c r="B148" s="13" t="s">
        <v>84</v>
      </c>
      <c r="C148" s="13">
        <v>156</v>
      </c>
      <c r="E148" s="14">
        <v>45699</v>
      </c>
      <c r="H148" s="16">
        <v>17.2</v>
      </c>
      <c r="I148" s="16">
        <v>5.74</v>
      </c>
      <c r="J148" s="16">
        <v>24</v>
      </c>
      <c r="P148" s="18">
        <v>2.6100000000000002E-2</v>
      </c>
      <c r="Q148" s="18">
        <v>4.1392945179999998</v>
      </c>
      <c r="R148" s="21">
        <v>8.9999999999999993E-3</v>
      </c>
      <c r="S148" s="21">
        <v>0.31080234400000001</v>
      </c>
      <c r="T148" s="21">
        <v>1.9307422489999999</v>
      </c>
      <c r="U148" s="21">
        <v>2.2370826E-2</v>
      </c>
      <c r="V148" s="21" t="s">
        <v>50</v>
      </c>
      <c r="W148" s="18">
        <v>1.6782787493050157</v>
      </c>
      <c r="Y148" s="92">
        <v>0.30768563198635762</v>
      </c>
      <c r="Z148" s="20">
        <v>-4.7698916857530786</v>
      </c>
      <c r="AA148" s="10">
        <v>-1.5056145652462591</v>
      </c>
      <c r="AB148" s="17">
        <v>2.0342889062550835</v>
      </c>
      <c r="AC148" s="18">
        <v>0.27278662422269595</v>
      </c>
      <c r="AD148" s="21">
        <v>0.67172122219081642</v>
      </c>
      <c r="AE148" s="21">
        <v>0.67523218877280999</v>
      </c>
      <c r="AF148" s="21">
        <v>1.1762157672696378E-2</v>
      </c>
      <c r="AG148" s="21"/>
      <c r="AH148" s="21">
        <v>0.34878101922101101</v>
      </c>
    </row>
    <row r="149" spans="1:34">
      <c r="A149" s="13" t="s">
        <v>83</v>
      </c>
      <c r="B149" s="13" t="s">
        <v>84</v>
      </c>
      <c r="C149" s="13">
        <v>157</v>
      </c>
      <c r="E149" s="14">
        <v>45706</v>
      </c>
      <c r="H149" s="16">
        <v>16.7</v>
      </c>
      <c r="I149" s="16">
        <v>5.75</v>
      </c>
      <c r="J149" s="16">
        <v>9.7899999999999991</v>
      </c>
      <c r="P149" s="18">
        <v>1.61E-2</v>
      </c>
      <c r="Q149" s="18">
        <v>1.08793172</v>
      </c>
      <c r="R149" s="21" t="s">
        <v>50</v>
      </c>
      <c r="S149" s="21">
        <v>0.46703578000000001</v>
      </c>
      <c r="T149" s="21">
        <v>0.778703437</v>
      </c>
      <c r="U149" s="21" t="s">
        <v>50</v>
      </c>
      <c r="V149" s="21">
        <v>3.6901717000000001E-2</v>
      </c>
      <c r="W149" s="18">
        <v>1.0648084562902418</v>
      </c>
      <c r="Y149" s="92">
        <v>0.21070375052675941</v>
      </c>
      <c r="Z149" s="20">
        <v>-7.4863591112875607</v>
      </c>
      <c r="AA149" s="10">
        <v>-37.342343662951485</v>
      </c>
      <c r="AB149" s="17">
        <v>0.68590671078437437</v>
      </c>
      <c r="AC149" s="18">
        <v>7.0334630806712123E-2</v>
      </c>
      <c r="AD149" s="21">
        <v>0.38728901357369422</v>
      </c>
      <c r="AE149" s="21">
        <v>0.2424358136253312</v>
      </c>
      <c r="AF149" s="21">
        <v>1.0053467998906362E-2</v>
      </c>
      <c r="AG149" s="21"/>
      <c r="AH149" s="21">
        <v>0.16546757884990787</v>
      </c>
    </row>
    <row r="150" spans="1:34">
      <c r="A150" s="13" t="s">
        <v>83</v>
      </c>
      <c r="B150" s="13" t="s">
        <v>84</v>
      </c>
      <c r="C150" s="13">
        <v>158</v>
      </c>
      <c r="E150" s="14">
        <v>45713</v>
      </c>
      <c r="H150" s="16">
        <v>12.6</v>
      </c>
      <c r="I150" s="16">
        <v>5.76</v>
      </c>
      <c r="J150" s="16">
        <v>7.66</v>
      </c>
      <c r="P150" s="18">
        <v>4.3999999999999997E-2</v>
      </c>
      <c r="Q150" s="18">
        <v>0.84520009200000001</v>
      </c>
      <c r="R150" s="21" t="s">
        <v>50</v>
      </c>
      <c r="S150" s="21">
        <v>0.13920248199999999</v>
      </c>
      <c r="T150" s="21">
        <v>1.042415291</v>
      </c>
      <c r="U150" s="21">
        <v>5.4856532E-2</v>
      </c>
      <c r="V150" s="21">
        <v>5.7051070000000002E-2</v>
      </c>
      <c r="W150" s="18">
        <v>1.0811649116751956</v>
      </c>
      <c r="Y150" s="92">
        <v>0.76518730454454731</v>
      </c>
      <c r="Z150" s="20">
        <v>-4.8255555848890141</v>
      </c>
      <c r="AA150" s="10">
        <v>-6.2981928507926437</v>
      </c>
      <c r="AB150" s="17">
        <v>0.47162160524129898</v>
      </c>
      <c r="AC150" s="18">
        <v>4.6680173172367327E-2</v>
      </c>
      <c r="AD150" s="21">
        <v>0.2682072875941332</v>
      </c>
      <c r="AE150" s="21">
        <v>0.2367400474387287</v>
      </c>
      <c r="AF150" s="21">
        <v>9.9925389675651847E-3</v>
      </c>
      <c r="AG150" s="21"/>
      <c r="AH150" s="21">
        <v>0.18089541972190457</v>
      </c>
    </row>
    <row r="151" spans="1:34">
      <c r="A151" s="13" t="s">
        <v>83</v>
      </c>
      <c r="B151" s="13" t="s">
        <v>84</v>
      </c>
      <c r="C151" s="13">
        <v>159</v>
      </c>
      <c r="E151" s="14">
        <v>45720</v>
      </c>
      <c r="Y151" s="92"/>
      <c r="AC151" s="18"/>
      <c r="AD151" s="21"/>
      <c r="AE151" s="21"/>
      <c r="AF151" s="21"/>
      <c r="AG151" s="21"/>
      <c r="AH151" s="21"/>
    </row>
    <row r="152" spans="1:34">
      <c r="A152" s="13" t="s">
        <v>83</v>
      </c>
      <c r="B152" s="13" t="s">
        <v>84</v>
      </c>
      <c r="C152" s="13">
        <v>160</v>
      </c>
      <c r="E152" s="14">
        <v>45727</v>
      </c>
      <c r="H152" s="16">
        <v>14.2</v>
      </c>
      <c r="I152" s="16">
        <v>5.89</v>
      </c>
      <c r="J152" s="16">
        <v>11.69</v>
      </c>
      <c r="W152" s="18">
        <v>1.8141857434817015</v>
      </c>
      <c r="Y152" s="92">
        <v>0.11173683740055423</v>
      </c>
      <c r="Z152" s="20">
        <v>-6.1522796954413774</v>
      </c>
      <c r="AA152" s="10">
        <v>-30.142696703473483</v>
      </c>
      <c r="AB152" s="17">
        <v>0.95303663076427947</v>
      </c>
      <c r="AC152" s="18">
        <v>0.15856798897990559</v>
      </c>
      <c r="AD152" s="21">
        <v>0.44205732729527664</v>
      </c>
      <c r="AE152" s="21">
        <v>0.3857089843134805</v>
      </c>
      <c r="AF152" s="21">
        <v>1.1924281459520271E-3</v>
      </c>
      <c r="AG152" s="21"/>
      <c r="AH152" s="21">
        <v>0.25215078474429531</v>
      </c>
    </row>
    <row r="153" spans="1:34">
      <c r="A153" s="13" t="s">
        <v>83</v>
      </c>
      <c r="B153" s="13" t="s">
        <v>84</v>
      </c>
      <c r="C153" s="13">
        <v>161</v>
      </c>
      <c r="E153" s="14">
        <v>45734</v>
      </c>
      <c r="H153" s="16">
        <v>15.6</v>
      </c>
      <c r="I153" s="16">
        <v>5.59</v>
      </c>
      <c r="J153" s="16">
        <v>12.21</v>
      </c>
      <c r="P153" s="18">
        <v>0.20730000000000001</v>
      </c>
      <c r="Q153" s="18">
        <v>1.487728119</v>
      </c>
      <c r="R153" s="21" t="s">
        <v>50</v>
      </c>
      <c r="S153" s="21">
        <v>0.244803096</v>
      </c>
      <c r="T153" s="21">
        <v>1.2688926359999999</v>
      </c>
      <c r="U153" s="21" t="s">
        <v>50</v>
      </c>
      <c r="V153" s="21">
        <v>1.6569236000000001E-2</v>
      </c>
      <c r="Y153" s="92">
        <v>0.16760525610083132</v>
      </c>
      <c r="Z153" s="20">
        <v>-6.0875326497023643</v>
      </c>
      <c r="AA153" s="10">
        <v>-33.291554792556411</v>
      </c>
      <c r="AB153" s="17">
        <v>1.2736841494075197</v>
      </c>
      <c r="AC153" s="18">
        <v>0.18016169492930573</v>
      </c>
      <c r="AD153" s="21">
        <v>0.39793179463957756</v>
      </c>
      <c r="AE153" s="21">
        <v>0.40912591899778172</v>
      </c>
      <c r="AF153" s="21">
        <v>1.7541840268663247E-3</v>
      </c>
      <c r="AG153" s="21"/>
      <c r="AH153" s="21">
        <v>0.27075654640171659</v>
      </c>
    </row>
    <row r="154" spans="1:34">
      <c r="A154" s="13" t="s">
        <v>83</v>
      </c>
      <c r="B154" s="13" t="s">
        <v>84</v>
      </c>
      <c r="C154" s="13">
        <v>162</v>
      </c>
      <c r="E154" s="14">
        <v>45741</v>
      </c>
      <c r="Y154" s="92"/>
      <c r="AC154" s="18"/>
      <c r="AD154" s="21"/>
      <c r="AE154" s="21"/>
      <c r="AF154" s="21"/>
      <c r="AG154" s="21"/>
      <c r="AH154" s="21"/>
    </row>
    <row r="155" spans="1:34">
      <c r="A155" s="13" t="s">
        <v>83</v>
      </c>
      <c r="B155" s="13" t="s">
        <v>84</v>
      </c>
      <c r="C155" s="13">
        <v>163</v>
      </c>
      <c r="E155" s="14">
        <v>45748</v>
      </c>
      <c r="H155" s="16">
        <v>11.3</v>
      </c>
      <c r="I155" s="16">
        <v>5.95</v>
      </c>
      <c r="J155" s="16">
        <v>11.95</v>
      </c>
      <c r="P155" s="18">
        <v>5.4925732999999997E-2</v>
      </c>
      <c r="Q155" s="18">
        <v>0.94726741000000003</v>
      </c>
      <c r="R155" s="21" t="s">
        <v>50</v>
      </c>
      <c r="S155" s="21" t="s">
        <v>50</v>
      </c>
      <c r="T155" s="21">
        <v>1.1135462089999999</v>
      </c>
      <c r="U155" s="21">
        <v>8.9215813000000005E-2</v>
      </c>
      <c r="V155" s="21" t="s">
        <v>50</v>
      </c>
      <c r="W155" s="18">
        <v>5.2750898700213789</v>
      </c>
      <c r="Y155" s="92">
        <v>0.19451214251822457</v>
      </c>
      <c r="Z155" s="20">
        <v>-5.3799876137915064</v>
      </c>
      <c r="AA155" s="10">
        <v>-15.657684103208343</v>
      </c>
      <c r="AB155" s="17">
        <v>0.47135840954596125</v>
      </c>
      <c r="AC155" s="18">
        <v>0.22592256146700204</v>
      </c>
      <c r="AD155" s="21">
        <v>1.2968094319947208</v>
      </c>
      <c r="AE155" s="21">
        <v>0.28463736080759716</v>
      </c>
      <c r="AF155" s="21">
        <v>2.2422511098343941E-4</v>
      </c>
      <c r="AG155" s="21"/>
      <c r="AH155" s="21">
        <v>0.20204961952081105</v>
      </c>
    </row>
    <row r="156" spans="1:34">
      <c r="A156" s="13" t="s">
        <v>83</v>
      </c>
      <c r="B156" s="13" t="s">
        <v>84</v>
      </c>
      <c r="C156" s="13">
        <v>164</v>
      </c>
      <c r="E156" s="14">
        <v>45755</v>
      </c>
      <c r="P156" s="18">
        <v>4.3168146999999997E-2</v>
      </c>
      <c r="Q156" s="18">
        <v>6.2683754220000001</v>
      </c>
      <c r="R156" s="21" t="s">
        <v>50</v>
      </c>
      <c r="S156" s="21">
        <v>9.2185586E-2</v>
      </c>
      <c r="T156" s="21">
        <v>4.3937685709999998</v>
      </c>
      <c r="U156" s="21">
        <v>0.721740732</v>
      </c>
      <c r="V156" s="21">
        <v>5.1680335000000001E-2</v>
      </c>
      <c r="W156" s="18">
        <v>5.5252235366429616</v>
      </c>
      <c r="Y156" s="92"/>
      <c r="Z156" s="20">
        <v>-2.5948634040386236</v>
      </c>
      <c r="AA156" s="10">
        <v>6.000501533323142</v>
      </c>
      <c r="AB156" s="17">
        <v>1.5751182661301886</v>
      </c>
      <c r="AC156" s="18">
        <v>0.62264128380082195</v>
      </c>
      <c r="AD156" s="21">
        <v>5.5639977871227453</v>
      </c>
      <c r="AE156" s="21">
        <v>0.93656084219959224</v>
      </c>
      <c r="AF156" s="21">
        <v>3.655620512084028E-3</v>
      </c>
      <c r="AG156" s="21"/>
      <c r="AH156" s="21">
        <v>0.56255261981600635</v>
      </c>
    </row>
    <row r="157" spans="1:34">
      <c r="A157" s="13" t="s">
        <v>83</v>
      </c>
      <c r="B157" s="13" t="s">
        <v>84</v>
      </c>
      <c r="C157" s="13">
        <v>165</v>
      </c>
      <c r="E157" s="14">
        <v>45762</v>
      </c>
      <c r="H157" s="16">
        <v>15.7</v>
      </c>
      <c r="I157" s="16">
        <v>5.85</v>
      </c>
      <c r="J157" s="16">
        <v>6.4</v>
      </c>
      <c r="P157" s="18">
        <v>2.9089819999999999E-2</v>
      </c>
      <c r="Q157" s="18">
        <v>0.99536228100000002</v>
      </c>
      <c r="R157" s="21" t="s">
        <v>50</v>
      </c>
      <c r="S157" s="21">
        <v>4.0020219000000003E-2</v>
      </c>
      <c r="T157" s="21">
        <v>1.5806027359999999</v>
      </c>
      <c r="U157" s="21">
        <v>5.9302119E-2</v>
      </c>
      <c r="V157" s="21">
        <v>5.6212072000000002E-2</v>
      </c>
      <c r="W157" s="18">
        <v>3.5161787074774074</v>
      </c>
      <c r="Y157" s="92">
        <v>0.22079756718284949</v>
      </c>
      <c r="Z157" s="20">
        <v>-6.5294145494882025</v>
      </c>
      <c r="AA157" s="10">
        <v>-37.991951996961788</v>
      </c>
      <c r="AB157" s="17">
        <v>0.68083483368906772</v>
      </c>
      <c r="AC157" s="18">
        <v>0.24893283649343093</v>
      </c>
      <c r="AD157" s="21">
        <v>0.77764410566181319</v>
      </c>
      <c r="AE157" s="21">
        <v>0.45869103316523507</v>
      </c>
      <c r="AF157" s="21">
        <v>1.2151701808227619E-3</v>
      </c>
      <c r="AG157" s="21"/>
      <c r="AH157" s="21">
        <v>0.39069437023821757</v>
      </c>
    </row>
    <row r="158" spans="1:34">
      <c r="A158" s="13" t="s">
        <v>83</v>
      </c>
      <c r="B158" s="13" t="s">
        <v>84</v>
      </c>
      <c r="C158" s="13">
        <v>166</v>
      </c>
      <c r="E158" s="14">
        <v>45769</v>
      </c>
      <c r="P158" s="18">
        <v>3.8792616000000002E-2</v>
      </c>
      <c r="Q158" s="18">
        <v>1.6891698610000001</v>
      </c>
      <c r="R158" s="21" t="s">
        <v>50</v>
      </c>
      <c r="S158" s="21">
        <v>1.3237036000000001E-2</v>
      </c>
      <c r="T158" s="21">
        <v>1.2509516810000001</v>
      </c>
      <c r="U158" s="21">
        <v>3.8842330000000001E-2</v>
      </c>
      <c r="V158" s="21">
        <v>5.2312913000000003E-2</v>
      </c>
      <c r="W158" s="18">
        <v>6.8681641678144798</v>
      </c>
      <c r="Y158" s="92">
        <v>0.27336841651209942</v>
      </c>
      <c r="Z158" s="20">
        <v>-7.7252324097092426</v>
      </c>
      <c r="AA158" s="10">
        <v>-46.521933881136803</v>
      </c>
      <c r="AB158" s="17">
        <v>0.90686554925141094</v>
      </c>
      <c r="AC158" s="18">
        <v>0.28869788183924622</v>
      </c>
      <c r="AD158" s="21">
        <v>1.2486256704986085</v>
      </c>
      <c r="AE158" s="21">
        <v>0.80898983405801173</v>
      </c>
      <c r="AF158" s="21">
        <v>2.9319421352508217E-3</v>
      </c>
      <c r="AG158" s="21"/>
      <c r="AH158" s="21">
        <v>0.45508461038550213</v>
      </c>
    </row>
    <row r="159" spans="1:34">
      <c r="A159" s="13" t="s">
        <v>83</v>
      </c>
      <c r="B159" s="13" t="s">
        <v>84</v>
      </c>
      <c r="C159" s="13">
        <v>167</v>
      </c>
      <c r="E159" s="14">
        <v>45776</v>
      </c>
      <c r="W159" s="18">
        <v>8.0921941740589922</v>
      </c>
      <c r="Y159" s="92">
        <v>0.33132977932587138</v>
      </c>
      <c r="Z159" s="20">
        <v>-3.7773313579217227</v>
      </c>
      <c r="AA159" s="10">
        <v>-10.762888369493787</v>
      </c>
      <c r="AB159" s="17">
        <v>1.0029322150372832</v>
      </c>
      <c r="AC159" s="18">
        <v>0.63343243696255502</v>
      </c>
      <c r="AD159" s="21">
        <v>1.1925976078431026</v>
      </c>
      <c r="AE159" s="21">
        <v>0.95616292288392102</v>
      </c>
      <c r="AF159" s="21">
        <v>4.01282785173631E-3</v>
      </c>
      <c r="AG159" s="21"/>
      <c r="AH159" s="21">
        <v>0.8726391362536926</v>
      </c>
    </row>
    <row r="160" spans="1:34">
      <c r="A160" s="13" t="s">
        <v>83</v>
      </c>
      <c r="B160" s="13" t="s">
        <v>84</v>
      </c>
      <c r="C160" s="13">
        <v>168</v>
      </c>
      <c r="E160" s="14">
        <v>45783</v>
      </c>
      <c r="P160" s="18">
        <v>5.7557441000000001E-2</v>
      </c>
      <c r="Q160" s="18">
        <v>4.644454273</v>
      </c>
      <c r="R160" s="21" t="s">
        <v>50</v>
      </c>
      <c r="S160" s="21">
        <v>0.16672985100000001</v>
      </c>
      <c r="T160" s="21">
        <v>4.0726301879999998</v>
      </c>
      <c r="U160" s="21">
        <v>0.30653759600000002</v>
      </c>
      <c r="V160" s="21">
        <v>4.5978419E-2</v>
      </c>
      <c r="W160" s="18">
        <v>8.542872867791159</v>
      </c>
      <c r="Y160" s="92">
        <v>0.33132977932587138</v>
      </c>
      <c r="Z160" s="20">
        <v>-2.9986980707613311</v>
      </c>
      <c r="AA160" s="10">
        <v>-7.7477207365739922</v>
      </c>
      <c r="AB160" s="17">
        <v>2.07646912349127</v>
      </c>
      <c r="AC160" s="18">
        <v>0.76960001543959522</v>
      </c>
      <c r="AD160" s="21">
        <v>3.8983062976376703</v>
      </c>
      <c r="AE160" s="21">
        <v>1.0708941138891759</v>
      </c>
      <c r="AF160" s="21">
        <v>4.7370123630779675E-3</v>
      </c>
      <c r="AG160" s="21"/>
      <c r="AH160" s="21">
        <v>1.0330852868089682</v>
      </c>
    </row>
    <row r="161" spans="1:34">
      <c r="A161" s="13" t="s">
        <v>83</v>
      </c>
      <c r="B161" s="13" t="s">
        <v>84</v>
      </c>
      <c r="C161" s="13">
        <v>169</v>
      </c>
      <c r="E161" s="14">
        <v>45790</v>
      </c>
      <c r="H161" s="16">
        <v>17.899999999999999</v>
      </c>
      <c r="I161" s="16">
        <v>6.26</v>
      </c>
      <c r="J161" s="16">
        <v>7.14</v>
      </c>
      <c r="P161" s="18">
        <v>3.3529819000000002E-2</v>
      </c>
      <c r="Q161" s="18">
        <v>0.33112786</v>
      </c>
      <c r="R161" s="21" t="s">
        <v>50</v>
      </c>
      <c r="S161" s="21">
        <v>4.9539247000000002E-2</v>
      </c>
      <c r="T161" s="21">
        <v>0.46225961100000001</v>
      </c>
      <c r="U161" s="21">
        <v>3.9479164999999997E-2</v>
      </c>
      <c r="V161" s="21" t="s">
        <v>50</v>
      </c>
      <c r="W161" s="18">
        <v>1.5484812074082106</v>
      </c>
      <c r="Y161" s="92">
        <v>0.16566488966293569</v>
      </c>
      <c r="Z161" s="20">
        <v>-6.8911970112463967</v>
      </c>
      <c r="AA161" s="10">
        <v>-38.572161941947677</v>
      </c>
      <c r="AB161" s="17">
        <v>0.32132364343630254</v>
      </c>
      <c r="AC161" s="18">
        <v>0.11104148029999485</v>
      </c>
      <c r="AD161" s="21">
        <v>0.36899066841146172</v>
      </c>
      <c r="AE161" s="21">
        <v>0.2305282247056665</v>
      </c>
      <c r="AF161" s="18" t="s">
        <v>51</v>
      </c>
      <c r="AG161" s="21"/>
      <c r="AH161" s="21">
        <v>0.18292941106480343</v>
      </c>
    </row>
    <row r="162" spans="1:34">
      <c r="A162" s="13" t="s">
        <v>83</v>
      </c>
      <c r="B162" s="13" t="s">
        <v>84</v>
      </c>
      <c r="C162" s="13">
        <v>170</v>
      </c>
      <c r="E162" s="14">
        <v>45797</v>
      </c>
      <c r="P162" s="18">
        <v>3.0441804999999999E-2</v>
      </c>
      <c r="Q162" s="18">
        <v>1.5915231999999999</v>
      </c>
      <c r="R162" s="21">
        <v>4.7948616999999999E-2</v>
      </c>
      <c r="S162" s="21">
        <v>0.69921762200000004</v>
      </c>
      <c r="T162" s="21">
        <v>1.5788473940000001</v>
      </c>
      <c r="U162" s="21">
        <v>0.20965616000000001</v>
      </c>
      <c r="V162" s="21">
        <v>0.53041967899999998</v>
      </c>
      <c r="Y162" s="92">
        <v>1.0302285325913811</v>
      </c>
      <c r="Z162" s="20">
        <v>-3.7188588354560448</v>
      </c>
      <c r="AA162" s="10">
        <v>-13.78003324961017</v>
      </c>
      <c r="AB162" s="17">
        <v>0.70835452881563565</v>
      </c>
      <c r="AC162" s="18">
        <v>0.30278371163190437</v>
      </c>
      <c r="AD162" s="21">
        <v>2.1054971323879781</v>
      </c>
      <c r="AE162" s="21">
        <v>0.68796119877903472</v>
      </c>
      <c r="AF162" s="21">
        <v>3.9613016149691125E-3</v>
      </c>
      <c r="AG162" s="21"/>
      <c r="AH162" s="21">
        <v>0.76957335327701959</v>
      </c>
    </row>
    <row r="163" spans="1:34">
      <c r="A163" s="13" t="s">
        <v>83</v>
      </c>
      <c r="B163" s="13" t="s">
        <v>84</v>
      </c>
      <c r="C163" s="13">
        <v>171</v>
      </c>
      <c r="E163" s="14">
        <v>45804</v>
      </c>
      <c r="H163" s="16">
        <v>18</v>
      </c>
      <c r="I163" s="16">
        <v>7.32</v>
      </c>
      <c r="J163" s="16">
        <v>17.36</v>
      </c>
      <c r="W163" s="18">
        <v>5.4604687756432355</v>
      </c>
      <c r="Y163" s="92">
        <v>0.32045931197111832</v>
      </c>
      <c r="Z163" s="20">
        <v>-6.0129579540449898</v>
      </c>
      <c r="AA163" s="10">
        <v>-28.755234536905071</v>
      </c>
      <c r="AB163" s="17">
        <v>0.68441013790638883</v>
      </c>
      <c r="AC163" s="18">
        <v>0.27474994197756458</v>
      </c>
      <c r="AD163" s="21">
        <v>0.88870695256758747</v>
      </c>
      <c r="AE163" s="21">
        <v>1.147502762368152</v>
      </c>
      <c r="AF163" s="21">
        <v>4.1770166387247445E-3</v>
      </c>
      <c r="AG163" s="21"/>
      <c r="AH163" s="21">
        <v>0.51992897710740837</v>
      </c>
    </row>
    <row r="164" spans="1:34">
      <c r="A164" s="13" t="s">
        <v>83</v>
      </c>
      <c r="B164" s="13" t="s">
        <v>84</v>
      </c>
      <c r="C164" s="13">
        <v>172</v>
      </c>
      <c r="E164" s="14">
        <v>45811</v>
      </c>
      <c r="H164" s="16">
        <v>17.2</v>
      </c>
      <c r="I164" s="16">
        <v>6.56</v>
      </c>
      <c r="J164" s="16">
        <v>10.3</v>
      </c>
      <c r="P164" s="18">
        <v>4.5612831999999999E-2</v>
      </c>
      <c r="Q164" s="18">
        <v>0.55355724100000003</v>
      </c>
      <c r="R164" s="21" t="s">
        <v>50</v>
      </c>
      <c r="S164" s="21">
        <v>7.7141782000000006E-2</v>
      </c>
      <c r="T164" s="21">
        <v>0.79394152399999995</v>
      </c>
      <c r="U164" s="21">
        <v>5.1694258E-2</v>
      </c>
      <c r="V164" s="21" t="s">
        <v>50</v>
      </c>
      <c r="W164" s="18">
        <v>3.7711375097601985</v>
      </c>
      <c r="Y164" s="92">
        <v>0.24924613153309197</v>
      </c>
      <c r="Z164" s="20">
        <v>-8.6951856542528727</v>
      </c>
      <c r="AA164" s="10">
        <v>-53.513917056003322</v>
      </c>
      <c r="AB164" s="17">
        <v>0.34879508106992829</v>
      </c>
      <c r="AC164" s="18">
        <v>0.12977082079102692</v>
      </c>
      <c r="AD164" s="21">
        <v>0.74257806062216736</v>
      </c>
      <c r="AE164" s="21">
        <v>0.39405423335625084</v>
      </c>
      <c r="AF164" s="21">
        <v>2.2156222587106427E-3</v>
      </c>
      <c r="AG164" s="21"/>
      <c r="AH164" s="21">
        <v>0.31782504158532898</v>
      </c>
    </row>
    <row r="165" spans="1:34">
      <c r="A165" s="13" t="s">
        <v>83</v>
      </c>
      <c r="B165" s="13" t="s">
        <v>84</v>
      </c>
      <c r="C165" s="13">
        <v>173</v>
      </c>
      <c r="E165" s="14">
        <v>45818</v>
      </c>
      <c r="H165" s="16">
        <v>17</v>
      </c>
      <c r="I165" s="16">
        <v>5.67</v>
      </c>
      <c r="J165" s="16">
        <v>8.43</v>
      </c>
      <c r="P165" s="18">
        <v>4.5374325E-2</v>
      </c>
      <c r="Q165" s="18">
        <v>0.34755158000000003</v>
      </c>
      <c r="R165" s="21">
        <v>1.3373009E-2</v>
      </c>
      <c r="S165" s="21">
        <v>0.17664550100000001</v>
      </c>
      <c r="T165" s="21">
        <v>0.89508086499999995</v>
      </c>
      <c r="U165" s="21">
        <v>3.2755776E-2</v>
      </c>
      <c r="V165" s="21">
        <v>5.6979016E-2</v>
      </c>
      <c r="W165" s="18">
        <v>2.2697109744879205</v>
      </c>
      <c r="Y165" s="92">
        <v>0.21363954131407883</v>
      </c>
      <c r="Z165" s="20">
        <v>-7.992312732812854</v>
      </c>
      <c r="AA165" s="10">
        <v>-50.012594534540057</v>
      </c>
      <c r="AB165" s="17">
        <v>0.22365183777730449</v>
      </c>
      <c r="AC165" s="18">
        <v>0.11566775571084401</v>
      </c>
      <c r="AD165" s="21">
        <v>0.50997324921338372</v>
      </c>
      <c r="AE165" s="21">
        <v>0.35073975569883742</v>
      </c>
      <c r="AF165" s="21">
        <v>1.8421069717001945E-3</v>
      </c>
      <c r="AG165" s="21"/>
      <c r="AH165" s="21">
        <v>0.26315879999228114</v>
      </c>
    </row>
    <row r="166" spans="1:34">
      <c r="A166" s="13" t="s">
        <v>83</v>
      </c>
      <c r="B166" s="13" t="s">
        <v>84</v>
      </c>
      <c r="C166" s="13">
        <v>174</v>
      </c>
      <c r="E166" s="14">
        <v>45825</v>
      </c>
      <c r="H166" s="16">
        <v>18.100000000000001</v>
      </c>
      <c r="I166" s="16">
        <v>5.46</v>
      </c>
      <c r="J166" s="16">
        <v>4.3499999999999996</v>
      </c>
      <c r="P166" s="18">
        <v>4.4479940000000003E-2</v>
      </c>
      <c r="Q166" s="18">
        <v>0.20694368499999999</v>
      </c>
      <c r="R166" s="21" t="s">
        <v>50</v>
      </c>
      <c r="S166" s="21">
        <v>0.26621389600000001</v>
      </c>
      <c r="T166" s="21">
        <v>0.26665778000000001</v>
      </c>
      <c r="U166" s="21" t="s">
        <v>50</v>
      </c>
      <c r="V166" s="21" t="s">
        <v>50</v>
      </c>
      <c r="W166" s="18">
        <v>0.78324541343593279</v>
      </c>
      <c r="Y166" s="92">
        <v>0.18221082467269534</v>
      </c>
      <c r="Z166" s="20">
        <v>-12.588926594050131</v>
      </c>
      <c r="AA166" s="10">
        <v>-86.061016654543124</v>
      </c>
      <c r="AB166" s="17">
        <v>0.1546462266961115</v>
      </c>
      <c r="AC166" s="18">
        <v>5.5023942489826486E-3</v>
      </c>
      <c r="AD166" s="21">
        <v>9.8919859392009812E-2</v>
      </c>
      <c r="AE166" s="21">
        <v>5.9180866183188602E-2</v>
      </c>
      <c r="AF166" s="21">
        <v>1.8587542496603527E-4</v>
      </c>
      <c r="AG166" s="21"/>
      <c r="AH166" s="21">
        <v>0.12212592575949369</v>
      </c>
    </row>
    <row r="167" spans="1:34">
      <c r="A167" s="13" t="s">
        <v>83</v>
      </c>
      <c r="B167" s="13" t="s">
        <v>84</v>
      </c>
      <c r="C167" s="13">
        <v>175</v>
      </c>
      <c r="E167" s="14">
        <v>45832</v>
      </c>
      <c r="H167" s="16">
        <v>22</v>
      </c>
      <c r="I167" s="16">
        <v>5.6</v>
      </c>
      <c r="J167" s="16">
        <v>10.56</v>
      </c>
      <c r="P167" s="18">
        <v>4.8773196999999997E-2</v>
      </c>
      <c r="Q167" s="18">
        <v>0.82758623099999995</v>
      </c>
      <c r="R167" s="21" t="s">
        <v>50</v>
      </c>
      <c r="S167" s="21">
        <v>1.7315151289999999</v>
      </c>
      <c r="T167" s="21">
        <v>1.3866427020000001</v>
      </c>
      <c r="U167" s="21">
        <v>0.76576112500000004</v>
      </c>
      <c r="V167" s="21">
        <v>7.4612841999999999E-2</v>
      </c>
      <c r="W167" s="18">
        <v>4.6524300008084642</v>
      </c>
      <c r="Y167" s="92">
        <v>0.66304494533675251</v>
      </c>
      <c r="Z167" s="20">
        <v>-5.9213959642788589</v>
      </c>
      <c r="AA167" s="10">
        <v>-34.325611675182536</v>
      </c>
      <c r="AB167" s="17">
        <v>0.33663090450658251</v>
      </c>
      <c r="AC167" s="18">
        <v>0.24484046653288732</v>
      </c>
      <c r="AD167" s="21">
        <v>1.5373933839342098</v>
      </c>
      <c r="AE167" s="21">
        <v>0.69301369124124934</v>
      </c>
      <c r="AF167" s="21">
        <v>3.3249103034548111E-3</v>
      </c>
      <c r="AG167" s="21"/>
      <c r="AH167" s="21">
        <v>0.68250909346186583</v>
      </c>
    </row>
    <row r="168" spans="1:34">
      <c r="A168" s="13" t="s">
        <v>83</v>
      </c>
      <c r="B168" s="13" t="s">
        <v>84</v>
      </c>
      <c r="C168" s="13">
        <v>176</v>
      </c>
      <c r="E168" s="14">
        <v>45839</v>
      </c>
      <c r="H168" s="16">
        <v>20.8</v>
      </c>
      <c r="I168" s="16">
        <v>6.34</v>
      </c>
      <c r="J168" s="16">
        <v>76.3</v>
      </c>
      <c r="Y168" s="92"/>
    </row>
    <row r="169" spans="1:34">
      <c r="A169" s="13" t="s">
        <v>83</v>
      </c>
      <c r="B169" s="13" t="s">
        <v>84</v>
      </c>
      <c r="C169" s="13">
        <v>177</v>
      </c>
      <c r="E169" s="14">
        <v>45846</v>
      </c>
      <c r="H169" s="16">
        <v>24.6</v>
      </c>
      <c r="I169" s="16">
        <v>6.51</v>
      </c>
      <c r="J169" s="16">
        <v>87.03</v>
      </c>
      <c r="P169" s="18">
        <v>1.4292466909999999</v>
      </c>
      <c r="Q169" s="18">
        <v>2.8135953090000001</v>
      </c>
      <c r="R169" s="21" t="s">
        <v>50</v>
      </c>
      <c r="S169" s="21">
        <v>6.968793E-3</v>
      </c>
      <c r="T169" s="21">
        <v>9.6603164469999996</v>
      </c>
      <c r="U169" s="21">
        <v>0.24103517199999999</v>
      </c>
      <c r="V169" s="21" t="s">
        <v>50</v>
      </c>
      <c r="W169" s="18">
        <v>51.583548576256653</v>
      </c>
      <c r="Y169" s="92">
        <v>0.47356828193832612</v>
      </c>
      <c r="Z169" s="20">
        <v>-17.586460785476614</v>
      </c>
      <c r="AA169" s="10">
        <v>-129.51819437575679</v>
      </c>
      <c r="AB169" s="17">
        <v>3.4425670104505892</v>
      </c>
      <c r="AC169" s="18">
        <v>1.1698867166321671</v>
      </c>
      <c r="AD169" s="21">
        <v>17.242271764292656</v>
      </c>
      <c r="AE169" s="21">
        <v>2.2539455772711681</v>
      </c>
      <c r="AF169" s="21">
        <v>1.5380998730960656E-2</v>
      </c>
      <c r="AG169" s="21"/>
      <c r="AH169" s="21">
        <v>0.86577531528694196</v>
      </c>
    </row>
    <row r="170" spans="1:34">
      <c r="A170" s="13" t="s">
        <v>83</v>
      </c>
      <c r="B170" s="13" t="s">
        <v>84</v>
      </c>
      <c r="C170" s="13">
        <v>178</v>
      </c>
      <c r="E170" s="14">
        <v>45853</v>
      </c>
      <c r="H170" s="16">
        <v>17.8</v>
      </c>
      <c r="I170" s="16">
        <v>6.87</v>
      </c>
      <c r="J170" s="16">
        <v>25.45</v>
      </c>
      <c r="P170" s="18">
        <v>4.3015910999999997E-2</v>
      </c>
      <c r="Q170" s="18">
        <v>0.57407225100000003</v>
      </c>
      <c r="R170" s="21" t="s">
        <v>50</v>
      </c>
      <c r="S170" s="21">
        <v>1.9554971000000001E-2</v>
      </c>
      <c r="T170" s="21">
        <v>3.4768486109999999</v>
      </c>
      <c r="U170" s="21">
        <v>0.23644496500000001</v>
      </c>
      <c r="V170" s="21" t="s">
        <v>50</v>
      </c>
      <c r="W170" s="18">
        <v>4.9170379872425851</v>
      </c>
      <c r="Y170" s="92">
        <v>0.20925110132158597</v>
      </c>
      <c r="Z170" s="20">
        <v>-9.2418645931506642</v>
      </c>
      <c r="AA170" s="10">
        <v>-63.749041439599921</v>
      </c>
      <c r="AB170" s="17">
        <v>0.29470996639082703</v>
      </c>
      <c r="AC170" s="18">
        <v>0.44331750438312406</v>
      </c>
      <c r="AD170" s="21">
        <v>3.9047690629945246</v>
      </c>
      <c r="AE170" s="21">
        <v>0.83698083581844074</v>
      </c>
      <c r="AF170" s="21">
        <v>3.7922098209821585E-3</v>
      </c>
      <c r="AG170" s="21"/>
      <c r="AH170" s="21">
        <v>0.48635059506504813</v>
      </c>
    </row>
    <row r="171" spans="1:34">
      <c r="A171" s="13" t="s">
        <v>83</v>
      </c>
      <c r="B171" s="13" t="s">
        <v>84</v>
      </c>
      <c r="C171" s="13">
        <v>179</v>
      </c>
      <c r="E171" s="14">
        <v>45860</v>
      </c>
      <c r="H171" s="16">
        <v>18.5</v>
      </c>
      <c r="I171" s="16">
        <v>5.87</v>
      </c>
      <c r="J171" s="16">
        <v>15.07</v>
      </c>
      <c r="P171" s="18">
        <v>2.8589067999999999E-2</v>
      </c>
      <c r="Q171" s="18">
        <v>1.237819757</v>
      </c>
      <c r="R171" s="21">
        <v>8.2000000000000007E-3</v>
      </c>
      <c r="S171" s="21">
        <v>6.7999999999999996E-3</v>
      </c>
      <c r="T171" s="21">
        <v>1.3234406670000001</v>
      </c>
      <c r="U171" s="21">
        <v>1.7784189999999998E-2</v>
      </c>
      <c r="V171" s="21">
        <v>3.1446514000000002E-2</v>
      </c>
      <c r="W171" s="18">
        <v>2.1906037847904303</v>
      </c>
      <c r="Y171" s="92">
        <v>0.18171806167400889</v>
      </c>
      <c r="Z171" s="20">
        <v>-12.11630514687495</v>
      </c>
      <c r="AA171" s="10">
        <v>-81.349062823306383</v>
      </c>
      <c r="AB171" s="17">
        <v>0.67280283570219956</v>
      </c>
      <c r="AC171" s="18">
        <v>0.16456612934335407</v>
      </c>
      <c r="AD171" s="21">
        <v>1.637765900477721</v>
      </c>
      <c r="AE171" s="21">
        <v>0.35100985918363553</v>
      </c>
      <c r="AF171" s="21">
        <v>1.9254005699568973E-3</v>
      </c>
      <c r="AG171" s="21"/>
      <c r="AH171" s="21">
        <v>0.23590757207008395</v>
      </c>
    </row>
    <row r="172" spans="1:34">
      <c r="A172" s="13" t="s">
        <v>83</v>
      </c>
      <c r="B172" s="13" t="s">
        <v>84</v>
      </c>
      <c r="C172" s="13">
        <v>180</v>
      </c>
      <c r="E172" s="14">
        <v>45867</v>
      </c>
      <c r="G172"/>
      <c r="H172" s="16">
        <v>19.600000000000001</v>
      </c>
      <c r="I172" s="16">
        <v>6.06</v>
      </c>
      <c r="J172" s="16">
        <v>7.07</v>
      </c>
      <c r="P172" s="18">
        <v>2.6145384000000001E-2</v>
      </c>
      <c r="Q172" s="18">
        <v>0.90691271399999995</v>
      </c>
      <c r="R172" s="21" t="s">
        <v>50</v>
      </c>
      <c r="S172" s="21">
        <v>1.2692976999999999E-2</v>
      </c>
      <c r="T172" s="21">
        <v>0.91660921200000001</v>
      </c>
      <c r="U172" s="21">
        <v>6.7859177000000007E-2</v>
      </c>
      <c r="V172" s="21">
        <v>4.0046138000000002E-2</v>
      </c>
      <c r="W172" s="18">
        <v>2.626859873150555</v>
      </c>
      <c r="Y172" s="92">
        <v>0.19823788546255514</v>
      </c>
      <c r="Z172" s="20">
        <v>-8.024292104238528</v>
      </c>
      <c r="AA172" s="10">
        <v>-50.853608320533155</v>
      </c>
      <c r="AB172" s="17">
        <v>0.47220908949108276</v>
      </c>
      <c r="AC172" s="18">
        <v>0.14311295520522518</v>
      </c>
      <c r="AD172" s="21">
        <v>1.783566692628914</v>
      </c>
      <c r="AE172" s="21">
        <v>0.36541567470481129</v>
      </c>
      <c r="AF172" s="21">
        <v>1.9933366683596719E-3</v>
      </c>
      <c r="AG172" s="21"/>
      <c r="AH172" s="21">
        <v>0.26134458954576217</v>
      </c>
    </row>
    <row r="173" spans="1:34">
      <c r="A173" s="13" t="s">
        <v>83</v>
      </c>
      <c r="B173" s="13" t="s">
        <v>84</v>
      </c>
      <c r="C173" s="13">
        <v>181</v>
      </c>
      <c r="E173" s="14">
        <v>45875</v>
      </c>
      <c r="H173" s="16">
        <v>20</v>
      </c>
      <c r="I173" s="16">
        <v>6.23</v>
      </c>
      <c r="J173" s="16">
        <v>15.81</v>
      </c>
      <c r="P173" s="18">
        <v>2.8170239999999999E-2</v>
      </c>
      <c r="Q173" s="18">
        <v>0.41800189300000001</v>
      </c>
      <c r="R173" s="21">
        <v>1.9785543999999999E-2</v>
      </c>
      <c r="S173" s="21">
        <v>0.84325294799999995</v>
      </c>
      <c r="T173" s="21">
        <v>1.1135571339999999</v>
      </c>
      <c r="U173" s="21">
        <v>0.23652306300000001</v>
      </c>
      <c r="V173" s="21">
        <v>0.36214114800000002</v>
      </c>
      <c r="W173" s="18">
        <v>3.1149809541306928</v>
      </c>
      <c r="Y173" s="92">
        <v>0.63876651982378874</v>
      </c>
      <c r="Z173" s="20">
        <v>-10.937444528635991</v>
      </c>
      <c r="AA173" s="10">
        <v>-74.963451382125584</v>
      </c>
      <c r="AB173" s="17">
        <v>0.30158146384706619</v>
      </c>
      <c r="AC173" s="18">
        <v>9.3674001980286511E-2</v>
      </c>
      <c r="AD173" s="21">
        <v>2.1875935144350604</v>
      </c>
      <c r="AE173" s="21">
        <v>0.25925396746533114</v>
      </c>
      <c r="AF173" s="21">
        <v>1.365994414513492E-3</v>
      </c>
      <c r="AG173" s="21"/>
      <c r="AH173" s="21">
        <v>0.29123831769730718</v>
      </c>
    </row>
    <row r="174" spans="1:34">
      <c r="A174" s="13" t="s">
        <v>83</v>
      </c>
      <c r="B174" s="13" t="s">
        <v>84</v>
      </c>
      <c r="C174" s="13">
        <v>182</v>
      </c>
      <c r="E174" s="14">
        <v>45881</v>
      </c>
      <c r="H174" s="16">
        <v>23.2</v>
      </c>
      <c r="I174" s="16">
        <v>6.39</v>
      </c>
      <c r="J174" s="16">
        <v>23.96</v>
      </c>
      <c r="P174" s="18">
        <v>3.0403559E-2</v>
      </c>
      <c r="Q174" s="18">
        <v>0.73019626800000004</v>
      </c>
      <c r="R174" s="21" t="s">
        <v>50</v>
      </c>
      <c r="S174" s="21">
        <v>4.3470260280000002</v>
      </c>
      <c r="T174" s="21">
        <v>2.0045340880000002</v>
      </c>
      <c r="U174" s="21">
        <v>0.23914796399999999</v>
      </c>
      <c r="V174" s="21">
        <v>0.42233851700000002</v>
      </c>
      <c r="W174" s="18">
        <v>3.6787122802421099</v>
      </c>
      <c r="Y174" s="92">
        <v>0.38214109825166215</v>
      </c>
      <c r="Z174" s="20">
        <v>-7.4173572970755233</v>
      </c>
      <c r="AA174" s="10">
        <v>-43.539935488121131</v>
      </c>
      <c r="AB174" s="17">
        <v>0.39967340317166733</v>
      </c>
      <c r="AC174" s="18">
        <v>0.28116390939231251</v>
      </c>
      <c r="AD174" s="21">
        <v>2.1992333697329451</v>
      </c>
      <c r="AE174" s="21">
        <v>0.67966065208474036</v>
      </c>
      <c r="AF174" s="21">
        <v>3.3765350290193099E-3</v>
      </c>
      <c r="AG174" s="21"/>
      <c r="AH174" s="21">
        <v>0.56928276051688342</v>
      </c>
    </row>
    <row r="175" spans="1:34">
      <c r="A175" s="13" t="s">
        <v>83</v>
      </c>
      <c r="B175" s="13" t="s">
        <v>84</v>
      </c>
      <c r="C175" s="13">
        <v>183</v>
      </c>
      <c r="E175" s="14">
        <v>45888</v>
      </c>
      <c r="H175" s="16">
        <v>18.5</v>
      </c>
      <c r="I175" s="16">
        <v>5.57</v>
      </c>
      <c r="J175" s="16">
        <v>31.81</v>
      </c>
      <c r="W175" s="18">
        <v>1.7113597070978523</v>
      </c>
      <c r="Y175" s="92">
        <v>0.44497841854670067</v>
      </c>
      <c r="Z175" s="20">
        <v>-7.9507276983393673</v>
      </c>
      <c r="AA175" s="10">
        <v>-46.303391532069071</v>
      </c>
      <c r="AB175" s="17">
        <v>2.4984009817893353</v>
      </c>
      <c r="AC175" s="18">
        <v>0.415789294333684</v>
      </c>
      <c r="AD175" s="21">
        <v>0.80539768336886275</v>
      </c>
      <c r="AE175" s="21">
        <v>0.97404416498732349</v>
      </c>
      <c r="AF175" s="21">
        <v>1.867190229948003E-3</v>
      </c>
      <c r="AG175" s="21"/>
      <c r="AH175" s="21">
        <v>0.27399036419850586</v>
      </c>
    </row>
    <row r="176" spans="1:34">
      <c r="A176" s="13" t="s">
        <v>83</v>
      </c>
      <c r="B176" s="13" t="s">
        <v>84</v>
      </c>
      <c r="C176" s="13">
        <v>184</v>
      </c>
      <c r="E176" s="14">
        <v>45895</v>
      </c>
      <c r="H176" s="16">
        <v>23.2</v>
      </c>
      <c r="I176" s="16">
        <v>6.93</v>
      </c>
      <c r="J176" s="16">
        <v>31.52</v>
      </c>
      <c r="W176" s="18">
        <v>4.3056013771951287</v>
      </c>
      <c r="Y176" s="92">
        <v>1.0512615138165804</v>
      </c>
      <c r="Z176" s="20">
        <v>-8.8956305249625736</v>
      </c>
      <c r="AA176" s="10">
        <v>-56.801481588739442</v>
      </c>
      <c r="AB176" s="17">
        <v>2.1730239728792915</v>
      </c>
      <c r="AC176" s="18">
        <v>0.35866469568506554</v>
      </c>
      <c r="AD176" s="21">
        <v>2.0608670421237596</v>
      </c>
      <c r="AE176" s="21">
        <v>0.91503114765414695</v>
      </c>
      <c r="AF176" s="21">
        <v>1.4071363139957218E-3</v>
      </c>
      <c r="AG176" s="21"/>
      <c r="AH176" s="21">
        <v>0.78169967452766986</v>
      </c>
    </row>
    <row r="177" spans="1:34">
      <c r="A177" s="13" t="s">
        <v>83</v>
      </c>
      <c r="B177" s="13" t="s">
        <v>84</v>
      </c>
      <c r="C177" s="13">
        <v>185</v>
      </c>
      <c r="E177" s="14">
        <v>45902</v>
      </c>
      <c r="Y177" s="92"/>
      <c r="AC177" s="18"/>
      <c r="AD177" s="21"/>
      <c r="AE177" s="21"/>
      <c r="AF177" s="21"/>
      <c r="AG177" s="21"/>
      <c r="AH177" s="21"/>
    </row>
    <row r="178" spans="1:34">
      <c r="A178" s="13" t="s">
        <v>83</v>
      </c>
      <c r="B178" s="13" t="s">
        <v>84</v>
      </c>
      <c r="C178" s="13">
        <v>186</v>
      </c>
      <c r="E178" s="14">
        <v>45909</v>
      </c>
      <c r="H178" s="16">
        <v>14.7</v>
      </c>
      <c r="I178" s="16">
        <v>5.95</v>
      </c>
      <c r="J178" s="16">
        <v>14.21</v>
      </c>
      <c r="W178" s="18">
        <v>4.1926745248105464</v>
      </c>
      <c r="Y178" s="92"/>
      <c r="Z178" s="20">
        <v>-7.7494506876519118</v>
      </c>
      <c r="AA178" s="10">
        <v>-46.721452553524848</v>
      </c>
      <c r="AB178" s="17">
        <v>0.6195566581259293</v>
      </c>
      <c r="AC178" s="18">
        <v>0.11521421334799443</v>
      </c>
      <c r="AD178" s="21">
        <v>1.2643487029471743</v>
      </c>
      <c r="AE178" s="21">
        <v>0.3959251119811682</v>
      </c>
      <c r="AF178" s="18" t="s">
        <v>51</v>
      </c>
      <c r="AG178" s="21"/>
      <c r="AH178" s="21">
        <v>0.50347465872773733</v>
      </c>
    </row>
    <row r="179" spans="1:34">
      <c r="A179" s="13" t="s">
        <v>83</v>
      </c>
      <c r="B179" s="13" t="s">
        <v>84</v>
      </c>
      <c r="C179" s="13">
        <v>187</v>
      </c>
      <c r="E179" s="14">
        <v>45916</v>
      </c>
      <c r="Y179" s="92"/>
      <c r="AC179" s="18"/>
      <c r="AD179" s="21"/>
      <c r="AE179" s="21"/>
      <c r="AF179" s="21"/>
      <c r="AG179" s="21"/>
      <c r="AH179" s="21"/>
    </row>
    <row r="180" spans="1:34">
      <c r="A180" s="13" t="s">
        <v>83</v>
      </c>
      <c r="B180" s="13" t="s">
        <v>84</v>
      </c>
      <c r="C180" s="13">
        <v>188</v>
      </c>
      <c r="E180" s="14">
        <v>45924</v>
      </c>
      <c r="H180" s="16">
        <v>15.7</v>
      </c>
      <c r="I180" s="16">
        <v>6.02</v>
      </c>
      <c r="J180" s="16">
        <v>12.32</v>
      </c>
      <c r="W180" s="18">
        <v>1.4618177001244719</v>
      </c>
      <c r="Y180" s="92">
        <v>7.4053970223325077E-2</v>
      </c>
      <c r="Z180" s="20">
        <v>-8.5597108723135378</v>
      </c>
      <c r="AA180" s="10">
        <v>-50.716824348006668</v>
      </c>
      <c r="AB180" s="17">
        <v>1.0769045059148101</v>
      </c>
      <c r="AC180" s="18">
        <v>5.7361540823068741E-2</v>
      </c>
      <c r="AD180" s="21">
        <v>0.4178891559123683</v>
      </c>
      <c r="AE180" s="21">
        <v>0.27856714305270508</v>
      </c>
      <c r="AF180" s="18" t="s">
        <v>51</v>
      </c>
      <c r="AG180" s="21"/>
      <c r="AH180" s="21">
        <v>0.15740432384234221</v>
      </c>
    </row>
    <row r="181" spans="1:34">
      <c r="A181" s="13" t="s">
        <v>83</v>
      </c>
      <c r="B181" s="13" t="s">
        <v>84</v>
      </c>
      <c r="C181" s="13">
        <v>189</v>
      </c>
      <c r="E181" s="14">
        <v>45930</v>
      </c>
      <c r="H181" s="16">
        <v>21.3</v>
      </c>
      <c r="I181" s="16">
        <v>7.35</v>
      </c>
      <c r="J181" s="16">
        <v>27.16</v>
      </c>
      <c r="W181" s="18">
        <v>1.8858215254211672</v>
      </c>
      <c r="Y181" s="92">
        <v>0.26170017882845564</v>
      </c>
      <c r="Z181" s="20">
        <v>-8.7225185567262624</v>
      </c>
      <c r="AA181" s="10">
        <v>-53.435240648497164</v>
      </c>
      <c r="AB181" s="17">
        <v>1.8332661955890468</v>
      </c>
      <c r="AC181" s="18">
        <v>0.21533870429285368</v>
      </c>
      <c r="AD181" s="21">
        <v>0.57365170598589776</v>
      </c>
      <c r="AE181" s="21">
        <v>0.46423422903292133</v>
      </c>
      <c r="AF181" s="18" t="s">
        <v>51</v>
      </c>
      <c r="AG181" s="21"/>
      <c r="AH181" s="21">
        <v>0.32798503680521068</v>
      </c>
    </row>
    <row r="182" spans="1:34">
      <c r="A182" s="13" t="s">
        <v>83</v>
      </c>
      <c r="B182" s="13" t="s">
        <v>84</v>
      </c>
      <c r="C182" s="13">
        <v>190</v>
      </c>
      <c r="E182" s="14">
        <v>45937</v>
      </c>
      <c r="Y182" s="92"/>
      <c r="AC182" s="18"/>
      <c r="AD182" s="21"/>
      <c r="AE182" s="21"/>
      <c r="AF182" s="21"/>
      <c r="AG182" s="21"/>
      <c r="AH182" s="21"/>
    </row>
    <row r="183" spans="1:34">
      <c r="A183" s="13" t="s">
        <v>83</v>
      </c>
      <c r="B183" s="13" t="s">
        <v>84</v>
      </c>
      <c r="C183" s="13">
        <v>191</v>
      </c>
      <c r="E183" s="14">
        <v>45943</v>
      </c>
      <c r="Y183" s="92"/>
      <c r="AC183" s="18"/>
      <c r="AD183" s="21"/>
      <c r="AE183" s="21"/>
      <c r="AF183" s="21"/>
      <c r="AG183" s="21"/>
      <c r="AH183" s="21"/>
    </row>
    <row r="184" spans="1:34">
      <c r="A184" s="13" t="s">
        <v>83</v>
      </c>
      <c r="B184" s="13" t="s">
        <v>84</v>
      </c>
      <c r="C184" s="13">
        <v>192</v>
      </c>
      <c r="E184" s="14">
        <v>45952</v>
      </c>
      <c r="H184" s="16">
        <v>14.8</v>
      </c>
      <c r="I184" s="16">
        <v>6.44</v>
      </c>
      <c r="J184" s="16">
        <v>5.58</v>
      </c>
      <c r="W184" s="18">
        <v>1.081089248493583</v>
      </c>
      <c r="Y184" s="92">
        <v>7.8990901571546729E-2</v>
      </c>
      <c r="Z184" s="20">
        <v>-6.9553338809805751</v>
      </c>
      <c r="AA184" s="10">
        <v>-35.006227116502345</v>
      </c>
      <c r="AB184" s="17">
        <v>0.28711861037541103</v>
      </c>
      <c r="AC184" s="18">
        <v>1.4921390539456198E-2</v>
      </c>
      <c r="AD184" s="21">
        <v>0.28049969121786333</v>
      </c>
      <c r="AE184" s="21">
        <v>0.2018435386202182</v>
      </c>
      <c r="AF184" s="18" t="s">
        <v>51</v>
      </c>
      <c r="AG184" s="21"/>
      <c r="AH184" s="21">
        <v>0.15070328887018636</v>
      </c>
    </row>
    <row r="185" spans="1:34">
      <c r="A185" s="13" t="s">
        <v>83</v>
      </c>
      <c r="B185" s="13" t="s">
        <v>84</v>
      </c>
      <c r="C185" s="13">
        <v>193</v>
      </c>
      <c r="E185" s="14">
        <v>45958</v>
      </c>
      <c r="H185" s="16">
        <v>17.100000000000001</v>
      </c>
      <c r="I185" s="16">
        <v>5.94</v>
      </c>
      <c r="J185" s="16">
        <v>7.66</v>
      </c>
      <c r="W185" s="18">
        <v>0.82378114385482737</v>
      </c>
      <c r="Y185" s="92">
        <v>7.8990901571546729E-2</v>
      </c>
      <c r="Z185" s="20">
        <v>-6.0090571498475587</v>
      </c>
      <c r="AA185" s="10">
        <v>-21.692173187668477</v>
      </c>
      <c r="AB185" s="17">
        <v>0.44638594097798012</v>
      </c>
      <c r="AC185" s="18">
        <v>2.257589383976628E-2</v>
      </c>
      <c r="AD185" s="21">
        <v>0.19759988455077265</v>
      </c>
      <c r="AE185" s="21">
        <v>0.2333189985458532</v>
      </c>
      <c r="AF185" s="18" t="s">
        <v>51</v>
      </c>
      <c r="AG185" s="21"/>
      <c r="AH185" s="21">
        <v>0.15606833379627716</v>
      </c>
    </row>
    <row r="186" spans="1:34">
      <c r="A186" s="13" t="s">
        <v>83</v>
      </c>
      <c r="B186" s="13" t="s">
        <v>84</v>
      </c>
      <c r="C186" s="13">
        <v>194</v>
      </c>
      <c r="E186" s="14">
        <v>45965</v>
      </c>
      <c r="H186" s="16">
        <v>16.2</v>
      </c>
      <c r="I186" s="16">
        <v>7.91</v>
      </c>
      <c r="J186" s="16">
        <v>13.95</v>
      </c>
      <c r="W186" s="18">
        <v>1.0638652116152891</v>
      </c>
      <c r="Y186" s="92"/>
      <c r="Z186" s="20">
        <v>-4.9315725380274991</v>
      </c>
      <c r="AA186" s="10">
        <v>-7.4651827518181779</v>
      </c>
      <c r="AB186" s="17">
        <v>0.80116855437682721</v>
      </c>
      <c r="AC186" s="18">
        <v>0.13546409243893709</v>
      </c>
      <c r="AD186" s="21">
        <v>0.4328701635197631</v>
      </c>
      <c r="AE186" s="21">
        <v>0.50841763281871977</v>
      </c>
      <c r="AF186" s="18" t="s">
        <v>51</v>
      </c>
      <c r="AG186" s="21"/>
      <c r="AH186" s="21">
        <v>0.22285223083065742</v>
      </c>
    </row>
    <row r="187" spans="1:34">
      <c r="A187" s="13" t="s">
        <v>83</v>
      </c>
      <c r="B187" s="13" t="s">
        <v>84</v>
      </c>
      <c r="C187" s="13">
        <v>195</v>
      </c>
      <c r="E187" s="14">
        <v>45974</v>
      </c>
      <c r="H187" s="16">
        <v>14.5</v>
      </c>
      <c r="I187" s="16">
        <v>7.08</v>
      </c>
      <c r="J187" s="16">
        <v>9.93</v>
      </c>
      <c r="W187" s="18">
        <v>0.63057219155011235</v>
      </c>
      <c r="Y187" s="92"/>
      <c r="Z187" s="20">
        <v>-7.0386892451238348</v>
      </c>
      <c r="AA187" s="10">
        <v>-36.858519210581662</v>
      </c>
      <c r="AB187" s="17">
        <v>0.51753002919896174</v>
      </c>
      <c r="AC187" s="18">
        <v>6.7731198599519704E-2</v>
      </c>
      <c r="AD187" s="21">
        <v>0.12930712363331109</v>
      </c>
      <c r="AE187" s="21">
        <v>0.21425217648379175</v>
      </c>
      <c r="AF187" s="21">
        <v>6.6480755414902795E-3</v>
      </c>
      <c r="AG187" s="21"/>
      <c r="AH187" s="21">
        <v>8.4860173658972859E-2</v>
      </c>
    </row>
    <row r="188" spans="1:34">
      <c r="A188" s="13" t="s">
        <v>83</v>
      </c>
      <c r="B188" s="13" t="s">
        <v>84</v>
      </c>
      <c r="C188" s="13">
        <v>196</v>
      </c>
      <c r="E188" s="14">
        <v>45979</v>
      </c>
      <c r="H188" s="16">
        <v>12.2</v>
      </c>
      <c r="I188" s="16">
        <v>5.99</v>
      </c>
      <c r="J188" s="16">
        <v>10.63</v>
      </c>
      <c r="W188" s="18">
        <v>1.0357526225227416</v>
      </c>
      <c r="Y188" s="92"/>
      <c r="Z188" s="20">
        <v>-6.0820017965081927</v>
      </c>
      <c r="AA188" s="10">
        <v>-23.870541848942466</v>
      </c>
      <c r="AB188" s="17">
        <v>0.83705181339470081</v>
      </c>
      <c r="AC188" s="18">
        <v>0.13564287040014014</v>
      </c>
      <c r="AD188" s="21">
        <v>0.21801385193907336</v>
      </c>
      <c r="AE188" s="21">
        <v>0.33989272866702985</v>
      </c>
      <c r="AF188" s="21">
        <v>7.2836536921009071E-3</v>
      </c>
      <c r="AG188" s="21"/>
      <c r="AH188" s="21">
        <v>9.7873518418467864E-2</v>
      </c>
    </row>
    <row r="189" spans="1:34">
      <c r="A189" s="13" t="s">
        <v>83</v>
      </c>
      <c r="B189" s="13" t="s">
        <v>84</v>
      </c>
      <c r="C189" s="13">
        <v>197</v>
      </c>
      <c r="E189" s="14">
        <v>45986</v>
      </c>
      <c r="H189" s="16">
        <v>14.3</v>
      </c>
      <c r="I189" s="16">
        <v>7.83</v>
      </c>
      <c r="J189" s="16">
        <v>58.81</v>
      </c>
      <c r="W189" s="18">
        <v>1.2813905206131329</v>
      </c>
      <c r="Y189" s="92"/>
      <c r="Z189" s="20">
        <v>-4.7291530255583201</v>
      </c>
      <c r="AA189" s="10">
        <v>-2.5169261647606671</v>
      </c>
      <c r="AB189" s="17">
        <v>5.181574942604831</v>
      </c>
      <c r="AC189" s="18">
        <v>0.83472396544378846</v>
      </c>
      <c r="AD189" s="21">
        <v>0.94383579307615229</v>
      </c>
      <c r="AE189" s="21">
        <v>1.8132937704079419</v>
      </c>
      <c r="AF189" s="21">
        <v>1.4582170790287771E-2</v>
      </c>
      <c r="AG189" s="21"/>
      <c r="AH189" s="21">
        <v>0.26706271549685606</v>
      </c>
    </row>
    <row r="190" spans="1:34">
      <c r="A190" s="13" t="s">
        <v>83</v>
      </c>
      <c r="B190" s="13" t="s">
        <v>84</v>
      </c>
      <c r="C190" s="13">
        <v>198</v>
      </c>
      <c r="E190" s="14">
        <v>45993</v>
      </c>
      <c r="Y190" s="92"/>
      <c r="AC190" s="18"/>
      <c r="AD190" s="21"/>
      <c r="AE190" s="21"/>
      <c r="AF190" s="21"/>
      <c r="AG190" s="21"/>
      <c r="AH190" s="21"/>
    </row>
    <row r="191" spans="1:34">
      <c r="A191" s="13" t="s">
        <v>83</v>
      </c>
      <c r="B191" s="13" t="s">
        <v>84</v>
      </c>
      <c r="C191" s="13">
        <v>199</v>
      </c>
      <c r="E191" s="14">
        <v>46000</v>
      </c>
      <c r="H191" s="16">
        <v>19.899999999999999</v>
      </c>
      <c r="I191" s="16">
        <v>5.9</v>
      </c>
      <c r="J191" s="16">
        <v>42.8</v>
      </c>
      <c r="W191" s="18">
        <v>2.0949048937986832</v>
      </c>
      <c r="Y191" s="92"/>
      <c r="Z191" s="20">
        <v>-3.9614148601127264</v>
      </c>
      <c r="AA191" s="10">
        <v>3.4640867281901442</v>
      </c>
      <c r="AB191" s="17">
        <v>4.097233836527451</v>
      </c>
      <c r="AC191" s="18">
        <v>0.61707147487184733</v>
      </c>
      <c r="AD191" s="21">
        <v>0.61238722094236697</v>
      </c>
      <c r="AE191" s="21">
        <v>1.2901834065215065</v>
      </c>
      <c r="AF191" s="21">
        <v>1.1731483452395367E-2</v>
      </c>
      <c r="AG191" s="21"/>
      <c r="AH191" s="21">
        <v>0.30687002637401495</v>
      </c>
    </row>
    <row r="192" spans="1:34">
      <c r="A192" s="13" t="s">
        <v>83</v>
      </c>
      <c r="B192" s="13" t="s">
        <v>84</v>
      </c>
      <c r="C192" s="13">
        <v>200</v>
      </c>
      <c r="E192" s="14">
        <v>46007</v>
      </c>
      <c r="H192" s="16">
        <v>18.7</v>
      </c>
      <c r="I192" s="16">
        <v>5.6</v>
      </c>
      <c r="J192" s="16">
        <v>31.22</v>
      </c>
      <c r="W192" s="18">
        <v>1.6153952312451578</v>
      </c>
      <c r="Y192" s="92"/>
      <c r="Z192" s="20">
        <v>-3.7145164473459147</v>
      </c>
      <c r="AA192" s="10">
        <v>2.0519272471647687</v>
      </c>
      <c r="AB192" s="17">
        <v>3.1000463330431041</v>
      </c>
      <c r="AC192" s="18">
        <v>0.42106525091879554</v>
      </c>
      <c r="AD192" s="21">
        <v>0.51453817554210091</v>
      </c>
      <c r="AE192" s="21">
        <v>0.93003173513224113</v>
      </c>
      <c r="AF192" s="21">
        <v>9.8941517541535923E-3</v>
      </c>
      <c r="AG192" s="21"/>
      <c r="AH192" s="21">
        <v>0.26673386726653703</v>
      </c>
    </row>
    <row r="193" spans="1:34">
      <c r="A193" s="13" t="s">
        <v>83</v>
      </c>
      <c r="B193" s="13" t="s">
        <v>84</v>
      </c>
      <c r="C193" s="13">
        <v>201</v>
      </c>
      <c r="E193" s="14">
        <v>46014</v>
      </c>
      <c r="H193" s="16">
        <v>19.899999999999999</v>
      </c>
      <c r="I193" s="16">
        <v>5.89</v>
      </c>
      <c r="J193" s="16">
        <v>33.61</v>
      </c>
      <c r="Y193" s="92"/>
      <c r="Z193" s="20">
        <v>-4.0903077726097683</v>
      </c>
      <c r="AA193" s="10">
        <v>-0.52024518679340481</v>
      </c>
      <c r="AB193" s="17">
        <v>3.1254889148973386</v>
      </c>
      <c r="AC193" s="18">
        <v>0.46560244886901964</v>
      </c>
      <c r="AD193" s="21">
        <v>0.64388341227267099</v>
      </c>
      <c r="AE193" s="21">
        <v>1.0455148177349753</v>
      </c>
      <c r="AF193" s="21">
        <v>1.0673469435563156E-2</v>
      </c>
      <c r="AG193" s="21"/>
      <c r="AH193" s="21">
        <v>0.25874234396829077</v>
      </c>
    </row>
    <row r="194" spans="1:34">
      <c r="A194" s="13" t="s">
        <v>83</v>
      </c>
      <c r="B194" s="13" t="s">
        <v>84</v>
      </c>
      <c r="C194" s="13">
        <v>202</v>
      </c>
      <c r="E194" s="14">
        <v>46021</v>
      </c>
      <c r="H194" s="16">
        <v>15.4</v>
      </c>
      <c r="I194" s="16">
        <v>5.78</v>
      </c>
      <c r="J194" s="16">
        <v>11.92</v>
      </c>
      <c r="Y194" s="92"/>
      <c r="Z194" s="20">
        <v>-5.0638531498353769</v>
      </c>
      <c r="AA194" s="10">
        <v>-6.2668243242862438</v>
      </c>
      <c r="AB194" s="17">
        <v>1.139403468396575</v>
      </c>
      <c r="AC194" s="18">
        <v>0.14385794870593288</v>
      </c>
      <c r="AD194" s="21">
        <v>0.20360343380391815</v>
      </c>
      <c r="AE194" s="21">
        <v>0.65023003378867283</v>
      </c>
      <c r="AF194" s="21">
        <v>7.9355729202917127E-3</v>
      </c>
      <c r="AG194" s="21"/>
      <c r="AH194" s="21">
        <v>0.17669330567168851</v>
      </c>
    </row>
    <row r="195" spans="1:34">
      <c r="A195" s="13" t="s">
        <v>83</v>
      </c>
      <c r="B195" s="13" t="s">
        <v>84</v>
      </c>
      <c r="C195" s="13">
        <v>203</v>
      </c>
      <c r="E195" s="14">
        <v>46028</v>
      </c>
      <c r="H195" s="16">
        <v>15.9</v>
      </c>
      <c r="I195" s="16">
        <v>5.98</v>
      </c>
      <c r="J195" s="16">
        <v>116.2</v>
      </c>
      <c r="Y195" s="92"/>
      <c r="AC195" s="18"/>
      <c r="AD195" s="21"/>
      <c r="AE195" s="21"/>
      <c r="AF195" s="21"/>
      <c r="AG195" s="21"/>
      <c r="AH195" s="21"/>
    </row>
    <row r="196" spans="1:34">
      <c r="A196" s="13" t="s">
        <v>83</v>
      </c>
      <c r="B196" s="13" t="s">
        <v>84</v>
      </c>
      <c r="C196" s="13">
        <v>204</v>
      </c>
      <c r="E196" s="14">
        <v>46035</v>
      </c>
      <c r="Y196" s="92"/>
      <c r="AC196" s="18"/>
      <c r="AD196" s="21"/>
      <c r="AE196" s="21"/>
      <c r="AF196" s="21"/>
      <c r="AG196" s="21"/>
      <c r="AH196" s="21"/>
    </row>
    <row r="197" spans="1:34">
      <c r="A197" s="13" t="s">
        <v>83</v>
      </c>
      <c r="B197" s="13" t="s">
        <v>84</v>
      </c>
      <c r="C197" s="13">
        <v>205</v>
      </c>
      <c r="E197" s="14">
        <v>46042</v>
      </c>
      <c r="Y197" s="92"/>
      <c r="AC197" s="18"/>
      <c r="AD197" s="21"/>
      <c r="AE197" s="21"/>
      <c r="AF197" s="21"/>
      <c r="AG197" s="21"/>
      <c r="AH197" s="21"/>
    </row>
    <row r="198" spans="1:34">
      <c r="A198" s="13" t="s">
        <v>83</v>
      </c>
      <c r="B198" s="13" t="s">
        <v>84</v>
      </c>
      <c r="C198" s="13">
        <v>206</v>
      </c>
      <c r="E198" s="14">
        <v>46049</v>
      </c>
      <c r="Y198" s="92"/>
      <c r="AC198" s="18"/>
      <c r="AD198" s="21"/>
      <c r="AE198" s="21"/>
      <c r="AF198" s="21"/>
      <c r="AG198" s="21"/>
      <c r="AH198" s="21"/>
    </row>
    <row r="199" spans="1:34">
      <c r="A199" s="13" t="s">
        <v>83</v>
      </c>
      <c r="B199" s="13" t="s">
        <v>84</v>
      </c>
      <c r="C199" s="13">
        <v>207</v>
      </c>
      <c r="E199" s="14">
        <v>46056</v>
      </c>
      <c r="H199" s="16">
        <v>13.3</v>
      </c>
      <c r="I199" s="16">
        <v>5.0199999999999996</v>
      </c>
      <c r="J199" s="16">
        <v>20.059999999999999</v>
      </c>
      <c r="Y199" s="92"/>
      <c r="AC199" s="18"/>
      <c r="AD199" s="21"/>
      <c r="AE199" s="21"/>
      <c r="AF199" s="21"/>
      <c r="AG199" s="21"/>
      <c r="AH199" s="21"/>
    </row>
    <row r="200" spans="1:34">
      <c r="Y200" s="92"/>
      <c r="AC200" s="18"/>
      <c r="AD200" s="21"/>
      <c r="AE200" s="21"/>
      <c r="AF200" s="21"/>
      <c r="AG200" s="21"/>
      <c r="AH200" s="21"/>
    </row>
    <row r="201" spans="1:34">
      <c r="Y201" s="92"/>
      <c r="AC201" s="18"/>
      <c r="AD201" s="21"/>
      <c r="AE201" s="21"/>
      <c r="AF201" s="21"/>
      <c r="AG201" s="21"/>
      <c r="AH201" s="21"/>
    </row>
    <row r="202" spans="1:34">
      <c r="Y202" s="92"/>
      <c r="AC202" s="18"/>
      <c r="AD202" s="21"/>
      <c r="AE202" s="21"/>
      <c r="AF202" s="21"/>
      <c r="AG202" s="21"/>
      <c r="AH202" s="21"/>
    </row>
    <row r="203" spans="1:34">
      <c r="Y203" s="92"/>
      <c r="AC203" s="18"/>
      <c r="AD203" s="21"/>
      <c r="AE203" s="21"/>
      <c r="AF203" s="21"/>
      <c r="AG203" s="21"/>
      <c r="AH203" s="21"/>
    </row>
    <row r="204" spans="1:34">
      <c r="Y204" s="92"/>
      <c r="AC204" s="18"/>
      <c r="AD204" s="21"/>
      <c r="AE204" s="21"/>
      <c r="AF204" s="21"/>
      <c r="AG204" s="21"/>
      <c r="AH204" s="21"/>
    </row>
    <row r="205" spans="1:34">
      <c r="Y205" s="92"/>
      <c r="AC205" s="18"/>
      <c r="AD205" s="21"/>
      <c r="AE205" s="21"/>
      <c r="AF205" s="21"/>
      <c r="AG205" s="21"/>
      <c r="AH205" s="21"/>
    </row>
    <row r="206" spans="1:34">
      <c r="Y206" s="92"/>
      <c r="AC206" s="18"/>
      <c r="AD206" s="21"/>
      <c r="AE206" s="21"/>
      <c r="AF206" s="21"/>
      <c r="AG206" s="21"/>
      <c r="AH206" s="21"/>
    </row>
    <row r="207" spans="1:34">
      <c r="Y207" s="92"/>
      <c r="AC207" s="18"/>
      <c r="AD207" s="21"/>
      <c r="AE207" s="21"/>
      <c r="AF207" s="21"/>
      <c r="AG207" s="21"/>
      <c r="AH207" s="21"/>
    </row>
    <row r="208" spans="1:34">
      <c r="Y208" s="92"/>
      <c r="AC208" s="18"/>
      <c r="AD208" s="21"/>
      <c r="AE208" s="21"/>
      <c r="AF208" s="21"/>
      <c r="AG208" s="21"/>
      <c r="AH208" s="21"/>
    </row>
    <row r="209" spans="25:34">
      <c r="Y209" s="92"/>
      <c r="AC209" s="18"/>
      <c r="AD209" s="21"/>
      <c r="AE209" s="21"/>
      <c r="AF209" s="21"/>
      <c r="AG209" s="21"/>
      <c r="AH209" s="21"/>
    </row>
    <row r="210" spans="25:34">
      <c r="Y210" s="92"/>
      <c r="AC210" s="18"/>
      <c r="AD210" s="21"/>
      <c r="AE210" s="21"/>
      <c r="AF210" s="21"/>
      <c r="AG210" s="21"/>
      <c r="AH210" s="21"/>
    </row>
    <row r="211" spans="25:34">
      <c r="Y211" s="92"/>
      <c r="AC211" s="18"/>
      <c r="AD211" s="21"/>
      <c r="AE211" s="21"/>
      <c r="AF211" s="21"/>
      <c r="AG211" s="21"/>
      <c r="AH211" s="21"/>
    </row>
    <row r="212" spans="25:34">
      <c r="Y212" s="92"/>
      <c r="AC212" s="18"/>
      <c r="AD212" s="21"/>
      <c r="AE212" s="21"/>
      <c r="AF212" s="21"/>
      <c r="AG212" s="21"/>
      <c r="AH212" s="21"/>
    </row>
    <row r="213" spans="25:34">
      <c r="Y213" s="92"/>
      <c r="AC213" s="18"/>
      <c r="AD213" s="21"/>
      <c r="AE213" s="21"/>
      <c r="AF213" s="21"/>
      <c r="AG213" s="21"/>
      <c r="AH213" s="21"/>
    </row>
    <row r="214" spans="25:34">
      <c r="Y214" s="92"/>
    </row>
    <row r="215" spans="25:34">
      <c r="Y215" s="92"/>
    </row>
    <row r="216" spans="25:34">
      <c r="Y216" s="92"/>
    </row>
    <row r="217" spans="25:34">
      <c r="Y217" s="92"/>
    </row>
    <row r="218" spans="25:34">
      <c r="Y218" s="92"/>
    </row>
    <row r="219" spans="25:34">
      <c r="Y219" s="92"/>
    </row>
    <row r="220" spans="25:34">
      <c r="Y220" s="92"/>
    </row>
    <row r="221" spans="25:34">
      <c r="Y221" s="92"/>
    </row>
    <row r="222" spans="25:34">
      <c r="Y222" s="92"/>
    </row>
    <row r="223" spans="25:34">
      <c r="Y223" s="92"/>
    </row>
    <row r="224" spans="25:34">
      <c r="Y224" s="92"/>
    </row>
    <row r="225" spans="25:25">
      <c r="Y225" s="92"/>
    </row>
    <row r="226" spans="25:25">
      <c r="Y226" s="92"/>
    </row>
    <row r="227" spans="25:25">
      <c r="Y227" s="92"/>
    </row>
    <row r="228" spans="25:25">
      <c r="Y228" s="92"/>
    </row>
    <row r="229" spans="25:25">
      <c r="Y229" s="92"/>
    </row>
    <row r="230" spans="25:25">
      <c r="Y230" s="92"/>
    </row>
    <row r="231" spans="25:25">
      <c r="Y231" s="92"/>
    </row>
    <row r="232" spans="25:25">
      <c r="Y232" s="92"/>
    </row>
    <row r="233" spans="25:25">
      <c r="Y233" s="92"/>
    </row>
    <row r="234" spans="25:25">
      <c r="Y234" s="92"/>
    </row>
    <row r="235" spans="25:25">
      <c r="Y235" s="92"/>
    </row>
    <row r="236" spans="25:25">
      <c r="Y236" s="92"/>
    </row>
    <row r="237" spans="25:25">
      <c r="Y237" s="92"/>
    </row>
    <row r="238" spans="25:25">
      <c r="Y238" s="92"/>
    </row>
    <row r="239" spans="25:25">
      <c r="Y239" s="92"/>
    </row>
    <row r="240" spans="25:25">
      <c r="Y240" s="92"/>
    </row>
    <row r="241" spans="25:25">
      <c r="Y241" s="92"/>
    </row>
    <row r="242" spans="25:25">
      <c r="Y242" s="92"/>
    </row>
    <row r="243" spans="25:25">
      <c r="Y243" s="92"/>
    </row>
    <row r="244" spans="25:25">
      <c r="Y244" s="92"/>
    </row>
    <row r="245" spans="25:25">
      <c r="Y245" s="92"/>
    </row>
    <row r="246" spans="25:25">
      <c r="Y246" s="92"/>
    </row>
    <row r="247" spans="25:25">
      <c r="Y247" s="92"/>
    </row>
    <row r="248" spans="25:25">
      <c r="Y248" s="92"/>
    </row>
    <row r="249" spans="25:25">
      <c r="Y249" s="92"/>
    </row>
    <row r="250" spans="25:25">
      <c r="Y250" s="92"/>
    </row>
    <row r="251" spans="25:25">
      <c r="Y251" s="92"/>
    </row>
    <row r="252" spans="25:25">
      <c r="Y252" s="92"/>
    </row>
    <row r="253" spans="25:25">
      <c r="Y253" s="92"/>
    </row>
    <row r="254" spans="25:25">
      <c r="Y254" s="92"/>
    </row>
    <row r="255" spans="25:25">
      <c r="Y255" s="92"/>
    </row>
    <row r="256" spans="25:25">
      <c r="Y256" s="92"/>
    </row>
    <row r="257" spans="25:25">
      <c r="Y257" s="92"/>
    </row>
    <row r="258" spans="25:25">
      <c r="Y258" s="92"/>
    </row>
    <row r="259" spans="25:25">
      <c r="Y259" s="92"/>
    </row>
    <row r="260" spans="25:25">
      <c r="Y260" s="92"/>
    </row>
    <row r="261" spans="25:25">
      <c r="Y261" s="92"/>
    </row>
    <row r="262" spans="25:25">
      <c r="Y262" s="92"/>
    </row>
    <row r="263" spans="25:25">
      <c r="Y263" s="92"/>
    </row>
    <row r="264" spans="25:25">
      <c r="Y264" s="92"/>
    </row>
    <row r="265" spans="25:25">
      <c r="Y265" s="92"/>
    </row>
    <row r="266" spans="25:25">
      <c r="Y266" s="92"/>
    </row>
    <row r="267" spans="25:25">
      <c r="Y267" s="92"/>
    </row>
    <row r="268" spans="25:25">
      <c r="Y268" s="92"/>
    </row>
    <row r="269" spans="25:25">
      <c r="Y269" s="92"/>
    </row>
    <row r="270" spans="25:25">
      <c r="Y270" s="92"/>
    </row>
    <row r="271" spans="25:25">
      <c r="Y271" s="92"/>
    </row>
    <row r="272" spans="25:25">
      <c r="Y272" s="92"/>
    </row>
    <row r="273" spans="25:25">
      <c r="Y273" s="92"/>
    </row>
    <row r="274" spans="25:25">
      <c r="Y274" s="92"/>
    </row>
    <row r="275" spans="25:25">
      <c r="Y275" s="92"/>
    </row>
    <row r="276" spans="25:25">
      <c r="Y276" s="92"/>
    </row>
    <row r="277" spans="25:25">
      <c r="Y277" s="92"/>
    </row>
    <row r="278" spans="25:25">
      <c r="Y278" s="92"/>
    </row>
    <row r="279" spans="25:25">
      <c r="Y279" s="92"/>
    </row>
    <row r="280" spans="25:25">
      <c r="Y280" s="92"/>
    </row>
    <row r="281" spans="25:25">
      <c r="Y281" s="92"/>
    </row>
    <row r="282" spans="25:25">
      <c r="Y282" s="92"/>
    </row>
    <row r="283" spans="25:25">
      <c r="Y283" s="92"/>
    </row>
    <row r="284" spans="25:25">
      <c r="Y284" s="92"/>
    </row>
    <row r="285" spans="25:25">
      <c r="Y285" s="92"/>
    </row>
    <row r="286" spans="25:25">
      <c r="Y286" s="92"/>
    </row>
    <row r="287" spans="25:25">
      <c r="Y287" s="92"/>
    </row>
    <row r="288" spans="25:25">
      <c r="Y288" s="92"/>
    </row>
    <row r="289" spans="25:25">
      <c r="Y289" s="92"/>
    </row>
    <row r="290" spans="25:25">
      <c r="Y290" s="92"/>
    </row>
    <row r="291" spans="25:25">
      <c r="Y291" s="92"/>
    </row>
    <row r="292" spans="25:25">
      <c r="Y292" s="92"/>
    </row>
    <row r="293" spans="25:25">
      <c r="Y293" s="92"/>
    </row>
    <row r="294" spans="25:25">
      <c r="Y294" s="92"/>
    </row>
    <row r="295" spans="25:25">
      <c r="Y295" s="92"/>
    </row>
    <row r="296" spans="25:25">
      <c r="Y296" s="92"/>
    </row>
    <row r="297" spans="25:25">
      <c r="Y297" s="92"/>
    </row>
    <row r="298" spans="25:25">
      <c r="Y298" s="92"/>
    </row>
    <row r="299" spans="25:25">
      <c r="Y299" s="92"/>
    </row>
    <row r="300" spans="25:25">
      <c r="Y300" s="92"/>
    </row>
    <row r="301" spans="25:25">
      <c r="Y301" s="92"/>
    </row>
    <row r="302" spans="25:25">
      <c r="Y302" s="92"/>
    </row>
    <row r="303" spans="25:25">
      <c r="Y303" s="92"/>
    </row>
    <row r="304" spans="25:25">
      <c r="Y304" s="92"/>
    </row>
    <row r="305" spans="25:25">
      <c r="Y305" s="92"/>
    </row>
    <row r="306" spans="25:25">
      <c r="Y306" s="92"/>
    </row>
    <row r="307" spans="25:25">
      <c r="Y307" s="92"/>
    </row>
    <row r="308" spans="25:25">
      <c r="Y308" s="92"/>
    </row>
    <row r="309" spans="25:25">
      <c r="Y309" s="92"/>
    </row>
    <row r="310" spans="25:25">
      <c r="Y310" s="92"/>
    </row>
    <row r="311" spans="25:25">
      <c r="Y311" s="92"/>
    </row>
    <row r="312" spans="25:25">
      <c r="Y312" s="92"/>
    </row>
    <row r="313" spans="25:25">
      <c r="Y313" s="92"/>
    </row>
    <row r="314" spans="25:25">
      <c r="Y314" s="92"/>
    </row>
    <row r="315" spans="25:25">
      <c r="Y315" s="92"/>
    </row>
    <row r="316" spans="25:25">
      <c r="Y316" s="92"/>
    </row>
    <row r="317" spans="25:25">
      <c r="Y317" s="92"/>
    </row>
    <row r="318" spans="25:25">
      <c r="Y318" s="92"/>
    </row>
    <row r="319" spans="25:25">
      <c r="Y319" s="92"/>
    </row>
    <row r="320" spans="25:25">
      <c r="Y320" s="92"/>
    </row>
    <row r="321" spans="25:25">
      <c r="Y321" s="92"/>
    </row>
    <row r="322" spans="25:25">
      <c r="Y322" s="92"/>
    </row>
    <row r="323" spans="25:25">
      <c r="Y323" s="92"/>
    </row>
    <row r="324" spans="25:25">
      <c r="Y324" s="92"/>
    </row>
    <row r="325" spans="25:25">
      <c r="Y325" s="92"/>
    </row>
    <row r="326" spans="25:25">
      <c r="Y326" s="92"/>
    </row>
    <row r="327" spans="25:25">
      <c r="Y327" s="92"/>
    </row>
    <row r="328" spans="25:25">
      <c r="Y328" s="92"/>
    </row>
    <row r="329" spans="25:25">
      <c r="Y329" s="92"/>
    </row>
    <row r="330" spans="25:25">
      <c r="Y330" s="92"/>
    </row>
    <row r="331" spans="25:25">
      <c r="Y331" s="92"/>
    </row>
    <row r="332" spans="25:25">
      <c r="Y332" s="92"/>
    </row>
    <row r="333" spans="25:25">
      <c r="Y333" s="92"/>
    </row>
    <row r="334" spans="25:25">
      <c r="Y334" s="92"/>
    </row>
    <row r="335" spans="25:25">
      <c r="Y335" s="92"/>
    </row>
    <row r="336" spans="25:25">
      <c r="Y336" s="92"/>
    </row>
    <row r="337" spans="25:25">
      <c r="Y337" s="92"/>
    </row>
    <row r="338" spans="25:25">
      <c r="Y338" s="92"/>
    </row>
    <row r="339" spans="25:25">
      <c r="Y339" s="92"/>
    </row>
    <row r="340" spans="25:25">
      <c r="Y340" s="92"/>
    </row>
    <row r="341" spans="25:25">
      <c r="Y341" s="92"/>
    </row>
    <row r="342" spans="25:25">
      <c r="Y342" s="92"/>
    </row>
    <row r="343" spans="25:25">
      <c r="Y343" s="92"/>
    </row>
    <row r="344" spans="25:25">
      <c r="Y344" s="92"/>
    </row>
    <row r="345" spans="25:25">
      <c r="Y345" s="92"/>
    </row>
    <row r="346" spans="25:25">
      <c r="Y346" s="92"/>
    </row>
    <row r="347" spans="25:25">
      <c r="Y347" s="92"/>
    </row>
    <row r="348" spans="25:25">
      <c r="Y348" s="92"/>
    </row>
    <row r="349" spans="25:25">
      <c r="Y349" s="92"/>
    </row>
    <row r="350" spans="25:25">
      <c r="Y350" s="92"/>
    </row>
    <row r="351" spans="25:25">
      <c r="Y351" s="92"/>
    </row>
    <row r="352" spans="25:25">
      <c r="Y352" s="92"/>
    </row>
    <row r="353" spans="25:25">
      <c r="Y353" s="92"/>
    </row>
    <row r="354" spans="25:25">
      <c r="Y354" s="92"/>
    </row>
    <row r="355" spans="25:25">
      <c r="Y355" s="92"/>
    </row>
    <row r="356" spans="25:25">
      <c r="Y356" s="92"/>
    </row>
    <row r="357" spans="25:25">
      <c r="Y357" s="92"/>
    </row>
    <row r="358" spans="25:25">
      <c r="Y358" s="92"/>
    </row>
    <row r="359" spans="25:25">
      <c r="Y359" s="92"/>
    </row>
    <row r="360" spans="25:25">
      <c r="Y360" s="92"/>
    </row>
    <row r="361" spans="25:25">
      <c r="Y361" s="92"/>
    </row>
    <row r="362" spans="25:25">
      <c r="Y362" s="92"/>
    </row>
    <row r="363" spans="25:25">
      <c r="Y363" s="92"/>
    </row>
    <row r="364" spans="25:25">
      <c r="Y364" s="92"/>
    </row>
    <row r="365" spans="25:25">
      <c r="Y365" s="92"/>
    </row>
    <row r="366" spans="25:25">
      <c r="Y366" s="92"/>
    </row>
    <row r="367" spans="25:25">
      <c r="Y367" s="92"/>
    </row>
    <row r="368" spans="25:25">
      <c r="Y368" s="92"/>
    </row>
    <row r="369" spans="25:25">
      <c r="Y369" s="92"/>
    </row>
    <row r="370" spans="25:25">
      <c r="Y370" s="92"/>
    </row>
    <row r="371" spans="25:25">
      <c r="Y371" s="92"/>
    </row>
    <row r="372" spans="25:25">
      <c r="Y372" s="92"/>
    </row>
    <row r="373" spans="25:25">
      <c r="Y373" s="92"/>
    </row>
    <row r="374" spans="25:25">
      <c r="Y374" s="92"/>
    </row>
    <row r="375" spans="25:25">
      <c r="Y375" s="92"/>
    </row>
    <row r="376" spans="25:25">
      <c r="Y376" s="92"/>
    </row>
    <row r="377" spans="25:25">
      <c r="Y377" s="92"/>
    </row>
    <row r="378" spans="25:25">
      <c r="Y378" s="92"/>
    </row>
    <row r="379" spans="25:25">
      <c r="Y379" s="92"/>
    </row>
    <row r="380" spans="25:25">
      <c r="Y380" s="92"/>
    </row>
    <row r="381" spans="25:25">
      <c r="Y381" s="92"/>
    </row>
    <row r="382" spans="25:25">
      <c r="Y382" s="92"/>
    </row>
    <row r="383" spans="25:25">
      <c r="Y383" s="92"/>
    </row>
    <row r="384" spans="25:25">
      <c r="Y384" s="92"/>
    </row>
    <row r="385" spans="25:25">
      <c r="Y385" s="92"/>
    </row>
    <row r="386" spans="25:25">
      <c r="Y386" s="92"/>
    </row>
    <row r="387" spans="25:25">
      <c r="Y387" s="92"/>
    </row>
    <row r="388" spans="25:25">
      <c r="Y388" s="92"/>
    </row>
    <row r="389" spans="25:25">
      <c r="Y389" s="92"/>
    </row>
    <row r="390" spans="25:25">
      <c r="Y390" s="92"/>
    </row>
    <row r="391" spans="25:25">
      <c r="Y391" s="92"/>
    </row>
    <row r="392" spans="25:25">
      <c r="Y392" s="92"/>
    </row>
    <row r="393" spans="25:25">
      <c r="Y393" s="92"/>
    </row>
    <row r="394" spans="25:25">
      <c r="Y394" s="92"/>
    </row>
    <row r="395" spans="25:25">
      <c r="Y395" s="92"/>
    </row>
    <row r="396" spans="25:25">
      <c r="Y396" s="92"/>
    </row>
    <row r="397" spans="25:25">
      <c r="Y397" s="92"/>
    </row>
    <row r="398" spans="25:25">
      <c r="Y398" s="92"/>
    </row>
    <row r="399" spans="25:25">
      <c r="Y399" s="92"/>
    </row>
    <row r="400" spans="25:25">
      <c r="Y400" s="92"/>
    </row>
    <row r="401" spans="25:25">
      <c r="Y401" s="92"/>
    </row>
    <row r="402" spans="25:25">
      <c r="Y402" s="92"/>
    </row>
    <row r="403" spans="25:25">
      <c r="Y403" s="92"/>
    </row>
    <row r="404" spans="25:25">
      <c r="Y404" s="92"/>
    </row>
    <row r="405" spans="25:25">
      <c r="Y405" s="92"/>
    </row>
    <row r="406" spans="25:25">
      <c r="Y406" s="92"/>
    </row>
    <row r="407" spans="25:25">
      <c r="Y407" s="92"/>
    </row>
    <row r="408" spans="25:25">
      <c r="Y408" s="92"/>
    </row>
    <row r="409" spans="25:25">
      <c r="Y409" s="92"/>
    </row>
    <row r="410" spans="25:25">
      <c r="Y410" s="92"/>
    </row>
    <row r="411" spans="25:25">
      <c r="Y411" s="92"/>
    </row>
    <row r="412" spans="25:25">
      <c r="Y412" s="92"/>
    </row>
    <row r="413" spans="25:25">
      <c r="Y413" s="92"/>
    </row>
    <row r="414" spans="25:25">
      <c r="Y414" s="92"/>
    </row>
    <row r="415" spans="25:25">
      <c r="Y415" s="92"/>
    </row>
    <row r="416" spans="25:25">
      <c r="Y416" s="92"/>
    </row>
    <row r="417" spans="25:25">
      <c r="Y417" s="92"/>
    </row>
    <row r="418" spans="25:25">
      <c r="Y418" s="92"/>
    </row>
    <row r="419" spans="25:25">
      <c r="Y419" s="92"/>
    </row>
    <row r="420" spans="25:25">
      <c r="Y420" s="92"/>
    </row>
    <row r="421" spans="25:25">
      <c r="Y421" s="92"/>
    </row>
    <row r="422" spans="25:25">
      <c r="Y422" s="92"/>
    </row>
    <row r="423" spans="25:25">
      <c r="Y423" s="92"/>
    </row>
    <row r="424" spans="25:25">
      <c r="Y424" s="92"/>
    </row>
    <row r="425" spans="25:25">
      <c r="Y425" s="92"/>
    </row>
    <row r="426" spans="25:25">
      <c r="Y426" s="92"/>
    </row>
    <row r="427" spans="25:25">
      <c r="Y427" s="92"/>
    </row>
    <row r="428" spans="25:25">
      <c r="Y428" s="92"/>
    </row>
    <row r="429" spans="25:25">
      <c r="Y429" s="92"/>
    </row>
    <row r="430" spans="25:25">
      <c r="Y430" s="92"/>
    </row>
    <row r="431" spans="25:25">
      <c r="Y431" s="92"/>
    </row>
    <row r="432" spans="25:25">
      <c r="Y432" s="92"/>
    </row>
    <row r="433" spans="25:25">
      <c r="Y433" s="92"/>
    </row>
    <row r="434" spans="25:25">
      <c r="Y434" s="92"/>
    </row>
    <row r="435" spans="25:25">
      <c r="Y435" s="92"/>
    </row>
    <row r="436" spans="25:25">
      <c r="Y436" s="92"/>
    </row>
    <row r="437" spans="25:25">
      <c r="Y437" s="92"/>
    </row>
    <row r="438" spans="25:25">
      <c r="Y438" s="92"/>
    </row>
    <row r="439" spans="25:25">
      <c r="Y439" s="92"/>
    </row>
    <row r="440" spans="25:25">
      <c r="Y440" s="92"/>
    </row>
    <row r="441" spans="25:25">
      <c r="Y441" s="92"/>
    </row>
    <row r="442" spans="25:25">
      <c r="Y442" s="92"/>
    </row>
    <row r="443" spans="25:25">
      <c r="Y443" s="92"/>
    </row>
    <row r="444" spans="25:25">
      <c r="Y444" s="92"/>
    </row>
    <row r="445" spans="25:25">
      <c r="Y445" s="92"/>
    </row>
    <row r="446" spans="25:25">
      <c r="Y446" s="92"/>
    </row>
    <row r="447" spans="25:25">
      <c r="Y447" s="92"/>
    </row>
    <row r="448" spans="25:25">
      <c r="Y448" s="92"/>
    </row>
    <row r="449" spans="25:25">
      <c r="Y449" s="92"/>
    </row>
    <row r="450" spans="25:25">
      <c r="Y450" s="92"/>
    </row>
    <row r="451" spans="25:25">
      <c r="Y451" s="92"/>
    </row>
    <row r="452" spans="25:25">
      <c r="Y452" s="92"/>
    </row>
    <row r="453" spans="25:25">
      <c r="Y453" s="92"/>
    </row>
    <row r="454" spans="25:25">
      <c r="Y454" s="92"/>
    </row>
    <row r="455" spans="25:25">
      <c r="Y455" s="92"/>
    </row>
    <row r="456" spans="25:25">
      <c r="Y456" s="92"/>
    </row>
    <row r="457" spans="25:25">
      <c r="Y457" s="92"/>
    </row>
    <row r="458" spans="25:25">
      <c r="Y458" s="92"/>
    </row>
    <row r="459" spans="25:25">
      <c r="Y459" s="92"/>
    </row>
    <row r="460" spans="25:25">
      <c r="Y460" s="92"/>
    </row>
    <row r="461" spans="25:25">
      <c r="Y461" s="92"/>
    </row>
    <row r="462" spans="25:25">
      <c r="Y462" s="92"/>
    </row>
    <row r="463" spans="25:25">
      <c r="Y463" s="92"/>
    </row>
    <row r="464" spans="25:25">
      <c r="Y464" s="92"/>
    </row>
    <row r="465" spans="25:25">
      <c r="Y465" s="92"/>
    </row>
    <row r="466" spans="25:25">
      <c r="Y466" s="92"/>
    </row>
    <row r="467" spans="25:25">
      <c r="Y467" s="92"/>
    </row>
    <row r="468" spans="25:25">
      <c r="Y468" s="92"/>
    </row>
    <row r="469" spans="25:25">
      <c r="Y469" s="92"/>
    </row>
    <row r="470" spans="25:25">
      <c r="Y470" s="92"/>
    </row>
    <row r="471" spans="25:25">
      <c r="Y471" s="92"/>
    </row>
    <row r="472" spans="25:25">
      <c r="Y472" s="92"/>
    </row>
    <row r="473" spans="25:25">
      <c r="Y473" s="92"/>
    </row>
    <row r="474" spans="25:25">
      <c r="Y474" s="92"/>
    </row>
    <row r="475" spans="25:25">
      <c r="Y475" s="92"/>
    </row>
    <row r="476" spans="25:25">
      <c r="Y476" s="92"/>
    </row>
    <row r="477" spans="25:25">
      <c r="Y477" s="92"/>
    </row>
    <row r="478" spans="25:25">
      <c r="Y478" s="92"/>
    </row>
    <row r="479" spans="25:25">
      <c r="Y479" s="92"/>
    </row>
    <row r="480" spans="25:25">
      <c r="Y480" s="92"/>
    </row>
    <row r="481" spans="25:25">
      <c r="Y481" s="92"/>
    </row>
    <row r="482" spans="25:25">
      <c r="Y482" s="92"/>
    </row>
    <row r="483" spans="25:25">
      <c r="Y483" s="92"/>
    </row>
    <row r="484" spans="25:25">
      <c r="Y484" s="92"/>
    </row>
    <row r="485" spans="25:25">
      <c r="Y485" s="92"/>
    </row>
    <row r="486" spans="25:25">
      <c r="Y486" s="92"/>
    </row>
    <row r="487" spans="25:25">
      <c r="Y487" s="92"/>
    </row>
    <row r="488" spans="25:25">
      <c r="Y488" s="92"/>
    </row>
    <row r="489" spans="25:25">
      <c r="Y489" s="92"/>
    </row>
    <row r="490" spans="25:25">
      <c r="Y490" s="92"/>
    </row>
    <row r="491" spans="25:25">
      <c r="Y491" s="92"/>
    </row>
    <row r="492" spans="25:25">
      <c r="Y492" s="92"/>
    </row>
    <row r="493" spans="25:25">
      <c r="Y493" s="92"/>
    </row>
    <row r="494" spans="25:25">
      <c r="Y494" s="92"/>
    </row>
    <row r="495" spans="25:25">
      <c r="Y495" s="92"/>
    </row>
    <row r="496" spans="25:25">
      <c r="Y496" s="92"/>
    </row>
    <row r="497" spans="25:25">
      <c r="Y497" s="92"/>
    </row>
    <row r="498" spans="25:25">
      <c r="Y498" s="92"/>
    </row>
    <row r="499" spans="25:25">
      <c r="Y499" s="92"/>
    </row>
    <row r="500" spans="25:25">
      <c r="Y500" s="92"/>
    </row>
    <row r="501" spans="25:25">
      <c r="Y501" s="92"/>
    </row>
    <row r="502" spans="25:25">
      <c r="Y502" s="92"/>
    </row>
    <row r="503" spans="25:25">
      <c r="Y503" s="92"/>
    </row>
    <row r="504" spans="25:25">
      <c r="Y504" s="92"/>
    </row>
    <row r="505" spans="25:25">
      <c r="Y505" s="92"/>
    </row>
    <row r="506" spans="25:25">
      <c r="Y506" s="92"/>
    </row>
    <row r="507" spans="25:25">
      <c r="Y507" s="92"/>
    </row>
    <row r="508" spans="25:25">
      <c r="Y508" s="92"/>
    </row>
    <row r="509" spans="25:25">
      <c r="Y509" s="92"/>
    </row>
    <row r="510" spans="25:25">
      <c r="Y510" s="92"/>
    </row>
    <row r="511" spans="25:25">
      <c r="Y511" s="92"/>
    </row>
    <row r="512" spans="25:25">
      <c r="Y512" s="92"/>
    </row>
    <row r="513" spans="25:25">
      <c r="Y513" s="92"/>
    </row>
    <row r="514" spans="25:25">
      <c r="Y514" s="92"/>
    </row>
    <row r="515" spans="25:25">
      <c r="Y515" s="92"/>
    </row>
    <row r="516" spans="25:25">
      <c r="Y516" s="92"/>
    </row>
    <row r="517" spans="25:25">
      <c r="Y517" s="92"/>
    </row>
    <row r="518" spans="25:25">
      <c r="Y518" s="92"/>
    </row>
    <row r="519" spans="25:25">
      <c r="Y519" s="92"/>
    </row>
    <row r="520" spans="25:25">
      <c r="Y520" s="92"/>
    </row>
    <row r="521" spans="25:25">
      <c r="Y521" s="92"/>
    </row>
    <row r="522" spans="25:25">
      <c r="Y522" s="92"/>
    </row>
    <row r="523" spans="25:25">
      <c r="Y523" s="92"/>
    </row>
    <row r="524" spans="25:25">
      <c r="Y524" s="92"/>
    </row>
    <row r="525" spans="25:25">
      <c r="Y525" s="92"/>
    </row>
    <row r="526" spans="25:25">
      <c r="Y526" s="92"/>
    </row>
    <row r="527" spans="25:25">
      <c r="Y527" s="92"/>
    </row>
    <row r="528" spans="25:25">
      <c r="Y528" s="92"/>
    </row>
    <row r="529" spans="25:25">
      <c r="Y529" s="92"/>
    </row>
    <row r="530" spans="25:25">
      <c r="Y530" s="92"/>
    </row>
    <row r="531" spans="25:25">
      <c r="Y531" s="92"/>
    </row>
    <row r="532" spans="25:25">
      <c r="Y532" s="92"/>
    </row>
    <row r="533" spans="25:25">
      <c r="Y533" s="92"/>
    </row>
    <row r="534" spans="25:25">
      <c r="Y534" s="92"/>
    </row>
    <row r="535" spans="25:25">
      <c r="Y535" s="92"/>
    </row>
    <row r="536" spans="25:25">
      <c r="Y536" s="92"/>
    </row>
    <row r="537" spans="25:25">
      <c r="Y537" s="92"/>
    </row>
    <row r="538" spans="25:25">
      <c r="Y538" s="92"/>
    </row>
    <row r="539" spans="25:25">
      <c r="Y539" s="92"/>
    </row>
    <row r="540" spans="25:25">
      <c r="Y540" s="92"/>
    </row>
    <row r="541" spans="25:25">
      <c r="Y541" s="92"/>
    </row>
    <row r="542" spans="25:25">
      <c r="Y542" s="92"/>
    </row>
    <row r="543" spans="25:25">
      <c r="Y543" s="92"/>
    </row>
    <row r="544" spans="25:25">
      <c r="Y544" s="92"/>
    </row>
    <row r="545" spans="25:25">
      <c r="Y545" s="92"/>
    </row>
    <row r="546" spans="25:25">
      <c r="Y546" s="92"/>
    </row>
    <row r="547" spans="25:25">
      <c r="Y547" s="92"/>
    </row>
    <row r="548" spans="25:25">
      <c r="Y548" s="92"/>
    </row>
    <row r="549" spans="25:25">
      <c r="Y549" s="92"/>
    </row>
    <row r="550" spans="25:25">
      <c r="Y550" s="92"/>
    </row>
    <row r="551" spans="25:25">
      <c r="Y551" s="92"/>
    </row>
    <row r="552" spans="25:25">
      <c r="Y552" s="92"/>
    </row>
    <row r="553" spans="25:25">
      <c r="Y553" s="92"/>
    </row>
    <row r="554" spans="25:25">
      <c r="Y554" s="92"/>
    </row>
    <row r="555" spans="25:25">
      <c r="Y555" s="92"/>
    </row>
    <row r="556" spans="25:25">
      <c r="Y556" s="92"/>
    </row>
    <row r="557" spans="25:25">
      <c r="Y557" s="92"/>
    </row>
    <row r="558" spans="25:25">
      <c r="Y558" s="92"/>
    </row>
    <row r="559" spans="25:25">
      <c r="Y559" s="92"/>
    </row>
    <row r="560" spans="25:25">
      <c r="Y560" s="92"/>
    </row>
    <row r="561" spans="25:25">
      <c r="Y561" s="92"/>
    </row>
    <row r="562" spans="25:25">
      <c r="Y562" s="92"/>
    </row>
    <row r="563" spans="25:25">
      <c r="Y563" s="92"/>
    </row>
    <row r="564" spans="25:25">
      <c r="Y564" s="92"/>
    </row>
    <row r="565" spans="25:25">
      <c r="Y565" s="92"/>
    </row>
    <row r="566" spans="25:25">
      <c r="Y566" s="92"/>
    </row>
    <row r="567" spans="25:25">
      <c r="Y567" s="92"/>
    </row>
    <row r="568" spans="25:25">
      <c r="Y568" s="92"/>
    </row>
    <row r="569" spans="25:25">
      <c r="Y569" s="92"/>
    </row>
    <row r="570" spans="25:25">
      <c r="Y570" s="92"/>
    </row>
    <row r="571" spans="25:25">
      <c r="Y571" s="92"/>
    </row>
    <row r="572" spans="25:25">
      <c r="Y572" s="92"/>
    </row>
    <row r="573" spans="25:25">
      <c r="Y573" s="92"/>
    </row>
    <row r="574" spans="25:25">
      <c r="Y574" s="92"/>
    </row>
    <row r="575" spans="25:25">
      <c r="Y575" s="92"/>
    </row>
    <row r="576" spans="25:25">
      <c r="Y576" s="92"/>
    </row>
    <row r="577" spans="25:25">
      <c r="Y577" s="92"/>
    </row>
    <row r="578" spans="25:25">
      <c r="Y578" s="92"/>
    </row>
    <row r="579" spans="25:25">
      <c r="Y579" s="92"/>
    </row>
    <row r="580" spans="25:25">
      <c r="Y580" s="92"/>
    </row>
    <row r="581" spans="25:25">
      <c r="Y581" s="92"/>
    </row>
    <row r="582" spans="25:25">
      <c r="Y582" s="92"/>
    </row>
    <row r="583" spans="25:25">
      <c r="Y583" s="92"/>
    </row>
    <row r="584" spans="25:25">
      <c r="Y584" s="92"/>
    </row>
    <row r="585" spans="25:25">
      <c r="Y585" s="92"/>
    </row>
    <row r="586" spans="25:25">
      <c r="Y586" s="92"/>
    </row>
    <row r="587" spans="25:25">
      <c r="Y587" s="92"/>
    </row>
    <row r="588" spans="25:25">
      <c r="Y588" s="92"/>
    </row>
    <row r="589" spans="25:25">
      <c r="Y589" s="92"/>
    </row>
    <row r="590" spans="25:25">
      <c r="Y590" s="92"/>
    </row>
    <row r="591" spans="25:25">
      <c r="Y591" s="92"/>
    </row>
    <row r="592" spans="25:25">
      <c r="Y592" s="92"/>
    </row>
    <row r="593" spans="25:25">
      <c r="Y593" s="92"/>
    </row>
    <row r="594" spans="25:25">
      <c r="Y594" s="92"/>
    </row>
    <row r="595" spans="25:25">
      <c r="Y595" s="92"/>
    </row>
    <row r="596" spans="25:25">
      <c r="Y596" s="92"/>
    </row>
    <row r="597" spans="25:25">
      <c r="Y597" s="92"/>
    </row>
    <row r="598" spans="25:25">
      <c r="Y598" s="92"/>
    </row>
    <row r="599" spans="25:25">
      <c r="Y599" s="92"/>
    </row>
    <row r="600" spans="25:25">
      <c r="Y600" s="92"/>
    </row>
    <row r="601" spans="25:25">
      <c r="Y601" s="92"/>
    </row>
    <row r="602" spans="25:25">
      <c r="Y602" s="92"/>
    </row>
    <row r="603" spans="25:25">
      <c r="Y603" s="92"/>
    </row>
    <row r="604" spans="25:25">
      <c r="Y604" s="92"/>
    </row>
    <row r="605" spans="25:25">
      <c r="Y605" s="92"/>
    </row>
    <row r="606" spans="25:25">
      <c r="Y606" s="92"/>
    </row>
    <row r="607" spans="25:25">
      <c r="Y607" s="92"/>
    </row>
    <row r="608" spans="25:25">
      <c r="Y608" s="92"/>
    </row>
    <row r="609" spans="25:25">
      <c r="Y609" s="92"/>
    </row>
    <row r="610" spans="25:25">
      <c r="Y610" s="92"/>
    </row>
    <row r="611" spans="25:25">
      <c r="Y611" s="92"/>
    </row>
    <row r="612" spans="25:25">
      <c r="Y612" s="92"/>
    </row>
    <row r="613" spans="25:25">
      <c r="Y613" s="92"/>
    </row>
    <row r="614" spans="25:25">
      <c r="Y614" s="92"/>
    </row>
    <row r="615" spans="25:25">
      <c r="Y615" s="92"/>
    </row>
    <row r="616" spans="25:25">
      <c r="Y616" s="92"/>
    </row>
    <row r="617" spans="25:25">
      <c r="Y617" s="92"/>
    </row>
    <row r="618" spans="25:25">
      <c r="Y618" s="92"/>
    </row>
    <row r="619" spans="25:25">
      <c r="Y619" s="92"/>
    </row>
    <row r="620" spans="25:25">
      <c r="Y620" s="92"/>
    </row>
    <row r="621" spans="25:25">
      <c r="Y621" s="92"/>
    </row>
    <row r="622" spans="25:25">
      <c r="Y622" s="92"/>
    </row>
    <row r="623" spans="25:25">
      <c r="Y623" s="92"/>
    </row>
    <row r="624" spans="25:25">
      <c r="Y624" s="92"/>
    </row>
    <row r="625" spans="25:25">
      <c r="Y625" s="92"/>
    </row>
    <row r="626" spans="25:25">
      <c r="Y626" s="92"/>
    </row>
    <row r="627" spans="25:25">
      <c r="Y627" s="92"/>
    </row>
    <row r="628" spans="25:25">
      <c r="Y628" s="92"/>
    </row>
    <row r="629" spans="25:25">
      <c r="Y629" s="92"/>
    </row>
    <row r="630" spans="25:25">
      <c r="Y630" s="92"/>
    </row>
    <row r="631" spans="25:25">
      <c r="Y631" s="92"/>
    </row>
    <row r="632" spans="25:25">
      <c r="Y632" s="92"/>
    </row>
    <row r="633" spans="25:25">
      <c r="Y633" s="92"/>
    </row>
    <row r="634" spans="25:25">
      <c r="Y634" s="92"/>
    </row>
    <row r="635" spans="25:25">
      <c r="Y635" s="92"/>
    </row>
    <row r="636" spans="25:25">
      <c r="Y636" s="92"/>
    </row>
    <row r="637" spans="25:25">
      <c r="Y637" s="92"/>
    </row>
    <row r="638" spans="25:25">
      <c r="Y638" s="92"/>
    </row>
    <row r="639" spans="25:25">
      <c r="Y639" s="92"/>
    </row>
    <row r="640" spans="25:25">
      <c r="Y640" s="92"/>
    </row>
    <row r="641" spans="25:25">
      <c r="Y641" s="92"/>
    </row>
    <row r="642" spans="25:25">
      <c r="Y642" s="92"/>
    </row>
    <row r="643" spans="25:25">
      <c r="Y643" s="92"/>
    </row>
    <row r="644" spans="25:25">
      <c r="Y644" s="92"/>
    </row>
    <row r="645" spans="25:25">
      <c r="Y645" s="92"/>
    </row>
    <row r="646" spans="25:25">
      <c r="Y646" s="92"/>
    </row>
    <row r="647" spans="25:25">
      <c r="Y647" s="92"/>
    </row>
    <row r="648" spans="25:25">
      <c r="Y648" s="92"/>
    </row>
    <row r="649" spans="25:25">
      <c r="Y649" s="92"/>
    </row>
    <row r="650" spans="25:25">
      <c r="Y650" s="92"/>
    </row>
    <row r="651" spans="25:25">
      <c r="Y651" s="92"/>
    </row>
    <row r="652" spans="25:25">
      <c r="Y652" s="92"/>
    </row>
    <row r="653" spans="25:25">
      <c r="Y653" s="92"/>
    </row>
    <row r="654" spans="25:25">
      <c r="Y654" s="92"/>
    </row>
    <row r="655" spans="25:25">
      <c r="Y655" s="92"/>
    </row>
    <row r="656" spans="25:25">
      <c r="Y656" s="92"/>
    </row>
    <row r="657" spans="25:25">
      <c r="Y657" s="92"/>
    </row>
    <row r="658" spans="25:25">
      <c r="Y658" s="92"/>
    </row>
    <row r="659" spans="25:25">
      <c r="Y659" s="92"/>
    </row>
    <row r="660" spans="25:25">
      <c r="Y660" s="92"/>
    </row>
    <row r="661" spans="25:25">
      <c r="Y661" s="92"/>
    </row>
    <row r="662" spans="25:25">
      <c r="Y662" s="92"/>
    </row>
    <row r="663" spans="25:25">
      <c r="Y663" s="92"/>
    </row>
    <row r="664" spans="25:25">
      <c r="Y664" s="92"/>
    </row>
    <row r="665" spans="25:25">
      <c r="Y665" s="92"/>
    </row>
    <row r="666" spans="25:25">
      <c r="Y666" s="92"/>
    </row>
    <row r="667" spans="25:25">
      <c r="Y667" s="92"/>
    </row>
    <row r="668" spans="25:25">
      <c r="Y668" s="92"/>
    </row>
    <row r="669" spans="25:25">
      <c r="Y669" s="92"/>
    </row>
    <row r="670" spans="25:25">
      <c r="Y670" s="92"/>
    </row>
    <row r="671" spans="25:25">
      <c r="Y671" s="92"/>
    </row>
    <row r="672" spans="25:25">
      <c r="Y672" s="92"/>
    </row>
    <row r="673" spans="25:25">
      <c r="Y673" s="92"/>
    </row>
    <row r="674" spans="25:25">
      <c r="Y674" s="92"/>
    </row>
    <row r="675" spans="25:25">
      <c r="Y675" s="92"/>
    </row>
    <row r="676" spans="25:25">
      <c r="Y676" s="92"/>
    </row>
    <row r="677" spans="25:25">
      <c r="Y677" s="92"/>
    </row>
    <row r="678" spans="25:25">
      <c r="Y678" s="92"/>
    </row>
    <row r="679" spans="25:25">
      <c r="Y679" s="92"/>
    </row>
    <row r="680" spans="25:25">
      <c r="Y680" s="92"/>
    </row>
    <row r="681" spans="25:25">
      <c r="Y681" s="92"/>
    </row>
    <row r="682" spans="25:25">
      <c r="Y682" s="92"/>
    </row>
    <row r="683" spans="25:25">
      <c r="Y683" s="92"/>
    </row>
    <row r="684" spans="25:25">
      <c r="Y684" s="92"/>
    </row>
    <row r="685" spans="25:25">
      <c r="Y685" s="92"/>
    </row>
    <row r="686" spans="25:25">
      <c r="Y686" s="92"/>
    </row>
    <row r="687" spans="25:25">
      <c r="Y687" s="92"/>
    </row>
    <row r="688" spans="25:25">
      <c r="Y688" s="92"/>
    </row>
    <row r="689" spans="25:25">
      <c r="Y689" s="92"/>
    </row>
    <row r="690" spans="25:25">
      <c r="Y690" s="92"/>
    </row>
    <row r="691" spans="25:25">
      <c r="Y691" s="92"/>
    </row>
    <row r="692" spans="25:25">
      <c r="Y692" s="92"/>
    </row>
    <row r="693" spans="25:25">
      <c r="Y693" s="92"/>
    </row>
    <row r="694" spans="25:25">
      <c r="Y694" s="92"/>
    </row>
    <row r="695" spans="25:25">
      <c r="Y695" s="92"/>
    </row>
    <row r="696" spans="25:25">
      <c r="Y696" s="92"/>
    </row>
    <row r="697" spans="25:25">
      <c r="Y697" s="92"/>
    </row>
    <row r="698" spans="25:25">
      <c r="Y698" s="92"/>
    </row>
    <row r="699" spans="25:25">
      <c r="Y699" s="92"/>
    </row>
    <row r="700" spans="25:25">
      <c r="Y700" s="92"/>
    </row>
    <row r="701" spans="25:25">
      <c r="Y701" s="92"/>
    </row>
    <row r="702" spans="25:25">
      <c r="Y702" s="92"/>
    </row>
    <row r="703" spans="25:25">
      <c r="Y703" s="92"/>
    </row>
    <row r="704" spans="25:25">
      <c r="Y704" s="92"/>
    </row>
    <row r="705" spans="25:25">
      <c r="Y705" s="92"/>
    </row>
    <row r="706" spans="25:25">
      <c r="Y706" s="92"/>
    </row>
    <row r="707" spans="25:25">
      <c r="Y707" s="92"/>
    </row>
    <row r="708" spans="25:25">
      <c r="Y708" s="92"/>
    </row>
    <row r="709" spans="25:25">
      <c r="Y709" s="92"/>
    </row>
    <row r="710" spans="25:25">
      <c r="Y710" s="92"/>
    </row>
    <row r="711" spans="25:25">
      <c r="Y711" s="92"/>
    </row>
    <row r="712" spans="25:25">
      <c r="Y712" s="92"/>
    </row>
    <row r="713" spans="25:25">
      <c r="Y713" s="92"/>
    </row>
    <row r="714" spans="25:25">
      <c r="Y714" s="92"/>
    </row>
    <row r="715" spans="25:25">
      <c r="Y715" s="92"/>
    </row>
    <row r="716" spans="25:25">
      <c r="Y716" s="92"/>
    </row>
    <row r="717" spans="25:25">
      <c r="Y717" s="92"/>
    </row>
    <row r="718" spans="25:25">
      <c r="Y718" s="92"/>
    </row>
    <row r="719" spans="25:25">
      <c r="Y719" s="92"/>
    </row>
    <row r="720" spans="25:25">
      <c r="Y720" s="92"/>
    </row>
    <row r="721" spans="25:25">
      <c r="Y721" s="92"/>
    </row>
    <row r="722" spans="25:25">
      <c r="Y722" s="92"/>
    </row>
    <row r="723" spans="25:25">
      <c r="Y723" s="92"/>
    </row>
    <row r="724" spans="25:25">
      <c r="Y724" s="92"/>
    </row>
    <row r="725" spans="25:25">
      <c r="Y725" s="92"/>
    </row>
    <row r="726" spans="25:25">
      <c r="Y726" s="92"/>
    </row>
    <row r="727" spans="25:25">
      <c r="Y727" s="92"/>
    </row>
    <row r="728" spans="25:25">
      <c r="Y728" s="92"/>
    </row>
    <row r="729" spans="25:25">
      <c r="Y729" s="92"/>
    </row>
    <row r="730" spans="25:25">
      <c r="Y730" s="92"/>
    </row>
    <row r="731" spans="25:25">
      <c r="Y731" s="92"/>
    </row>
    <row r="732" spans="25:25">
      <c r="Y732" s="92"/>
    </row>
    <row r="733" spans="25:25">
      <c r="Y733" s="92"/>
    </row>
    <row r="734" spans="25:25">
      <c r="Y734" s="92"/>
    </row>
    <row r="735" spans="25:25">
      <c r="Y735" s="92"/>
    </row>
    <row r="736" spans="25:25">
      <c r="Y736" s="92"/>
    </row>
    <row r="737" spans="25:25">
      <c r="Y737" s="92"/>
    </row>
    <row r="738" spans="25:25">
      <c r="Y738" s="92"/>
    </row>
    <row r="739" spans="25:25">
      <c r="Y739" s="92"/>
    </row>
    <row r="740" spans="25:25">
      <c r="Y740" s="92"/>
    </row>
    <row r="741" spans="25:25">
      <c r="Y741" s="92"/>
    </row>
    <row r="742" spans="25:25">
      <c r="Y742" s="92"/>
    </row>
    <row r="743" spans="25:25">
      <c r="Y743" s="92"/>
    </row>
    <row r="744" spans="25:25">
      <c r="Y744" s="92"/>
    </row>
    <row r="745" spans="25:25">
      <c r="Y745" s="92"/>
    </row>
    <row r="746" spans="25:25">
      <c r="Y746" s="92"/>
    </row>
    <row r="747" spans="25:25">
      <c r="Y747" s="92"/>
    </row>
    <row r="748" spans="25:25">
      <c r="Y748" s="92"/>
    </row>
    <row r="749" spans="25:25">
      <c r="Y749" s="92"/>
    </row>
    <row r="750" spans="25:25">
      <c r="Y750" s="92"/>
    </row>
    <row r="751" spans="25:25">
      <c r="Y751" s="92"/>
    </row>
    <row r="752" spans="25:25">
      <c r="Y752" s="92"/>
    </row>
    <row r="753" spans="25:25">
      <c r="Y753" s="92"/>
    </row>
    <row r="754" spans="25:25">
      <c r="Y754" s="92"/>
    </row>
    <row r="755" spans="25:25">
      <c r="Y755" s="92"/>
    </row>
    <row r="756" spans="25:25">
      <c r="Y756" s="92"/>
    </row>
    <row r="757" spans="25:25">
      <c r="Y757" s="92"/>
    </row>
    <row r="758" spans="25:25">
      <c r="Y758" s="92"/>
    </row>
    <row r="759" spans="25:25">
      <c r="Y759" s="92"/>
    </row>
    <row r="760" spans="25:25">
      <c r="Y760" s="92"/>
    </row>
    <row r="761" spans="25:25">
      <c r="Y761" s="92"/>
    </row>
    <row r="762" spans="25:25">
      <c r="Y762" s="92"/>
    </row>
    <row r="763" spans="25:25">
      <c r="Y763" s="92"/>
    </row>
    <row r="764" spans="25:25">
      <c r="Y764" s="92"/>
    </row>
    <row r="765" spans="25:25">
      <c r="Y765" s="92"/>
    </row>
    <row r="766" spans="25:25">
      <c r="Y766" s="92"/>
    </row>
    <row r="767" spans="25:25">
      <c r="Y767" s="92"/>
    </row>
    <row r="768" spans="25:25">
      <c r="Y768" s="92"/>
    </row>
    <row r="769" spans="25:25">
      <c r="Y769" s="92"/>
    </row>
    <row r="770" spans="25:25">
      <c r="Y770" s="92"/>
    </row>
    <row r="771" spans="25:25">
      <c r="Y771" s="92"/>
    </row>
    <row r="772" spans="25:25">
      <c r="Y772" s="92"/>
    </row>
    <row r="773" spans="25:25">
      <c r="Y773" s="92"/>
    </row>
    <row r="774" spans="25:25">
      <c r="Y774" s="92"/>
    </row>
    <row r="775" spans="25:25">
      <c r="Y775" s="92"/>
    </row>
    <row r="776" spans="25:25">
      <c r="Y776" s="92"/>
    </row>
    <row r="777" spans="25:25">
      <c r="Y777" s="92"/>
    </row>
    <row r="778" spans="25:25">
      <c r="Y778" s="92"/>
    </row>
    <row r="779" spans="25:25">
      <c r="Y779" s="92"/>
    </row>
    <row r="780" spans="25:25">
      <c r="Y780" s="92"/>
    </row>
    <row r="781" spans="25:25">
      <c r="Y781" s="92"/>
    </row>
    <row r="782" spans="25:25">
      <c r="Y782" s="92"/>
    </row>
    <row r="783" spans="25:25">
      <c r="Y783" s="92"/>
    </row>
    <row r="784" spans="25:25">
      <c r="Y784" s="92"/>
    </row>
    <row r="785" spans="25:25">
      <c r="Y785" s="92"/>
    </row>
    <row r="786" spans="25:25">
      <c r="Y786" s="92"/>
    </row>
    <row r="787" spans="25:25">
      <c r="Y787" s="92"/>
    </row>
    <row r="788" spans="25:25">
      <c r="Y788" s="92"/>
    </row>
    <row r="789" spans="25:25">
      <c r="Y789" s="92"/>
    </row>
    <row r="790" spans="25:25">
      <c r="Y790" s="92"/>
    </row>
    <row r="791" spans="25:25">
      <c r="Y791" s="92"/>
    </row>
    <row r="792" spans="25:25">
      <c r="Y792" s="92"/>
    </row>
    <row r="793" spans="25:25">
      <c r="Y793" s="92"/>
    </row>
    <row r="794" spans="25:25">
      <c r="Y794" s="92"/>
    </row>
    <row r="795" spans="25:25">
      <c r="Y795" s="92"/>
    </row>
    <row r="796" spans="25:25">
      <c r="Y796" s="92"/>
    </row>
    <row r="797" spans="25:25">
      <c r="Y797" s="92"/>
    </row>
    <row r="798" spans="25:25">
      <c r="Y798" s="92"/>
    </row>
    <row r="799" spans="25:25">
      <c r="Y799" s="92"/>
    </row>
    <row r="800" spans="25:25">
      <c r="Y800" s="92"/>
    </row>
    <row r="801" spans="25:25">
      <c r="Y801" s="92"/>
    </row>
    <row r="802" spans="25:25">
      <c r="Y802" s="92"/>
    </row>
    <row r="803" spans="25:25">
      <c r="Y803" s="92"/>
    </row>
    <row r="804" spans="25:25">
      <c r="Y804" s="92"/>
    </row>
    <row r="805" spans="25:25">
      <c r="Y805" s="92"/>
    </row>
    <row r="806" spans="25:25">
      <c r="Y806" s="92"/>
    </row>
    <row r="807" spans="25:25">
      <c r="Y807" s="92"/>
    </row>
    <row r="808" spans="25:25">
      <c r="Y808" s="92"/>
    </row>
    <row r="809" spans="25:25">
      <c r="Y809" s="92"/>
    </row>
    <row r="810" spans="25:25">
      <c r="Y810" s="92"/>
    </row>
    <row r="811" spans="25:25">
      <c r="Y811" s="92"/>
    </row>
    <row r="812" spans="25:25">
      <c r="Y812" s="92"/>
    </row>
    <row r="813" spans="25:25">
      <c r="Y813" s="92"/>
    </row>
    <row r="814" spans="25:25">
      <c r="Y814" s="92"/>
    </row>
    <row r="815" spans="25:25">
      <c r="Y815" s="92"/>
    </row>
    <row r="816" spans="25:25">
      <c r="Y816" s="92"/>
    </row>
    <row r="817" spans="25:25">
      <c r="Y817" s="92"/>
    </row>
    <row r="818" spans="25:25">
      <c r="Y818" s="92"/>
    </row>
    <row r="819" spans="25:25">
      <c r="Y819" s="92"/>
    </row>
    <row r="820" spans="25:25">
      <c r="Y820" s="92"/>
    </row>
    <row r="821" spans="25:25">
      <c r="Y821" s="92"/>
    </row>
    <row r="822" spans="25:25">
      <c r="Y822" s="92"/>
    </row>
    <row r="823" spans="25:25">
      <c r="Y823" s="92"/>
    </row>
    <row r="824" spans="25:25">
      <c r="Y824" s="92"/>
    </row>
    <row r="825" spans="25:25">
      <c r="Y825" s="92"/>
    </row>
    <row r="826" spans="25:25">
      <c r="Y826" s="92"/>
    </row>
    <row r="827" spans="25:25">
      <c r="Y827" s="92"/>
    </row>
    <row r="828" spans="25:25">
      <c r="Y828" s="92"/>
    </row>
    <row r="829" spans="25:25">
      <c r="Y829" s="92"/>
    </row>
    <row r="830" spans="25:25">
      <c r="Y830" s="92"/>
    </row>
    <row r="831" spans="25:25">
      <c r="Y831" s="92"/>
    </row>
    <row r="832" spans="25:25">
      <c r="Y832" s="92"/>
    </row>
    <row r="833" spans="25:25">
      <c r="Y833" s="92"/>
    </row>
    <row r="834" spans="25:25">
      <c r="Y834" s="92"/>
    </row>
    <row r="835" spans="25:25">
      <c r="Y835" s="92"/>
    </row>
    <row r="836" spans="25:25">
      <c r="Y836" s="92"/>
    </row>
    <row r="837" spans="25:25">
      <c r="Y837" s="92"/>
    </row>
    <row r="838" spans="25:25">
      <c r="Y838" s="92"/>
    </row>
    <row r="839" spans="25:25">
      <c r="Y839" s="92"/>
    </row>
    <row r="840" spans="25:25">
      <c r="Y840" s="92"/>
    </row>
    <row r="841" spans="25:25">
      <c r="Y841" s="92"/>
    </row>
    <row r="842" spans="25:25">
      <c r="Y842" s="92"/>
    </row>
    <row r="843" spans="25:25">
      <c r="Y843" s="92"/>
    </row>
    <row r="844" spans="25:25">
      <c r="Y844" s="92"/>
    </row>
    <row r="845" spans="25:25">
      <c r="Y845" s="92"/>
    </row>
    <row r="846" spans="25:25">
      <c r="Y846" s="92"/>
    </row>
    <row r="847" spans="25:25">
      <c r="Y847" s="92"/>
    </row>
    <row r="848" spans="25:25">
      <c r="Y848" s="92"/>
    </row>
    <row r="849" spans="25:25">
      <c r="Y849" s="92"/>
    </row>
    <row r="850" spans="25:25">
      <c r="Y850" s="92"/>
    </row>
    <row r="851" spans="25:25">
      <c r="Y851" s="92"/>
    </row>
    <row r="852" spans="25:25">
      <c r="Y852" s="92"/>
    </row>
    <row r="853" spans="25:25">
      <c r="Y853" s="92"/>
    </row>
    <row r="854" spans="25:25">
      <c r="Y854" s="92"/>
    </row>
    <row r="855" spans="25:25">
      <c r="Y855" s="92"/>
    </row>
    <row r="856" spans="25:25">
      <c r="Y856" s="92"/>
    </row>
    <row r="857" spans="25:25">
      <c r="Y857" s="92"/>
    </row>
    <row r="858" spans="25:25">
      <c r="Y858" s="92"/>
    </row>
    <row r="859" spans="25:25">
      <c r="Y859" s="92"/>
    </row>
    <row r="860" spans="25:25">
      <c r="Y860" s="92"/>
    </row>
    <row r="861" spans="25:25">
      <c r="Y861" s="92"/>
    </row>
    <row r="862" spans="25:25">
      <c r="Y862" s="92"/>
    </row>
    <row r="863" spans="25:25">
      <c r="Y863" s="92"/>
    </row>
    <row r="864" spans="25:25">
      <c r="Y864" s="92"/>
    </row>
    <row r="865" spans="25:25">
      <c r="Y865" s="92"/>
    </row>
    <row r="866" spans="25:25">
      <c r="Y866" s="92"/>
    </row>
    <row r="867" spans="25:25">
      <c r="Y867" s="92"/>
    </row>
    <row r="868" spans="25:25">
      <c r="Y868" s="92"/>
    </row>
    <row r="869" spans="25:25">
      <c r="Y869" s="92"/>
    </row>
    <row r="870" spans="25:25">
      <c r="Y870" s="92"/>
    </row>
    <row r="871" spans="25:25">
      <c r="Y871" s="92"/>
    </row>
    <row r="872" spans="25:25">
      <c r="Y872" s="92"/>
    </row>
    <row r="873" spans="25:25">
      <c r="Y873" s="92"/>
    </row>
    <row r="874" spans="25:25">
      <c r="Y874" s="92"/>
    </row>
    <row r="875" spans="25:25">
      <c r="Y875" s="92"/>
    </row>
    <row r="876" spans="25:25">
      <c r="Y876" s="92"/>
    </row>
    <row r="877" spans="25:25">
      <c r="Y877" s="92"/>
    </row>
    <row r="878" spans="25:25">
      <c r="Y878" s="92"/>
    </row>
    <row r="879" spans="25:25">
      <c r="Y879" s="92"/>
    </row>
    <row r="880" spans="25:25">
      <c r="Y880" s="92"/>
    </row>
    <row r="881" spans="25:25">
      <c r="Y881" s="92"/>
    </row>
    <row r="882" spans="25:25">
      <c r="Y882" s="92"/>
    </row>
    <row r="883" spans="25:25">
      <c r="Y883" s="92"/>
    </row>
    <row r="884" spans="25:25">
      <c r="Y884" s="92"/>
    </row>
    <row r="885" spans="25:25">
      <c r="Y885" s="92"/>
    </row>
    <row r="886" spans="25:25">
      <c r="Y886" s="92"/>
    </row>
    <row r="887" spans="25:25">
      <c r="Y887" s="92"/>
    </row>
    <row r="888" spans="25:25">
      <c r="Y888" s="92"/>
    </row>
    <row r="889" spans="25:25">
      <c r="Y889" s="92"/>
    </row>
    <row r="890" spans="25:25">
      <c r="Y890" s="92"/>
    </row>
    <row r="891" spans="25:25">
      <c r="Y891" s="92"/>
    </row>
    <row r="892" spans="25:25">
      <c r="Y892" s="92"/>
    </row>
    <row r="893" spans="25:25">
      <c r="Y893" s="92"/>
    </row>
    <row r="894" spans="25:25">
      <c r="Y894" s="92"/>
    </row>
    <row r="895" spans="25:25">
      <c r="Y895" s="92"/>
    </row>
    <row r="896" spans="25:25">
      <c r="Y896" s="92"/>
    </row>
    <row r="897" spans="25:25">
      <c r="Y897" s="92"/>
    </row>
    <row r="898" spans="25:25">
      <c r="Y898" s="92"/>
    </row>
    <row r="899" spans="25:25">
      <c r="Y899" s="92"/>
    </row>
    <row r="900" spans="25:25">
      <c r="Y900" s="92"/>
    </row>
    <row r="901" spans="25:25">
      <c r="Y901" s="92"/>
    </row>
    <row r="902" spans="25:25">
      <c r="Y902" s="92"/>
    </row>
    <row r="903" spans="25:25">
      <c r="Y903" s="92"/>
    </row>
    <row r="904" spans="25:25">
      <c r="Y904" s="92"/>
    </row>
    <row r="905" spans="25:25">
      <c r="Y905" s="92"/>
    </row>
    <row r="906" spans="25:25">
      <c r="Y906" s="92"/>
    </row>
    <row r="907" spans="25:25">
      <c r="Y907" s="92"/>
    </row>
    <row r="908" spans="25:25">
      <c r="Y908" s="92"/>
    </row>
    <row r="909" spans="25:25">
      <c r="Y909" s="92"/>
    </row>
    <row r="910" spans="25:25">
      <c r="Y910" s="92"/>
    </row>
    <row r="911" spans="25:25">
      <c r="Y911" s="92"/>
    </row>
    <row r="912" spans="25:25">
      <c r="Y912" s="92"/>
    </row>
    <row r="913" spans="25:25">
      <c r="Y913" s="92"/>
    </row>
    <row r="914" spans="25:25">
      <c r="Y914" s="92"/>
    </row>
    <row r="915" spans="25:25">
      <c r="Y915" s="92"/>
    </row>
    <row r="916" spans="25:25">
      <c r="Y916" s="92"/>
    </row>
    <row r="917" spans="25:25">
      <c r="Y917" s="92"/>
    </row>
    <row r="918" spans="25:25">
      <c r="Y918" s="92"/>
    </row>
    <row r="919" spans="25:25">
      <c r="Y919" s="92"/>
    </row>
    <row r="920" spans="25:25">
      <c r="Y920" s="92"/>
    </row>
    <row r="921" spans="25:25">
      <c r="Y921" s="92"/>
    </row>
    <row r="922" spans="25:25">
      <c r="Y922" s="92"/>
    </row>
    <row r="923" spans="25:25">
      <c r="Y923" s="92"/>
    </row>
    <row r="924" spans="25:25">
      <c r="Y924" s="92"/>
    </row>
    <row r="925" spans="25:25">
      <c r="Y925" s="92"/>
    </row>
    <row r="926" spans="25:25">
      <c r="Y926" s="92"/>
    </row>
    <row r="927" spans="25:25">
      <c r="Y927" s="92"/>
    </row>
    <row r="928" spans="25:25">
      <c r="Y928" s="92"/>
    </row>
    <row r="929" spans="25:25">
      <c r="Y929" s="92"/>
    </row>
    <row r="930" spans="25:25">
      <c r="Y930" s="92"/>
    </row>
    <row r="931" spans="25:25">
      <c r="Y931" s="92"/>
    </row>
    <row r="932" spans="25:25">
      <c r="Y932" s="92"/>
    </row>
    <row r="933" spans="25:25">
      <c r="Y933" s="92"/>
    </row>
    <row r="934" spans="25:25">
      <c r="Y934" s="92"/>
    </row>
    <row r="935" spans="25:25">
      <c r="Y935" s="92"/>
    </row>
    <row r="936" spans="25:25">
      <c r="Y936" s="92"/>
    </row>
    <row r="937" spans="25:25">
      <c r="Y937" s="92"/>
    </row>
    <row r="938" spans="25:25">
      <c r="Y938" s="92"/>
    </row>
    <row r="939" spans="25:25">
      <c r="Y939" s="92"/>
    </row>
    <row r="940" spans="25:25">
      <c r="Y940" s="92"/>
    </row>
    <row r="941" spans="25:25">
      <c r="Y941" s="92"/>
    </row>
    <row r="942" spans="25:25">
      <c r="Y942" s="92"/>
    </row>
    <row r="943" spans="25:25">
      <c r="Y943" s="92"/>
    </row>
    <row r="944" spans="25:25">
      <c r="Y944" s="92"/>
    </row>
    <row r="945" spans="25:25">
      <c r="Y945" s="92"/>
    </row>
    <row r="946" spans="25:25">
      <c r="Y946" s="92"/>
    </row>
    <row r="947" spans="25:25">
      <c r="Y947" s="92"/>
    </row>
    <row r="948" spans="25:25">
      <c r="Y948" s="92"/>
    </row>
    <row r="949" spans="25:25">
      <c r="Y949" s="92"/>
    </row>
    <row r="950" spans="25:25">
      <c r="Y950" s="92"/>
    </row>
    <row r="951" spans="25:25">
      <c r="Y951" s="92"/>
    </row>
    <row r="952" spans="25:25">
      <c r="Y952" s="92"/>
    </row>
    <row r="953" spans="25:25">
      <c r="Y953" s="92"/>
    </row>
    <row r="954" spans="25:25">
      <c r="Y954" s="92"/>
    </row>
    <row r="955" spans="25:25">
      <c r="Y955" s="92"/>
    </row>
    <row r="956" spans="25:25">
      <c r="Y956" s="92"/>
    </row>
    <row r="957" spans="25:25">
      <c r="Y957" s="92"/>
    </row>
    <row r="958" spans="25:25">
      <c r="Y958" s="92"/>
    </row>
    <row r="959" spans="25:25">
      <c r="Y959" s="92"/>
    </row>
    <row r="960" spans="25:25">
      <c r="Y960" s="92"/>
    </row>
    <row r="961" spans="25:25">
      <c r="Y961" s="92"/>
    </row>
    <row r="962" spans="25:25">
      <c r="Y962" s="92"/>
    </row>
    <row r="963" spans="25:25">
      <c r="Y963" s="92"/>
    </row>
    <row r="964" spans="25:25">
      <c r="Y964" s="92"/>
    </row>
    <row r="965" spans="25:25">
      <c r="Y965" s="92"/>
    </row>
    <row r="966" spans="25:25">
      <c r="Y966" s="92"/>
    </row>
    <row r="967" spans="25:25">
      <c r="Y967" s="92"/>
    </row>
    <row r="968" spans="25:25">
      <c r="Y968" s="92"/>
    </row>
    <row r="969" spans="25:25">
      <c r="Y969" s="92"/>
    </row>
    <row r="970" spans="25:25">
      <c r="Y970" s="92"/>
    </row>
    <row r="971" spans="25:25">
      <c r="Y971" s="92"/>
    </row>
    <row r="972" spans="25:25">
      <c r="Y972" s="92"/>
    </row>
    <row r="973" spans="25:25">
      <c r="Y973" s="92"/>
    </row>
    <row r="974" spans="25:25">
      <c r="Y974" s="92"/>
    </row>
    <row r="975" spans="25:25">
      <c r="Y975" s="92"/>
    </row>
    <row r="976" spans="25:25">
      <c r="Y976" s="92"/>
    </row>
    <row r="977" spans="25:25">
      <c r="Y977" s="92"/>
    </row>
    <row r="978" spans="25:25">
      <c r="Y978" s="92"/>
    </row>
    <row r="979" spans="25:25">
      <c r="Y979" s="92"/>
    </row>
    <row r="980" spans="25:25">
      <c r="Y980" s="92"/>
    </row>
    <row r="981" spans="25:25">
      <c r="Y981" s="92"/>
    </row>
    <row r="982" spans="25:25">
      <c r="Y982" s="92"/>
    </row>
    <row r="983" spans="25:25">
      <c r="Y983" s="92"/>
    </row>
    <row r="984" spans="25:25">
      <c r="Y984" s="92"/>
    </row>
    <row r="985" spans="25:25">
      <c r="Y985" s="92"/>
    </row>
    <row r="986" spans="25:25">
      <c r="Y986" s="92"/>
    </row>
    <row r="987" spans="25:25">
      <c r="Y987" s="92"/>
    </row>
    <row r="988" spans="25:25">
      <c r="Y988" s="92"/>
    </row>
    <row r="989" spans="25:25">
      <c r="Y989" s="92"/>
    </row>
    <row r="990" spans="25:25">
      <c r="Y990" s="92"/>
    </row>
    <row r="991" spans="25:25">
      <c r="Y991" s="92"/>
    </row>
    <row r="992" spans="25:25">
      <c r="Y992" s="92"/>
    </row>
    <row r="993" spans="25:25">
      <c r="Y993" s="92"/>
    </row>
    <row r="994" spans="25:25">
      <c r="Y994" s="92"/>
    </row>
    <row r="995" spans="25:25">
      <c r="Y995" s="92"/>
    </row>
    <row r="996" spans="25:25">
      <c r="Y996" s="92"/>
    </row>
    <row r="997" spans="25:25">
      <c r="Y997" s="92"/>
    </row>
    <row r="998" spans="25:25">
      <c r="Y998" s="92"/>
    </row>
    <row r="999" spans="25:25">
      <c r="Y999" s="92"/>
    </row>
    <row r="1000" spans="25:25">
      <c r="Y1000" s="92"/>
    </row>
  </sheetData>
  <autoFilter ref="E1:E1000" xr:uid="{00000000-0009-0000-0000-000006000000}"/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RF</vt:lpstr>
      <vt:lpstr>ST</vt:lpstr>
      <vt:lpstr>FS-SF當日溪水</vt:lpstr>
      <vt:lpstr>FS-Well</vt:lpstr>
      <vt:lpstr>FS-Soil</vt:lpstr>
      <vt:lpstr>FS-OR</vt:lpstr>
      <vt:lpstr>FS-TF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  朗</cp:lastModifiedBy>
  <dcterms:created xsi:type="dcterms:W3CDTF">2024-11-27T02:34:02Z</dcterms:created>
  <dcterms:modified xsi:type="dcterms:W3CDTF">2026-02-07T14:28:56Z</dcterms:modified>
</cp:coreProperties>
</file>